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Huang\Desktop\raw\"/>
    </mc:Choice>
  </mc:AlternateContent>
  <bookViews>
    <workbookView xWindow="1680" yWindow="2385" windowWidth="34215" windowHeight="18105" tabRatio="500"/>
  </bookViews>
  <sheets>
    <sheet name="拍摄总表" sheetId="11" r:id="rId1"/>
    <sheet name="棚内" sheetId="1" r:id="rId2"/>
    <sheet name="哺乳照" sheetId="5" r:id="rId3"/>
    <sheet name="职业照" sheetId="6" r:id="rId4"/>
    <sheet name="外景" sheetId="7" r:id="rId5"/>
    <sheet name="所有套餐列表" sheetId="9" r:id="rId6"/>
  </sheets>
  <definedNames>
    <definedName name="_xlnm._FilterDatabase" localSheetId="0" hidden="1">拍摄总表!$A$2:$IW$80</definedName>
    <definedName name="_xlnm.Print_Area" localSheetId="2">哺乳照!$A$1:$L$42</definedName>
    <definedName name="_xlnm.Print_Area" localSheetId="1">棚内!$A$1:$L$41</definedName>
    <definedName name="_xlnm.Print_Area" localSheetId="4">外景!$A$1:$L$41</definedName>
    <definedName name="_xlnm.Print_Area" localSheetId="3">职业照!$A$1:$L$42</definedName>
  </definedNames>
  <calcPr calcId="162913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18" i="7" l="1"/>
  <c r="G17" i="7"/>
  <c r="D17" i="7"/>
  <c r="D15" i="7"/>
  <c r="D14" i="7"/>
  <c r="D13" i="7"/>
  <c r="D12" i="7"/>
  <c r="D11" i="7"/>
  <c r="D10" i="7"/>
  <c r="D9" i="7"/>
  <c r="D8" i="7"/>
  <c r="D7" i="7"/>
  <c r="K5" i="7"/>
  <c r="G5" i="7"/>
  <c r="D5" i="7"/>
  <c r="K4" i="7"/>
  <c r="G4" i="7"/>
  <c r="E4" i="7"/>
  <c r="D4" i="7"/>
  <c r="D18" i="6"/>
  <c r="G17" i="6"/>
  <c r="D17" i="6"/>
  <c r="D15" i="6"/>
  <c r="D14" i="6"/>
  <c r="D13" i="6"/>
  <c r="D12" i="6"/>
  <c r="D11" i="6"/>
  <c r="D10" i="6"/>
  <c r="D9" i="6"/>
  <c r="D8" i="6"/>
  <c r="D7" i="6"/>
  <c r="K5" i="6"/>
  <c r="G5" i="6"/>
  <c r="D5" i="6"/>
  <c r="K4" i="6"/>
  <c r="G4" i="6"/>
  <c r="E4" i="6"/>
  <c r="D4" i="6"/>
  <c r="D18" i="5"/>
  <c r="G17" i="5"/>
  <c r="D17" i="5"/>
  <c r="D15" i="5"/>
  <c r="D14" i="5"/>
  <c r="D13" i="5"/>
  <c r="D12" i="5"/>
  <c r="D11" i="5"/>
  <c r="D10" i="5"/>
  <c r="D9" i="5"/>
  <c r="D8" i="5"/>
  <c r="D7" i="5"/>
  <c r="K5" i="5"/>
  <c r="G5" i="5"/>
  <c r="D5" i="5"/>
  <c r="K4" i="5"/>
  <c r="G4" i="5"/>
  <c r="E4" i="5"/>
  <c r="D4" i="5"/>
  <c r="D18" i="1"/>
  <c r="G17" i="1"/>
  <c r="D17" i="1"/>
  <c r="D15" i="1"/>
  <c r="D14" i="1"/>
  <c r="D13" i="1"/>
  <c r="D12" i="1"/>
  <c r="D11" i="1"/>
  <c r="D10" i="1"/>
  <c r="D9" i="1"/>
  <c r="D8" i="1"/>
  <c r="D7" i="1"/>
  <c r="K5" i="1"/>
  <c r="G5" i="1"/>
  <c r="D5" i="1"/>
  <c r="K4" i="1"/>
  <c r="G4" i="1"/>
  <c r="E4" i="1"/>
  <c r="D4" i="1"/>
</calcChain>
</file>

<file path=xl/sharedStrings.xml><?xml version="1.0" encoding="utf-8"?>
<sst xmlns="http://schemas.openxmlformats.org/spreadsheetml/2006/main" count="1843" uniqueCount="689">
  <si>
    <t>订单信息（小拍填）-- 必填</t>
  </si>
  <si>
    <t>定金明细（小拍填）</t>
  </si>
  <si>
    <t>渠道市场（小拍填）</t>
  </si>
  <si>
    <t>家人信息（小秘书填）</t>
  </si>
  <si>
    <t>拍摄团队（小秘书填）</t>
  </si>
  <si>
    <t>裂变情况（小秘书填）</t>
  </si>
  <si>
    <t>选片加片（小秘书填）</t>
  </si>
  <si>
    <t>续订情况（小秘书填）</t>
  </si>
  <si>
    <t>回家另加（小秘书填）</t>
  </si>
  <si>
    <t>备注</t>
  </si>
  <si>
    <t>录入人</t>
  </si>
  <si>
    <t>订单编号</t>
  </si>
  <si>
    <t>客户微信名</t>
  </si>
  <si>
    <t>客户姓名</t>
  </si>
  <si>
    <t>手机</t>
  </si>
  <si>
    <t>到店时间</t>
  </si>
  <si>
    <t>拍摄地点</t>
  </si>
  <si>
    <t>套餐名称</t>
  </si>
  <si>
    <t>拍摄对象</t>
  </si>
  <si>
    <t>拍摄内容</t>
  </si>
  <si>
    <t>拍摄时长</t>
  </si>
  <si>
    <t>精修张数</t>
  </si>
  <si>
    <t>未选底片</t>
  </si>
  <si>
    <t>印刷品</t>
  </si>
  <si>
    <t>化妆发型</t>
  </si>
  <si>
    <t>拍摄心愿</t>
  </si>
  <si>
    <t>定金时间</t>
  </si>
  <si>
    <t>定金金额</t>
  </si>
  <si>
    <t>付款方式</t>
  </si>
  <si>
    <t>套餐金额</t>
  </si>
  <si>
    <t>应付尾款</t>
  </si>
  <si>
    <t>介绍人</t>
  </si>
  <si>
    <t>媒介渠道</t>
  </si>
  <si>
    <t>参加活动</t>
  </si>
  <si>
    <t>接单人</t>
  </si>
  <si>
    <t>类型</t>
  </si>
  <si>
    <t>大宝姓名</t>
  </si>
  <si>
    <t>昵称</t>
  </si>
  <si>
    <t>性别</t>
  </si>
  <si>
    <t>出生日期</t>
  </si>
  <si>
    <t>小宝姓名</t>
  </si>
  <si>
    <t>其他家人信息</t>
  </si>
  <si>
    <t>地址</t>
  </si>
  <si>
    <t>电子邮件</t>
  </si>
  <si>
    <t>拍摄日期</t>
  </si>
  <si>
    <t>摄影师</t>
  </si>
  <si>
    <t>满意度</t>
  </si>
  <si>
    <t>化妆师</t>
  </si>
  <si>
    <t>引导师/助理</t>
  </si>
  <si>
    <t>尾款时间</t>
  </si>
  <si>
    <t>尾款金额</t>
  </si>
  <si>
    <t>尾款方式</t>
  </si>
  <si>
    <t>本单服务金额</t>
  </si>
  <si>
    <t>是否参加点评活动</t>
  </si>
  <si>
    <t>是否发朋友圈</t>
  </si>
  <si>
    <t>选片人员</t>
  </si>
  <si>
    <t>付款时间</t>
  </si>
  <si>
    <t>金额</t>
  </si>
  <si>
    <t>内容</t>
  </si>
  <si>
    <t>续订金额</t>
  </si>
  <si>
    <t>续订内容</t>
  </si>
  <si>
    <t>丹丹</t>
  </si>
  <si>
    <t>祖祖</t>
  </si>
  <si>
    <t>之一</t>
  </si>
  <si>
    <t>团子</t>
  </si>
  <si>
    <t>乐乐</t>
  </si>
  <si>
    <t>马韵</t>
  </si>
  <si>
    <t>summer</t>
  </si>
  <si>
    <t>女</t>
  </si>
  <si>
    <t>陆小姐</t>
  </si>
  <si>
    <t>一蒙</t>
  </si>
  <si>
    <t>朱婧</t>
  </si>
  <si>
    <t>祎祎</t>
  </si>
  <si>
    <t>/</t>
  </si>
  <si>
    <t>罗斯玛丽朱小妹</t>
  </si>
  <si>
    <t>男</t>
  </si>
  <si>
    <t>老客户</t>
  </si>
  <si>
    <t>yan</t>
  </si>
  <si>
    <t>小圆手</t>
  </si>
  <si>
    <t>吕小姐</t>
  </si>
  <si>
    <t>熊妈</t>
  </si>
  <si>
    <t>大众点评</t>
  </si>
  <si>
    <t>奶牛宝宝</t>
  </si>
  <si>
    <t>一家三口</t>
  </si>
  <si>
    <t>Irene Wang</t>
  </si>
  <si>
    <t>汪沁懿</t>
  </si>
  <si>
    <t>mich</t>
  </si>
  <si>
    <t>朱一菡</t>
  </si>
  <si>
    <t>Alice</t>
  </si>
  <si>
    <t>牛佳</t>
  </si>
  <si>
    <t>微信</t>
  </si>
  <si>
    <t>唐欣慧</t>
  </si>
  <si>
    <t>支付宝</t>
  </si>
  <si>
    <t>加印刷</t>
  </si>
  <si>
    <t>双</t>
  </si>
  <si>
    <t>hengyi</t>
  </si>
  <si>
    <t>赵恒谊</t>
  </si>
  <si>
    <t>立衡</t>
  </si>
  <si>
    <t>pos</t>
  </si>
  <si>
    <t>正价折扣</t>
  </si>
  <si>
    <t>正价</t>
  </si>
  <si>
    <t>2880F</t>
  </si>
  <si>
    <t>超低价促销</t>
  </si>
  <si>
    <t>2980self</t>
  </si>
  <si>
    <t>？</t>
  </si>
  <si>
    <t>加精修</t>
  </si>
  <si>
    <t>无</t>
  </si>
  <si>
    <t>米加</t>
  </si>
  <si>
    <t>明珠</t>
  </si>
  <si>
    <t>果冻</t>
  </si>
  <si>
    <t>毛阿毛</t>
  </si>
  <si>
    <t>免费圣诞照</t>
  </si>
  <si>
    <t>免拍</t>
  </si>
  <si>
    <t>台历活动</t>
  </si>
  <si>
    <t>299台历活动</t>
  </si>
  <si>
    <t>保时捷</t>
  </si>
  <si>
    <t>果冻/熊妈</t>
  </si>
  <si>
    <t>4880全家福</t>
  </si>
  <si>
    <t>2880全家福</t>
  </si>
  <si>
    <t>君</t>
  </si>
  <si>
    <t>Yuki</t>
  </si>
  <si>
    <t>S20192001</t>
  </si>
  <si>
    <t>2980儿童肖像</t>
  </si>
  <si>
    <t>S20192002</t>
  </si>
  <si>
    <t>咩咩新年照</t>
  </si>
  <si>
    <t>4480主题定制</t>
  </si>
  <si>
    <t>3980全家福</t>
  </si>
  <si>
    <t>Maggie</t>
  </si>
  <si>
    <t>祝颖</t>
  </si>
  <si>
    <t>1000职业照</t>
  </si>
  <si>
    <t>熊妈/果冻</t>
  </si>
  <si>
    <t>续订</t>
  </si>
  <si>
    <t>大众点评团购</t>
  </si>
  <si>
    <t>sue</t>
  </si>
  <si>
    <t>金聪颖</t>
  </si>
  <si>
    <t>xinhui</t>
  </si>
  <si>
    <t>淇淇</t>
  </si>
  <si>
    <t>周霞</t>
  </si>
  <si>
    <t>其他</t>
  </si>
  <si>
    <t>雪梅</t>
  </si>
  <si>
    <t>张雪梅</t>
  </si>
  <si>
    <t>3280亲子+哺乳</t>
  </si>
  <si>
    <t>3680宝宝+亲子</t>
  </si>
  <si>
    <t>2套家庭照</t>
  </si>
  <si>
    <t>3小时</t>
  </si>
  <si>
    <t>全送</t>
  </si>
  <si>
    <t>20寸油画框</t>
  </si>
  <si>
    <t>包含</t>
  </si>
  <si>
    <t>朋友圈</t>
  </si>
  <si>
    <t>郑伊婷</t>
  </si>
  <si>
    <t>上海银行</t>
  </si>
  <si>
    <t>待定</t>
  </si>
  <si>
    <t>任湘怡</t>
  </si>
  <si>
    <t>其他（活动外拍）</t>
  </si>
  <si>
    <t>立衡/之一</t>
  </si>
  <si>
    <t>grace</t>
  </si>
  <si>
    <t>1980mini外景</t>
  </si>
  <si>
    <t>御姐萌妹</t>
  </si>
  <si>
    <t>未定</t>
  </si>
  <si>
    <t>Yvonne</t>
  </si>
  <si>
    <t>张慧</t>
  </si>
  <si>
    <t>朋友推荐</t>
  </si>
  <si>
    <t>葫芦娃</t>
  </si>
  <si>
    <t>曲霞</t>
  </si>
  <si>
    <t>两人哺乳照</t>
  </si>
  <si>
    <t>S20192003</t>
  </si>
  <si>
    <t>pos和支付宝</t>
  </si>
  <si>
    <t>1680哺乳照</t>
  </si>
  <si>
    <t>sam</t>
  </si>
  <si>
    <t>880哺乳照</t>
  </si>
  <si>
    <t>KOL-Miki</t>
  </si>
  <si>
    <t>周咩咩</t>
  </si>
  <si>
    <t>陆海源</t>
  </si>
  <si>
    <t>Ollie</t>
  </si>
  <si>
    <t>尤嘉</t>
  </si>
  <si>
    <t>3580闺蜜照</t>
  </si>
  <si>
    <t>3580孕照</t>
  </si>
  <si>
    <t>3280跟拍</t>
  </si>
  <si>
    <t>胡悠</t>
  </si>
  <si>
    <t>S20192004</t>
  </si>
  <si>
    <t>邓小邓加印刷</t>
  </si>
  <si>
    <t>6880两次</t>
  </si>
  <si>
    <t>S20192005</t>
  </si>
  <si>
    <t>tinyhands拍摄</t>
  </si>
  <si>
    <t>Carrie</t>
  </si>
  <si>
    <t>王婵</t>
  </si>
  <si>
    <t>CC.JC</t>
  </si>
  <si>
    <t>3980F</t>
  </si>
  <si>
    <t>陈晓</t>
  </si>
  <si>
    <t>4480定制</t>
  </si>
  <si>
    <t>3980外景</t>
  </si>
  <si>
    <t>5900steps3</t>
  </si>
  <si>
    <t>1400小主题</t>
  </si>
  <si>
    <t>5900steps</t>
  </si>
  <si>
    <t>POS</t>
  </si>
  <si>
    <t>李晓鸥</t>
  </si>
  <si>
    <t>4990每年全家福</t>
  </si>
  <si>
    <t>鼓鼓</t>
  </si>
  <si>
    <t>99证件照</t>
  </si>
  <si>
    <t>1400圣诞照</t>
  </si>
  <si>
    <t>S20192006</t>
  </si>
  <si>
    <t>Jihui Zhang</t>
  </si>
  <si>
    <t>149证件照</t>
  </si>
  <si>
    <t>蛋黄小噗噗</t>
  </si>
  <si>
    <t>吴佳琳</t>
  </si>
  <si>
    <t>小马驹</t>
  </si>
  <si>
    <t>S20192007</t>
  </si>
  <si>
    <t>胖雪闹闹</t>
  </si>
  <si>
    <t>吴姝丽</t>
  </si>
  <si>
    <t>小茹/阿哲</t>
  </si>
  <si>
    <t>阿池池</t>
  </si>
  <si>
    <t>池小姐</t>
  </si>
  <si>
    <t>不懒了</t>
  </si>
  <si>
    <t>已打印</t>
  </si>
  <si>
    <t>S20192025</t>
  </si>
  <si>
    <t>Steps四袋拍摄影棚内</t>
  </si>
  <si>
    <t>棚内1套宝宝单人</t>
  </si>
  <si>
    <t>1小时左右</t>
  </si>
  <si>
    <t>不含</t>
  </si>
  <si>
    <t>7寸精致摆台 一个</t>
  </si>
  <si>
    <t>提供</t>
  </si>
  <si>
    <t>待沟通</t>
  </si>
  <si>
    <t>老客户续拍额外赠送一个摆台。</t>
  </si>
  <si>
    <t>S20192026</t>
  </si>
  <si>
    <t>金钥匙</t>
  </si>
  <si>
    <t>曹晓</t>
  </si>
  <si>
    <t>兴宝（2013.8.25男孩)+妈妈</t>
  </si>
  <si>
    <t>棚内1套</t>
  </si>
  <si>
    <t>8+2=10</t>
  </si>
  <si>
    <t>1400+500=1900</t>
  </si>
  <si>
    <t>另外增加妈妈入镜，额外增加500，多2张精修。</t>
  </si>
  <si>
    <t>果冻/小茹</t>
  </si>
  <si>
    <t>果冻/胡清</t>
  </si>
  <si>
    <t>S20192016</t>
  </si>
  <si>
    <t>葛晓滢</t>
  </si>
  <si>
    <t>2020.12.22.10：00</t>
  </si>
  <si>
    <t>兜兜（2019.9.10男孩）+爸爸妈妈+外公外婆</t>
  </si>
  <si>
    <t>宝宝单人照2组，全家福1组</t>
  </si>
  <si>
    <t>2-3小时左右</t>
  </si>
  <si>
    <t>20+4=24张</t>
  </si>
  <si>
    <r>
      <rPr>
        <sz val="10"/>
        <rFont val="微软雅黑"/>
        <family val="2"/>
        <charset val="134"/>
      </rPr>
      <t>10寸轻相册一本</t>
    </r>
    <r>
      <rPr>
        <sz val="10"/>
        <rFont val="微软雅黑"/>
        <family val="2"/>
        <charset val="134"/>
      </rPr>
      <t xml:space="preserve"> </t>
    </r>
  </si>
  <si>
    <t>棚内有适合兜兜的服装可提供</t>
  </si>
  <si>
    <t>点评</t>
  </si>
  <si>
    <t>S20192029</t>
  </si>
  <si>
    <t>袁佳</t>
  </si>
  <si>
    <t>袁佳（预产期2月初）+准爸爸</t>
  </si>
  <si>
    <t>棚内2套</t>
  </si>
  <si>
    <t xml:space="preserve"> 21寸油画框一个</t>
  </si>
  <si>
    <t>S20192032</t>
  </si>
  <si>
    <t>KoKi</t>
  </si>
  <si>
    <t>胡琪</t>
  </si>
  <si>
    <t>Lucas（2015.1.27男孩）+爸爸妈妈</t>
  </si>
  <si>
    <t>全家福1组，光影</t>
  </si>
  <si>
    <t>2小时左右</t>
  </si>
  <si>
    <t>12+1=13</t>
  </si>
  <si>
    <t xml:space="preserve"> 20寸油画框一个</t>
  </si>
  <si>
    <t>点评活动，平日拍2980，特殊安排周末。</t>
  </si>
  <si>
    <t>S20192061</t>
  </si>
  <si>
    <t>桉树柠檬</t>
  </si>
  <si>
    <t>圣诞+新年样片</t>
  </si>
  <si>
    <t>4480儿童肖像</t>
  </si>
  <si>
    <t>S20192051</t>
  </si>
  <si>
    <t>微信/支付宝</t>
  </si>
  <si>
    <t>S20192021</t>
  </si>
  <si>
    <t>Richie</t>
  </si>
  <si>
    <t>陈周平</t>
  </si>
  <si>
    <t>陈不染（2019.9.15女孩）+爸爸妈妈</t>
  </si>
  <si>
    <t>宝宝单人照2组，全家福1组，哺乳照1组。</t>
  </si>
  <si>
    <t>20+2=22</t>
  </si>
  <si>
    <t>点评活动，平日拍折后3680。</t>
  </si>
  <si>
    <t>S20192038</t>
  </si>
  <si>
    <t>8880成长2次</t>
  </si>
  <si>
    <t>钖钖（2015.7.13哥哥）+阿端（2016.4.1弟弟）</t>
  </si>
  <si>
    <t>10寸轻相册一本
40寸相框 一个</t>
  </si>
  <si>
    <t>产品相框要不要做选照片时确认，成长第一次。</t>
  </si>
  <si>
    <t>S20192010</t>
  </si>
  <si>
    <t>1080F</t>
  </si>
  <si>
    <t>小茹/胡清</t>
  </si>
  <si>
    <t>S20192020</t>
  </si>
  <si>
    <t>万丽</t>
  </si>
  <si>
    <t>2980全家福+光影</t>
  </si>
  <si>
    <t>Mario（2015.4.26弟弟）+姐姐（2013.06.19）+爸爸妈妈</t>
  </si>
  <si>
    <t>家庭照</t>
  </si>
  <si>
    <t>2个小时左右</t>
  </si>
  <si>
    <t>12+1</t>
  </si>
  <si>
    <t>全家福风格正常沟通，另外可再拍一组剪影照或者表情包，现场确认。</t>
  </si>
  <si>
    <t>老客户续拍，免费多一人入镜。</t>
  </si>
  <si>
    <t>S20192037</t>
  </si>
  <si>
    <t>茗芳</t>
  </si>
  <si>
    <t xml:space="preserve">单女士 </t>
  </si>
  <si>
    <t xml:space="preserve">2020新年照 </t>
  </si>
  <si>
    <t>蟠蟠2012.12.6男孩）+爸爸妈妈</t>
  </si>
  <si>
    <t>6+2=8</t>
  </si>
  <si>
    <t>之一同学妈妈推荐，额外多送2张精修。</t>
  </si>
  <si>
    <t>S20192063</t>
  </si>
  <si>
    <t>宋小姐</t>
  </si>
  <si>
    <t>逗逗（2017.7.10男孩）</t>
  </si>
  <si>
    <t>拍圣诞照</t>
  </si>
  <si>
    <t>S20192062</t>
  </si>
  <si>
    <t>nicongai</t>
  </si>
  <si>
    <t>倪雯娇</t>
  </si>
  <si>
    <t>一克拉（2019.4月女孩）+妈妈</t>
  </si>
  <si>
    <t>1-2小时左右</t>
  </si>
  <si>
    <t>先约880，拍摄完确定要不要更换套餐。</t>
  </si>
  <si>
    <t>小茹/徐珍</t>
  </si>
  <si>
    <t>S20192070</t>
  </si>
  <si>
    <t>成长steps3</t>
  </si>
  <si>
    <t>S20192065</t>
  </si>
  <si>
    <t>Rachelting</t>
  </si>
  <si>
    <t>陈丽婷</t>
  </si>
  <si>
    <t>陈丽婷+爸爸妈妈</t>
  </si>
  <si>
    <t>可拍其他风格</t>
  </si>
  <si>
    <t>套餐待定2020，拍摄当天或选照片的时候确认要不要换2880。</t>
  </si>
  <si>
    <t>S20192073</t>
  </si>
  <si>
    <t>Becky</t>
  </si>
  <si>
    <t>形象照</t>
  </si>
  <si>
    <t>三位老师</t>
  </si>
  <si>
    <t>每人各一张</t>
  </si>
  <si>
    <t>muzika老师，价格500/人，1张精修</t>
  </si>
  <si>
    <t>10/summer</t>
  </si>
  <si>
    <t>S20192013</t>
  </si>
  <si>
    <t>yanghx</t>
  </si>
  <si>
    <t>杨女士</t>
  </si>
  <si>
    <r>
      <rPr>
        <sz val="10"/>
        <rFont val="微软雅黑"/>
        <family val="2"/>
        <charset val="134"/>
      </rPr>
      <t>2020</t>
    </r>
    <r>
      <rPr>
        <sz val="10"/>
        <rFont val="微软雅黑"/>
        <family val="2"/>
        <charset val="134"/>
      </rPr>
      <t>.</t>
    </r>
    <r>
      <rPr>
        <sz val="10"/>
        <rFont val="微软雅黑"/>
        <family val="2"/>
        <charset val="134"/>
      </rPr>
      <t>1.1  10:00:00</t>
    </r>
  </si>
  <si>
    <t>3680亲子+儿童</t>
  </si>
  <si>
    <t>可可（2019.1.12妹妹）+哥哥+爸爸妈妈</t>
  </si>
  <si>
    <t>宝宝单人照1组，全家福1组</t>
  </si>
  <si>
    <t>2-3小时</t>
  </si>
  <si>
    <t>8寸萝莉册</t>
  </si>
  <si>
    <t>套餐先待定3680，沟通过风格后可更换其他套餐</t>
  </si>
  <si>
    <t>全家福哥哥免费出镜，另外再拍点哥哥和妹妹的合影</t>
  </si>
  <si>
    <t>S20192011</t>
  </si>
  <si>
    <t>陆应</t>
  </si>
  <si>
    <t>古羊路158号</t>
  </si>
  <si>
    <t>个人</t>
  </si>
  <si>
    <t>1套职业照</t>
  </si>
  <si>
    <t>1小时</t>
  </si>
  <si>
    <t>3张</t>
  </si>
  <si>
    <t>不包含</t>
  </si>
  <si>
    <t>多拍几张全身</t>
  </si>
  <si>
    <t>y</t>
  </si>
  <si>
    <t>S20192008</t>
  </si>
  <si>
    <t>athena</t>
  </si>
  <si>
    <t>RRT</t>
  </si>
  <si>
    <t>2小时</t>
  </si>
  <si>
    <t>8寸precious相框1个</t>
  </si>
  <si>
    <t>1套家庭照，1套孩子单人照</t>
  </si>
  <si>
    <t>8寸萝莉册 一本</t>
  </si>
  <si>
    <t>2980个人肖像</t>
  </si>
  <si>
    <t>森小蝶</t>
  </si>
  <si>
    <t>李之晶</t>
  </si>
  <si>
    <t>2880F+1080表情包</t>
  </si>
  <si>
    <t>50分钟</t>
  </si>
  <si>
    <t>自备</t>
  </si>
  <si>
    <t>S20192009</t>
  </si>
  <si>
    <t>S20192012</t>
  </si>
  <si>
    <t>2020-12月</t>
  </si>
  <si>
    <t>Winston（2017.11.25弟弟）+Wilson（2013.2.7哥哥）+爸爸妈妈</t>
  </si>
  <si>
    <t>妈妈拍好看，单人照哥哥和弟弟各一组。</t>
  </si>
  <si>
    <t>支付宝500+现金1500</t>
  </si>
  <si>
    <t>老客户续约，拍摄时间暂定12月左右，提前一个月确认具体时间</t>
  </si>
  <si>
    <t>S20192014</t>
  </si>
  <si>
    <t>ultraman</t>
  </si>
  <si>
    <t>韩晓晨</t>
  </si>
  <si>
    <t>2020.3月-2021.3月</t>
  </si>
  <si>
    <t>小太阳（2019.3.22男孩）</t>
  </si>
  <si>
    <t>宝宝单人照2组</t>
  </si>
  <si>
    <t>套餐可转闺蜜照，如果闺蜜照只拍1组价格可按照2980个人self的基础上额外增加500/人，另外多2张精修的费用算，如果拍宝宝单人照或者全家福可在2年左右拍完。</t>
  </si>
  <si>
    <t>老客户续约，套餐暂定2480，后期可更换其他正价套餐。</t>
  </si>
  <si>
    <t>平日特惠</t>
  </si>
  <si>
    <t>S20192015</t>
  </si>
  <si>
    <t>2020.9月左右</t>
  </si>
  <si>
    <t>弟弟（2019.9.3）+暖暖（2015.12.23姐姐）+爸爸妈妈</t>
  </si>
  <si>
    <t>棚内家庭照1组</t>
  </si>
  <si>
    <t>弟弟单人照和姐姐单人照都拍一点</t>
  </si>
  <si>
    <t>老客户续约，拍摄时间暂定弟弟9月生日前后。</t>
  </si>
  <si>
    <t>S20192017</t>
  </si>
  <si>
    <t>2020.1.11.16：30</t>
  </si>
  <si>
    <t>安康（2019.1.16男孩）+爸爸妈妈+爷爷奶奶</t>
  </si>
  <si>
    <t>15+2=17张</t>
  </si>
  <si>
    <t>成长套餐最后一次拍摄。</t>
  </si>
  <si>
    <t>安康</t>
  </si>
  <si>
    <t>S20192018</t>
  </si>
  <si>
    <t>齐齐（2019.2月男孩）+爸爸妈妈</t>
  </si>
  <si>
    <t>20+2=22张</t>
  </si>
  <si>
    <t>要拍一点抓周照。</t>
  </si>
  <si>
    <t>3680平日特惠</t>
  </si>
  <si>
    <t>老客户续约，平日拍摄活动折后3680，另外拍1组哺乳照。</t>
  </si>
  <si>
    <t>S20192019</t>
  </si>
  <si>
    <t>Karen  niu</t>
  </si>
  <si>
    <t>2020-12月左右</t>
  </si>
  <si>
    <t>黄金城道/新虹桥中心花园</t>
  </si>
  <si>
    <t>11（2012.11.9姐姐）+22（2017.7.7妹妹）+爸爸妈妈</t>
  </si>
  <si>
    <t>可带长辈出镜</t>
  </si>
  <si>
    <t>老客户续约，拍摄黄金雨或者新虹桥中心花园待定，提前一个月确认。</t>
  </si>
  <si>
    <t>S20192022</t>
  </si>
  <si>
    <t>蓝天皓</t>
  </si>
  <si>
    <t>2020-2月下旬</t>
  </si>
  <si>
    <t>菜菜（2015.11.28姐姐）+肉肉（2019.11.9妹妹）+爸爸妈妈</t>
  </si>
  <si>
    <t>单人照可姐姐妹妹各一组。</t>
  </si>
  <si>
    <t>老客户续拍，平日拍摄套餐折后3680，百日大概2.27号左右，时间暂定百日，最晚周岁前拍摄完成</t>
  </si>
  <si>
    <t>S20192023</t>
  </si>
  <si>
    <t>又欢（2014.3.16姐姐）+又乐（2017.1月妹妹）+爸爸妈妈</t>
  </si>
  <si>
    <t>参加转发活动套系-300，老客户预约新套餐套系85折</t>
  </si>
  <si>
    <t>S20192024</t>
  </si>
  <si>
    <t>2020-11-12月左右</t>
  </si>
  <si>
    <t>球球（2016.11.10男孩）+爸爸妈妈</t>
  </si>
  <si>
    <t>20张</t>
  </si>
  <si>
    <t>10寸轻相册一本
 20寸油画框一个</t>
  </si>
  <si>
    <t>老客户续拍，点评活动折后3580。拍摄时间暂定12月左右，提前一个月左右确认时间。拍黄金雨。</t>
  </si>
  <si>
    <t>S20192027</t>
  </si>
  <si>
    <t>周公子（danny）</t>
  </si>
  <si>
    <t>danny</t>
  </si>
  <si>
    <t>果果（2016.12.06男孩）+妈妈+外公外婆</t>
  </si>
  <si>
    <t>额外增加一位长辈出镜，增加120，仅限此单。</t>
  </si>
  <si>
    <t>S20192028</t>
  </si>
  <si>
    <t>2020-4月</t>
  </si>
  <si>
    <t>Ollie（2016.4.12女孩）</t>
  </si>
  <si>
    <t>一套拍油画风，另外一套待定。</t>
  </si>
  <si>
    <t>平日拍套餐-500，折后2480，拍摄时间4月具体待定。</t>
  </si>
  <si>
    <t>S20192030</t>
  </si>
  <si>
    <t>橙非比 Phoebe</t>
  </si>
  <si>
    <t>程序</t>
  </si>
  <si>
    <t>米多多（2014.9月女孩）+爸爸妈妈+外公外婆</t>
  </si>
  <si>
    <t>全家福1组，光影/表情包1组。</t>
  </si>
  <si>
    <t>12+1+4=17张</t>
  </si>
  <si>
    <t>想拍油画风</t>
  </si>
  <si>
    <t>额外增加外公外婆出镜，多1000出镜费用，多4张精修。</t>
  </si>
  <si>
    <t>S20192031</t>
  </si>
  <si>
    <t>栗子</t>
  </si>
  <si>
    <t>刘玮玮</t>
  </si>
  <si>
    <t>窈窈（201512女孩）+爸爸妈妈</t>
  </si>
  <si>
    <t>12+3=15</t>
  </si>
  <si>
    <t>绒面桌摆</t>
  </si>
  <si>
    <t>拍摄1组，团子推荐额外赠送一个绒面小桌摆，原套餐相框不要换3张精修。</t>
  </si>
  <si>
    <t>S20192033</t>
  </si>
  <si>
    <t>2020-4-5月</t>
  </si>
  <si>
    <t>晞晞（2012.3.3姐姐）+翰翰（2018.1.30弟弟）+待定</t>
  </si>
  <si>
    <t>圣诞照续约，预付500定金，套餐待定，提前微信确认。</t>
  </si>
  <si>
    <t>S20192034</t>
  </si>
  <si>
    <t>祎祎（2017.1.11女孩）+爸爸妈妈</t>
  </si>
  <si>
    <t>成长套餐第二次</t>
  </si>
  <si>
    <t>S20192035</t>
  </si>
  <si>
    <t>高书恒</t>
  </si>
  <si>
    <t>阳阳（2015.09.11哥哥）+沐沐（2018.04.04弟弟）+爸爸妈妈</t>
  </si>
  <si>
    <t>拍新年照，哥哥120弟弟90，80/110也可以穿</t>
  </si>
  <si>
    <t>2020+500=2520</t>
  </si>
  <si>
    <t>S20192036</t>
  </si>
  <si>
    <t>晓晓（2018.12.11女孩）+爸爸妈妈</t>
  </si>
  <si>
    <t>周岁照续约，套餐暂定2880，提前一个月确定拍摄时间和套餐，风格待定。</t>
  </si>
  <si>
    <t>S20192039</t>
  </si>
  <si>
    <t>Sabrina</t>
  </si>
  <si>
    <t>格格（2012.2.7女孩）+爸爸妈妈</t>
  </si>
  <si>
    <t>希望化妆化得自然一点，妆感淡一点，</t>
  </si>
  <si>
    <t>原套餐内20寸油画框不要换3张精修</t>
  </si>
  <si>
    <t>S20192041</t>
  </si>
  <si>
    <t>郑艳华</t>
  </si>
  <si>
    <t>2021-1月</t>
  </si>
  <si>
    <t>毛毛（2019.1.10男孩）</t>
  </si>
  <si>
    <t>周岁照续约，套餐暂定2980儿童肖像，平日拍折后2480，拍摄前具体确认需不需要更换套餐，时间暂定1月。</t>
  </si>
  <si>
    <t>S20192043</t>
  </si>
  <si>
    <t>Ro</t>
  </si>
  <si>
    <t>王芸卿</t>
  </si>
  <si>
    <t>2980平日特惠</t>
  </si>
  <si>
    <t>萌萌（2018.1.25女孩）+爸爸妈妈</t>
  </si>
  <si>
    <t>全家福1组，表情包1组。</t>
  </si>
  <si>
    <t>13张</t>
  </si>
  <si>
    <t>点评活动，平日拍摄特惠2980。</t>
  </si>
  <si>
    <t>S20192044</t>
  </si>
  <si>
    <t>Pinpinpop</t>
  </si>
  <si>
    <t>照清（2017.7.17男孩）+爸爸妈妈</t>
  </si>
  <si>
    <t>12+1+3=16张</t>
  </si>
  <si>
    <t>8寸相册  一本</t>
  </si>
  <si>
    <t>全家福选新年主题；加拍一张宝宝的证件照</t>
  </si>
  <si>
    <t>可能再带一位长辈；拍完写点评免费送宝宝证件照</t>
  </si>
  <si>
    <t>S20192045</t>
  </si>
  <si>
    <t>雪梅（30岁）</t>
  </si>
  <si>
    <t>单人肖像2套</t>
  </si>
  <si>
    <t>10张</t>
  </si>
  <si>
    <t>30岁留念</t>
  </si>
  <si>
    <t>S20192046</t>
  </si>
  <si>
    <t>Lucy（2018.2女孩）+爸爸妈妈</t>
  </si>
  <si>
    <t>全家福1组，宝宝单人照1组。</t>
  </si>
  <si>
    <t>18+3=21</t>
  </si>
  <si>
    <t>老客户续拍套餐9折，仅限此单。</t>
  </si>
  <si>
    <t>S20192047</t>
  </si>
  <si>
    <t>好姑娘vs女流氓</t>
  </si>
  <si>
    <t>岑怿裴</t>
  </si>
  <si>
    <t>佳佳（2016.1.13女孩）+爸爸妈妈</t>
  </si>
  <si>
    <t>团子的朋友，额外多给宝宝拍1组单人照。</t>
  </si>
  <si>
    <t>S20192048</t>
  </si>
  <si>
    <t>吴丹翔</t>
  </si>
  <si>
    <t>煦煦（2016.1哥哥）+阿琪（2018.9妹妹）+爸爸妈妈+爷爷奶奶外公外婆</t>
  </si>
  <si>
    <t>6+8=14</t>
  </si>
  <si>
    <t>之一朋友，免费多1人出镜，另外4人额外增加500/人的费用，多8张精修。套餐待定4020，拍摄当天确认要不要改4880大家庭套餐。</t>
  </si>
  <si>
    <t>S20192049</t>
  </si>
  <si>
    <t>Chloe(2016.7.15 女)Celine(2011.4.16女) Tom(2009.9.16男)+爸爸妈妈</t>
  </si>
  <si>
    <t>原定699套餐，更换699套餐，多2人入镜。</t>
  </si>
  <si>
    <t>S20192050</t>
  </si>
  <si>
    <t>StaroO</t>
  </si>
  <si>
    <t>邢亚星</t>
  </si>
  <si>
    <t>小朵拉（2019.02.27女孩）+爸爸妈妈</t>
  </si>
  <si>
    <t>孩子单人照2组，全家福1组，哺乳照1组。</t>
  </si>
  <si>
    <t>点评活动平日拍摄折后3680。</t>
  </si>
  <si>
    <t>小红书</t>
  </si>
  <si>
    <t>S20192052</t>
  </si>
  <si>
    <t>jorin zhou</t>
  </si>
  <si>
    <t>哩哩（2016.11.20 女孩）</t>
  </si>
  <si>
    <t>S20192053</t>
  </si>
  <si>
    <t>S20192054</t>
  </si>
  <si>
    <t>Leo（2012.1.13男孩）+妈妈</t>
  </si>
  <si>
    <t>老客户续订，多送一个1400小主题，仅限此单</t>
  </si>
  <si>
    <t>Leo</t>
  </si>
  <si>
    <t>2012.1.13</t>
  </si>
  <si>
    <t>S20192055</t>
  </si>
  <si>
    <t>汤圆（2017.02.07男孩）</t>
  </si>
  <si>
    <t>棚内2组</t>
  </si>
  <si>
    <t>两个套餐一起约，平日价格 可安排周末拍摄。</t>
  </si>
  <si>
    <t>S20192056</t>
  </si>
  <si>
    <t>瑞瑞（2016.12.29女孩）+爸爸妈妈</t>
  </si>
  <si>
    <t>老客户续拍。</t>
  </si>
  <si>
    <t>S20192057</t>
  </si>
  <si>
    <t>沄</t>
  </si>
  <si>
    <t>江润芸</t>
  </si>
  <si>
    <t>杨杨（2017.1.14男孩）+爸爸妈妈</t>
  </si>
  <si>
    <t>S20192058</t>
  </si>
  <si>
    <t>2020-待定</t>
  </si>
  <si>
    <t>姐姐（12岁）+妹妹（6岁）+爸爸妈妈</t>
  </si>
  <si>
    <t>老客户续拍，免费多一人出镜，拍摄时间待定。</t>
  </si>
  <si>
    <t>S20192059</t>
  </si>
  <si>
    <t>2020-9月</t>
  </si>
  <si>
    <t>兜兜（2019.9.10男孩）</t>
  </si>
  <si>
    <t>套餐待定宝宝个人照，拍摄前确认，预付1500定金。</t>
  </si>
  <si>
    <t>S20192060</t>
  </si>
  <si>
    <t>weihong</t>
  </si>
  <si>
    <t>魏红</t>
  </si>
  <si>
    <t>张嘉怡（2012.10姐姐）+张佩霖（2016.4弟弟）+爸爸妈妈</t>
  </si>
  <si>
    <t>想拍新年照风格</t>
  </si>
  <si>
    <t>之一朋友，套餐8折，免费多1人入镜。</t>
  </si>
  <si>
    <t>S20192064</t>
  </si>
  <si>
    <t>老客户续拍，预付500定金，拍摄时间暂定2020.12月左右，提前一个月确定时间和套餐</t>
  </si>
  <si>
    <t>S20192066</t>
  </si>
  <si>
    <t>2020-2月左右</t>
  </si>
  <si>
    <t>2980新生儿</t>
  </si>
  <si>
    <t>宝宝（预产期2月初）</t>
  </si>
  <si>
    <t>2套服装</t>
  </si>
  <si>
    <t>10寸精致摆台 一个</t>
  </si>
  <si>
    <t>孕照续订，约百日照送新生儿上门，家人可以出镜拍一些。</t>
  </si>
  <si>
    <t>S20192067</t>
  </si>
  <si>
    <t>6880孕照+百日</t>
  </si>
  <si>
    <t>宝宝（预产期2月初）+爸爸妈妈</t>
  </si>
  <si>
    <t>孩子单人照2组，全家福1组，对比照1组。</t>
  </si>
  <si>
    <t>20+1</t>
  </si>
  <si>
    <t>孕照续订，约百日照送新生儿上门，额外赠送对比照1组，额外多1张精修。</t>
  </si>
  <si>
    <t>S20192068</t>
  </si>
  <si>
    <t>雷蒙德</t>
  </si>
  <si>
    <t>李衡</t>
  </si>
  <si>
    <t>1000元职业照</t>
  </si>
  <si>
    <t>保时捷员工拍摄券，费用已付。</t>
  </si>
  <si>
    <t>S20192069</t>
  </si>
  <si>
    <t>Kathyyy</t>
  </si>
  <si>
    <t>荆小纯</t>
  </si>
  <si>
    <t>韬韬（2016.1.5男孩）+爸爸妈妈</t>
  </si>
  <si>
    <t>点评活动平日拍折后2980</t>
  </si>
  <si>
    <t>S20192071</t>
  </si>
  <si>
    <t>乐烨</t>
  </si>
  <si>
    <t>遥遥（2019.7.25女孩）+爸爸妈妈+外公外婆</t>
  </si>
  <si>
    <t>全家福1组，哺乳照1组。</t>
  </si>
  <si>
    <t>12+4=16</t>
  </si>
  <si>
    <t>额外增加外公外婆出镜，多500/人的费用，多2张精修。</t>
  </si>
  <si>
    <t>S20192072</t>
  </si>
  <si>
    <t>2020-2021/12月</t>
  </si>
  <si>
    <t>高期获（2015.1.4男孩）</t>
  </si>
  <si>
    <t>套餐暂定宝宝单人照，拍摄前确认，2年有效。</t>
  </si>
  <si>
    <t>S20192074</t>
  </si>
  <si>
    <t>XtineSoup</t>
  </si>
  <si>
    <t>汤储君</t>
  </si>
  <si>
    <t>4480主题定制+1080哺乳照</t>
  </si>
  <si>
    <t>小猪蹄（2019.09.28男孩）+爸爸妈妈+2位长辈</t>
  </si>
  <si>
    <t>孩子单人照1组，全家福1组，哺乳照1组。</t>
  </si>
  <si>
    <t>宝宝单人照少拍1组，免费多2位长辈入镜。点评活动平日拍折后3680。</t>
  </si>
  <si>
    <t>S20192075</t>
  </si>
  <si>
    <t>惠慧Amy（DG）</t>
  </si>
  <si>
    <t>惠慧</t>
  </si>
  <si>
    <t>6980平日大全家福</t>
  </si>
  <si>
    <t>俞嘉浩（2004.08.26男生）+Yu Kawo（2010，9.25男生）+爸爸妈妈
孙文琦（2003.1.22女生）+孙可可（2014.08.26女生）+爸爸妈妈+两位长辈</t>
  </si>
  <si>
    <t>3-4小时</t>
  </si>
  <si>
    <r>
      <rPr>
        <sz val="10"/>
        <rFont val="微软雅黑"/>
        <family val="2"/>
        <charset val="134"/>
      </rPr>
      <t>10</t>
    </r>
    <r>
      <rPr>
        <sz val="11"/>
        <color rgb="FF333333"/>
        <rFont val="宋体"/>
        <family val="3"/>
        <charset val="134"/>
      </rPr>
      <t>寸轻相册</t>
    </r>
    <r>
      <rPr>
        <sz val="11"/>
        <color rgb="FF333333"/>
        <rFont val="Hiragino Sans GB"/>
        <family val="1"/>
      </rPr>
      <t xml:space="preserve">  </t>
    </r>
    <r>
      <rPr>
        <sz val="11"/>
        <color rgb="FF333333"/>
        <rFont val="宋体"/>
        <family val="3"/>
        <charset val="134"/>
      </rPr>
      <t>一本</t>
    </r>
    <r>
      <rPr>
        <sz val="11"/>
        <color rgb="FF333333"/>
        <rFont val="Hiragino Sans GB"/>
        <family val="1"/>
      </rPr>
      <t xml:space="preserve"> 
24</t>
    </r>
    <r>
      <rPr>
        <sz val="11"/>
        <color rgb="FF333333"/>
        <rFont val="宋体"/>
        <family val="3"/>
        <charset val="134"/>
      </rPr>
      <t>寸油画框</t>
    </r>
    <r>
      <rPr>
        <sz val="11"/>
        <color rgb="FF333333"/>
        <rFont val="Hiragino Sans GB"/>
        <family val="1"/>
      </rPr>
      <t xml:space="preserve"> </t>
    </r>
    <r>
      <rPr>
        <sz val="11"/>
        <color rgb="FF333333"/>
        <rFont val="宋体"/>
        <family val="3"/>
        <charset val="134"/>
      </rPr>
      <t>一个
10寸精致摆台 一个</t>
    </r>
  </si>
  <si>
    <t>点评活动平日特惠6980</t>
  </si>
  <si>
    <t>S20192076</t>
  </si>
  <si>
    <t>刘佩成</t>
  </si>
  <si>
    <t>预产期4.10日</t>
  </si>
  <si>
    <t>S20192077</t>
  </si>
  <si>
    <t>2020/12月</t>
  </si>
  <si>
    <t>每年拍圣诞照，套餐暂定1400，如果明年圣诞主题更合算可更换其他套餐，预付500。</t>
  </si>
  <si>
    <t>S20192078</t>
  </si>
  <si>
    <t>Alice.Wang</t>
  </si>
  <si>
    <t>Selina（200.707.07女孩）+爸爸妈妈</t>
  </si>
  <si>
    <t>棚内1组</t>
  </si>
  <si>
    <t>S20192079</t>
  </si>
  <si>
    <t>滕小小</t>
  </si>
  <si>
    <t>滕美珠</t>
  </si>
  <si>
    <t>张智宸（2011.04.09男孩）</t>
  </si>
  <si>
    <t>16+3=19</t>
  </si>
  <si>
    <t>想拍新年照和小面包师，小朋友身高140。</t>
  </si>
  <si>
    <t>点评活动平日拍折后2480，油画框不要更换3张精修。</t>
  </si>
  <si>
    <t>S20200001</t>
  </si>
  <si>
    <t>pooh的蜂蜜</t>
  </si>
  <si>
    <t>倪惠珏</t>
  </si>
  <si>
    <t>Emilia（2012.12.23女孩）+爸爸妈妈+CC（金毛）奶酪（柴犬）</t>
  </si>
  <si>
    <t>免费多一直狗狗入镜，另外一只额外总价200入镜费用。给狗狗拍点合影。</t>
  </si>
  <si>
    <t>拍摄确认单</t>
  </si>
  <si>
    <t>手机号</t>
  </si>
  <si>
    <t>引导/助理</t>
  </si>
  <si>
    <t>总金额（元）</t>
  </si>
  <si>
    <t>尾款（元）</t>
  </si>
  <si>
    <t>（需在拍摄当天付清）</t>
  </si>
  <si>
    <t>另加费用</t>
  </si>
  <si>
    <t>* 关于改期</t>
  </si>
  <si>
    <r>
      <rPr>
        <sz val="12"/>
        <color theme="0" tint="-0.499984740745262"/>
        <rFont val="Microsoft YaHei"/>
        <charset val="134"/>
      </rPr>
      <t>改期费</t>
    </r>
    <r>
      <rPr>
        <sz val="12"/>
        <color theme="3" tint="0.39988402966399123"/>
        <rFont val="Microsoft YaHei"/>
        <charset val="134"/>
      </rPr>
      <t>300元</t>
    </r>
    <r>
      <rPr>
        <sz val="12"/>
        <color theme="0" tint="-0.499984740745262"/>
        <rFont val="Microsoft YaHei"/>
        <charset val="134"/>
      </rPr>
      <t>（提前7天以上不收改期费）。每一场拍摄团队只服务一组客人，请勿随意改期哦。</t>
    </r>
  </si>
  <si>
    <t>实收尾款</t>
  </si>
  <si>
    <t>* 加家人拍摄</t>
  </si>
  <si>
    <r>
      <rPr>
        <sz val="12"/>
        <color theme="3" tint="0.39988402966399123"/>
        <rFont val="Microsoft YaHei"/>
        <charset val="134"/>
      </rPr>
      <t>500元/位</t>
    </r>
    <r>
      <rPr>
        <sz val="12"/>
        <color theme="0" tint="-0.499984740745262"/>
        <rFont val="Microsoft YaHei"/>
        <charset val="134"/>
      </rPr>
      <t>，包含妆发，多2张精修</t>
    </r>
  </si>
  <si>
    <t>* 加背景及服装</t>
  </si>
  <si>
    <r>
      <rPr>
        <sz val="12"/>
        <color theme="3" tint="0.39988402966399123"/>
        <rFont val="Microsoft YaHei"/>
        <charset val="134"/>
      </rPr>
      <t>1400元/组</t>
    </r>
    <r>
      <rPr>
        <sz val="12"/>
        <color theme="0" tint="-0.499984740745262"/>
        <rFont val="Microsoft YaHei"/>
        <charset val="134"/>
      </rPr>
      <t>，精修多</t>
    </r>
    <r>
      <rPr>
        <sz val="12"/>
        <color theme="3" tint="0.39988402966399123"/>
        <rFont val="Microsoft YaHei"/>
        <charset val="134"/>
      </rPr>
      <t>6张</t>
    </r>
  </si>
  <si>
    <t>付款日期</t>
  </si>
  <si>
    <t>* 另加精修</t>
  </si>
  <si>
    <t>100元/张</t>
  </si>
  <si>
    <t>* 何时选片</t>
  </si>
  <si>
    <r>
      <rPr>
        <sz val="12"/>
        <color theme="0" tint="-0.499984740745262"/>
        <rFont val="Microsoft YaHei"/>
        <charset val="134"/>
      </rPr>
      <t>拍摄完</t>
    </r>
    <r>
      <rPr>
        <sz val="12"/>
        <color theme="3" tint="0.39988402966399123"/>
        <rFont val="Microsoft YaHei"/>
        <charset val="134"/>
      </rPr>
      <t>一周</t>
    </r>
    <r>
      <rPr>
        <sz val="12"/>
        <color theme="0" tint="-0.499984740745262"/>
        <rFont val="Microsoft YaHei"/>
        <charset val="134"/>
      </rPr>
      <t>左右</t>
    </r>
  </si>
  <si>
    <t>* 修片&amp;印刷周期</t>
  </si>
  <si>
    <r>
      <rPr>
        <sz val="12"/>
        <color theme="0" tint="-0.499984740745262"/>
        <rFont val="Microsoft YaHei"/>
        <charset val="134"/>
      </rPr>
      <t>修片</t>
    </r>
    <r>
      <rPr>
        <sz val="12"/>
        <color theme="3" tint="0.39988402966399123"/>
        <rFont val="Microsoft YaHei"/>
        <charset val="134"/>
      </rPr>
      <t>20天，</t>
    </r>
    <r>
      <rPr>
        <sz val="12"/>
        <color theme="0" tint="-0.499984740745262"/>
        <rFont val="Microsoft YaHei"/>
        <charset val="134"/>
      </rPr>
      <t>印刷</t>
    </r>
    <r>
      <rPr>
        <sz val="12"/>
        <color theme="3" tint="0.39988402966399123"/>
        <rFont val="Microsoft YaHei"/>
        <charset val="134"/>
      </rPr>
      <t>2周</t>
    </r>
  </si>
  <si>
    <t>客户确认签字</t>
  </si>
  <si>
    <t>选片日期</t>
  </si>
  <si>
    <t>选片人</t>
  </si>
  <si>
    <t>选片另加费用</t>
  </si>
  <si>
    <t xml:space="preserve">              张（是否参加点评： 是  /  否  ）</t>
  </si>
  <si>
    <t>未修底片</t>
  </si>
  <si>
    <t>张</t>
  </si>
  <si>
    <t>z</t>
  </si>
  <si>
    <t>（颜色、款式、尺寸、照片序号）</t>
  </si>
  <si>
    <t>修片要求</t>
  </si>
  <si>
    <t>注：</t>
  </si>
  <si>
    <t>由于相框为易碎品，为避免意外，如需发快递只发本市，且24寸以上相框需到店自取。</t>
  </si>
  <si>
    <t>改期费300元（提前7天以上不收改期费）。每一场拍摄团队只服务一组客人，请勿随意改期哦。</t>
  </si>
  <si>
    <t>500元/位，包含妆发，多2张精修</t>
  </si>
  <si>
    <t>1400元/组，精修多6张</t>
  </si>
  <si>
    <t>200元/张</t>
  </si>
  <si>
    <r>
      <rPr>
        <sz val="12"/>
        <color theme="0" tint="-0.499984740745262"/>
        <rFont val="Microsoft YaHei"/>
        <charset val="134"/>
      </rPr>
      <t>修片</t>
    </r>
    <r>
      <rPr>
        <sz val="12"/>
        <color theme="3" tint="0.39988402966399123"/>
        <rFont val="Microsoft YaHei"/>
        <charset val="134"/>
      </rPr>
      <t>1周，</t>
    </r>
    <r>
      <rPr>
        <sz val="12"/>
        <color theme="0" tint="-0.499984740745262"/>
        <rFont val="Microsoft YaHei"/>
        <charset val="134"/>
      </rPr>
      <t>印刷</t>
    </r>
    <r>
      <rPr>
        <sz val="12"/>
        <color theme="3" tint="0.39988402966399123"/>
        <rFont val="Microsoft YaHei"/>
        <charset val="134"/>
      </rPr>
      <t>2周</t>
    </r>
  </si>
  <si>
    <t>* 加团队合影</t>
  </si>
  <si>
    <r>
      <rPr>
        <sz val="12"/>
        <color theme="0" tint="-0.499984740745262"/>
        <rFont val="Microsoft YaHei"/>
        <charset val="134"/>
      </rPr>
      <t>加成员，</t>
    </r>
    <r>
      <rPr>
        <sz val="12"/>
        <color theme="3" tint="0.39988402966399123"/>
        <rFont val="Microsoft YaHei"/>
        <charset val="134"/>
      </rPr>
      <t>480元/位</t>
    </r>
    <r>
      <rPr>
        <sz val="12"/>
        <color theme="0" tint="-0.499984740745262"/>
        <rFont val="Microsoft YaHei"/>
        <charset val="134"/>
      </rPr>
      <t>，多1张精修。合影精修价格=人数*100元/张</t>
    </r>
  </si>
  <si>
    <r>
      <rPr>
        <sz val="12"/>
        <color theme="3" tint="0.39988402966399123"/>
        <rFont val="Microsoft YaHei"/>
        <charset val="134"/>
      </rPr>
      <t>1000元/组</t>
    </r>
    <r>
      <rPr>
        <sz val="12"/>
        <color theme="0" tint="-0.499984740745262"/>
        <rFont val="Microsoft YaHei"/>
        <charset val="134"/>
      </rPr>
      <t>，精修多3张</t>
    </r>
  </si>
  <si>
    <t>300元/张</t>
  </si>
  <si>
    <r>
      <rPr>
        <sz val="12"/>
        <color theme="0" tint="-0.499984740745262"/>
        <rFont val="Microsoft YaHei"/>
        <charset val="134"/>
      </rPr>
      <t>拍摄完</t>
    </r>
    <r>
      <rPr>
        <sz val="12"/>
        <color rgb="FF538DD5"/>
        <rFont val="Microsoft YaHei"/>
        <charset val="134"/>
      </rPr>
      <t>一周</t>
    </r>
    <r>
      <rPr>
        <sz val="12"/>
        <color theme="0" tint="-0.499984740745262"/>
        <rFont val="Microsoft YaHei"/>
        <charset val="134"/>
      </rPr>
      <t xml:space="preserve"> or </t>
    </r>
    <r>
      <rPr>
        <sz val="12"/>
        <color rgb="FF538DD5"/>
        <rFont val="Microsoft YaHei"/>
        <charset val="134"/>
      </rPr>
      <t>当场</t>
    </r>
    <r>
      <rPr>
        <sz val="12"/>
        <color theme="0" tint="-0.499984740745262"/>
        <rFont val="Microsoft YaHei"/>
        <charset val="134"/>
      </rPr>
      <t>选片</t>
    </r>
  </si>
  <si>
    <t>* 修片周期</t>
  </si>
  <si>
    <r>
      <rPr>
        <sz val="12"/>
        <color theme="0" tint="-0.499984740745262"/>
        <rFont val="Microsoft YaHei"/>
        <charset val="134"/>
      </rPr>
      <t>单人套餐：</t>
    </r>
    <r>
      <rPr>
        <sz val="12"/>
        <color rgb="FF538DD5"/>
        <rFont val="Microsoft YaHei"/>
        <charset val="134"/>
      </rPr>
      <t>1周；</t>
    </r>
    <r>
      <rPr>
        <sz val="12"/>
        <color theme="0" tint="-0.499984740745262"/>
        <rFont val="Microsoft YaHei"/>
        <charset val="134"/>
      </rPr>
      <t>多人团队：</t>
    </r>
    <r>
      <rPr>
        <sz val="12"/>
        <color rgb="FF538DD5"/>
        <rFont val="Microsoft YaHei"/>
        <charset val="134"/>
      </rPr>
      <t>20天</t>
    </r>
  </si>
  <si>
    <t>外景 拍摄确认单</t>
  </si>
  <si>
    <t>改期费300元（提前7天以上不收改期费）。每一场拍摄团队只服务一组客人，请勿随意改期哦。如遇天气不佳，可免费另约拍摄时间，或视情况改拍棚内套餐。</t>
  </si>
  <si>
    <t>* 加家庭拍摄</t>
  </si>
  <si>
    <t>800元/家庭，多3张精修</t>
  </si>
  <si>
    <t>* 加拍时长</t>
  </si>
  <si>
    <t>1000元/小时</t>
  </si>
  <si>
    <t>* 另加化妆</t>
  </si>
  <si>
    <t>500元/小家庭3人</t>
  </si>
  <si>
    <t>* 另加长辈化妆</t>
  </si>
  <si>
    <t xml:space="preserve">  200元/人</t>
  </si>
  <si>
    <t xml:space="preserve">  拍摄完一周左右</t>
  </si>
  <si>
    <t>4280个人肖像</t>
  </si>
  <si>
    <t>4880大家庭</t>
  </si>
  <si>
    <t>7580大家庭</t>
  </si>
  <si>
    <t>婚纱肖像</t>
  </si>
  <si>
    <t>2480儿童平日</t>
  </si>
  <si>
    <t>3580儿童平日</t>
  </si>
  <si>
    <t>880单张</t>
  </si>
  <si>
    <t>3280哺乳+亲子</t>
  </si>
  <si>
    <t>1400儿童小主题</t>
  </si>
  <si>
    <t>3680家有二宝</t>
  </si>
  <si>
    <t>3980新生儿</t>
  </si>
  <si>
    <t>3880mini外景2次</t>
  </si>
  <si>
    <t>1080系列</t>
  </si>
  <si>
    <t>6980成长</t>
  </si>
  <si>
    <t>8880成长</t>
  </si>
  <si>
    <t>150证件照</t>
  </si>
  <si>
    <t>4980 Steps</t>
  </si>
  <si>
    <t>团购-3680百日+哺乳</t>
  </si>
  <si>
    <t>团购-2980全家福+1080</t>
  </si>
  <si>
    <t>团购-6980大家庭</t>
  </si>
  <si>
    <t>团购-3580外景</t>
  </si>
  <si>
    <t>团购-6880孕+百日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</si>
</sst>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76" formatCode="&quot;￥&quot;#,##0;&quot;￥&quot;\-#,##0"/>
    <numFmt numFmtId="177" formatCode="0_ "/>
    <numFmt numFmtId="178" formatCode="yyyy/m/d;@"/>
    <numFmt numFmtId="179" formatCode="yyyy/mm/dd"/>
  </numFmts>
  <fonts count="48">
    <font>
      <sz val="12"/>
      <color theme="1"/>
      <name val="宋体"/>
      <family val="2"/>
      <charset val="134"/>
      <scheme val="minor"/>
    </font>
    <font>
      <sz val="12"/>
      <color theme="1"/>
      <name val="Microsoft YaHei"/>
      <charset val="134"/>
    </font>
    <font>
      <sz val="14"/>
      <color theme="1"/>
      <name val="Microsoft YaHei"/>
      <charset val="134"/>
    </font>
    <font>
      <b/>
      <sz val="10"/>
      <color theme="0"/>
      <name val="Microsoft YaHei"/>
      <charset val="134"/>
    </font>
    <font>
      <b/>
      <sz val="24"/>
      <color theme="6" tint="-0.249977111117893"/>
      <name val="Microsoft YaHei"/>
      <charset val="134"/>
    </font>
    <font>
      <b/>
      <sz val="20"/>
      <color theme="9" tint="-0.249977111117893"/>
      <name val="Microsoft YaHei"/>
      <charset val="134"/>
    </font>
    <font>
      <b/>
      <sz val="14"/>
      <name val="Microsoft YaHei"/>
      <charset val="134"/>
    </font>
    <font>
      <sz val="14"/>
      <name val="Microsoft YaHei"/>
      <charset val="134"/>
    </font>
    <font>
      <b/>
      <sz val="14"/>
      <color theme="9" tint="-0.249977111117893"/>
      <name val="Microsoft YaHei"/>
      <charset val="134"/>
    </font>
    <font>
      <sz val="14"/>
      <color theme="9" tint="-0.249977111117893"/>
      <name val="Microsoft YaHei"/>
      <charset val="134"/>
    </font>
    <font>
      <b/>
      <sz val="12"/>
      <name val="Microsoft YaHei"/>
      <charset val="134"/>
    </font>
    <font>
      <b/>
      <sz val="10"/>
      <name val="Microsoft YaHei"/>
      <charset val="134"/>
    </font>
    <font>
      <b/>
      <sz val="14"/>
      <color theme="0" tint="-0.499984740745262"/>
      <name val="Microsoft YaHei"/>
      <charset val="134"/>
    </font>
    <font>
      <sz val="12"/>
      <color theme="0" tint="-0.499984740745262"/>
      <name val="Microsoft YaHei"/>
      <charset val="134"/>
    </font>
    <font>
      <b/>
      <sz val="18"/>
      <color theme="9" tint="-0.249977111117893"/>
      <name val="Microsoft YaHei"/>
      <charset val="134"/>
    </font>
    <font>
      <sz val="14"/>
      <color theme="0" tint="-0.499984740745262"/>
      <name val="Microsoft YaHei"/>
      <charset val="134"/>
    </font>
    <font>
      <sz val="12"/>
      <color theme="1" tint="0.499984740745262"/>
      <name val="Microsoft YaHei"/>
      <charset val="134"/>
    </font>
    <font>
      <sz val="12"/>
      <color theme="0"/>
      <name val="Microsoft YaHei"/>
      <charset val="134"/>
    </font>
    <font>
      <sz val="12"/>
      <color theme="4" tint="-0.499984740745262"/>
      <name val="Microsoft YaHei"/>
      <charset val="134"/>
    </font>
    <font>
      <sz val="14"/>
      <color theme="0"/>
      <name val="Microsoft YaHei"/>
      <charset val="134"/>
    </font>
    <font>
      <sz val="14"/>
      <color theme="0" tint="-0.249977111117893"/>
      <name val="Microsoft YaHei"/>
      <charset val="134"/>
    </font>
    <font>
      <sz val="14"/>
      <color theme="5" tint="-0.249977111117893"/>
      <name val="Microsoft YaHei"/>
      <charset val="134"/>
    </font>
    <font>
      <b/>
      <sz val="20"/>
      <color theme="0"/>
      <name val="Microsoft YaHei"/>
      <charset val="134"/>
    </font>
    <font>
      <b/>
      <sz val="12"/>
      <color theme="1" tint="4.9989318521683403E-2"/>
      <name val="Microsoft YaHei"/>
      <charset val="134"/>
    </font>
    <font>
      <sz val="10"/>
      <name val="微软雅黑"/>
      <charset val="134"/>
    </font>
    <font>
      <b/>
      <sz val="14"/>
      <color theme="0"/>
      <name val="Microsoft YaHei"/>
      <charset val="134"/>
    </font>
    <font>
      <b/>
      <sz val="14"/>
      <color theme="6" tint="-0.249977111117893"/>
      <name val="Microsoft YaHei"/>
      <charset val="134"/>
    </font>
    <font>
      <b/>
      <sz val="14"/>
      <color theme="6" tint="-0.499984740745262"/>
      <name val="Microsoft YaHei"/>
      <charset val="134"/>
    </font>
    <font>
      <sz val="14"/>
      <color rgb="FF000000"/>
      <name val="Microsoft YaHei"/>
      <charset val="134"/>
    </font>
    <font>
      <b/>
      <sz val="12"/>
      <color theme="6" tint="-0.499984740745262"/>
      <name val="Microsoft YaHei"/>
      <charset val="134"/>
    </font>
    <font>
      <sz val="14"/>
      <color theme="8" tint="-0.249977111117893"/>
      <name val="Microsoft YaHei"/>
      <charset val="134"/>
    </font>
    <font>
      <b/>
      <sz val="10"/>
      <color rgb="FFFF0000"/>
      <name val="Microsoft YaHei"/>
      <charset val="134"/>
    </font>
    <font>
      <b/>
      <sz val="24"/>
      <color theme="8" tint="-0.249977111117893"/>
      <name val="Microsoft YaHei"/>
      <charset val="134"/>
    </font>
    <font>
      <sz val="12"/>
      <color theme="3" tint="-0.249977111117893"/>
      <name val="Microsoft YaHei"/>
      <charset val="134"/>
    </font>
    <font>
      <sz val="12"/>
      <color theme="3" tint="0.39988402966399123"/>
      <name val="Microsoft YaHei"/>
      <charset val="134"/>
    </font>
    <font>
      <sz val="12"/>
      <color rgb="FF538DD5"/>
      <name val="Microsoft YaHei"/>
      <charset val="134"/>
    </font>
    <font>
      <b/>
      <sz val="24"/>
      <color theme="9" tint="-0.249977111117893"/>
      <name val="Microsoft YaHei"/>
      <charset val="134"/>
    </font>
    <font>
      <b/>
      <sz val="14"/>
      <name val="微软雅黑"/>
      <charset val="134"/>
    </font>
    <font>
      <b/>
      <sz val="10"/>
      <name val="微软雅黑"/>
      <charset val="134"/>
    </font>
    <font>
      <sz val="10"/>
      <color rgb="FFC00000"/>
      <name val="微软雅黑"/>
      <charset val="134"/>
    </font>
    <font>
      <b/>
      <sz val="14"/>
      <color theme="0"/>
      <name val="微软雅黑"/>
      <charset val="134"/>
    </font>
    <font>
      <b/>
      <sz val="10"/>
      <color theme="0"/>
      <name val="微软雅黑"/>
      <charset val="134"/>
    </font>
    <font>
      <sz val="14"/>
      <color theme="0"/>
      <name val="微软雅黑"/>
      <charset val="134"/>
    </font>
    <font>
      <sz val="10"/>
      <color theme="0"/>
      <name val="微软雅黑"/>
      <charset val="134"/>
    </font>
    <font>
      <sz val="11"/>
      <color rgb="FF333333"/>
      <name val="Hiragino Sans GB"/>
      <family val="1"/>
    </font>
    <font>
      <sz val="9"/>
      <name val="宋体"/>
      <family val="2"/>
      <charset val="134"/>
      <scheme val="minor"/>
    </font>
    <font>
      <sz val="10"/>
      <name val="微软雅黑"/>
      <family val="2"/>
      <charset val="134"/>
    </font>
    <font>
      <sz val="11"/>
      <color rgb="FF333333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39988402966399123"/>
        <bgColor indexed="64"/>
      </patternFill>
    </fill>
    <fill>
      <patternFill patternType="solid">
        <fgColor rgb="FFE2EBF7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theme="9" tint="0.79989013336588644"/>
        <bgColor indexed="64"/>
      </patternFill>
    </fill>
    <fill>
      <patternFill patternType="solid">
        <fgColor rgb="FFFEEFF6"/>
        <bgColor indexed="64"/>
      </patternFill>
    </fill>
    <fill>
      <patternFill patternType="solid">
        <fgColor theme="4" tint="0.79989013336588644"/>
        <bgColor indexed="64"/>
      </patternFill>
    </fill>
    <fill>
      <patternFill patternType="solid">
        <fgColor theme="7" tint="0.79989013336588644"/>
        <bgColor indexed="64"/>
      </patternFill>
    </fill>
    <fill>
      <patternFill patternType="solid">
        <fgColor theme="6" tint="0.79989013336588644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41"/>
      </patternFill>
    </fill>
    <fill>
      <patternFill patternType="solid">
        <fgColor theme="9" tint="-0.249977111117893"/>
        <bgColor indexed="26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7A279D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844FF"/>
        <bgColor indexed="64"/>
      </patternFill>
    </fill>
    <fill>
      <patternFill patternType="solid">
        <fgColor rgb="FF800000"/>
        <bgColor indexed="64"/>
      </patternFill>
    </fill>
    <fill>
      <patternFill patternType="solid">
        <fgColor rgb="FFC10004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26"/>
      </patternFill>
    </fill>
    <fill>
      <patternFill patternType="solid">
        <fgColor theme="8" tint="-0.249977111117893"/>
        <bgColor indexed="31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89008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6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theme="8" tint="-0.249977111117893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thick">
        <color theme="9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</borders>
  <cellStyleXfs count="1">
    <xf numFmtId="0" fontId="0" fillId="0" borderId="0"/>
  </cellStyleXfs>
  <cellXfs count="235">
    <xf numFmtId="0" fontId="0" fillId="0" borderId="0" xfId="0"/>
    <xf numFmtId="0" fontId="0" fillId="0" borderId="0" xfId="0" applyAlignment="1">
      <alignment horizontal="left" vertical="center"/>
    </xf>
    <xf numFmtId="0" fontId="1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/>
    <xf numFmtId="0" fontId="1" fillId="0" borderId="0" xfId="0" applyNumberFormat="1" applyFont="1" applyFill="1" applyBorder="1"/>
    <xf numFmtId="0" fontId="3" fillId="0" borderId="0" xfId="0" applyNumberFormat="1" applyFont="1" applyFill="1" applyBorder="1" applyAlignment="1">
      <alignment horizontal="center" vertical="center"/>
    </xf>
    <xf numFmtId="0" fontId="5" fillId="0" borderId="0" xfId="0" applyNumberFormat="1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left" vertical="center"/>
    </xf>
    <xf numFmtId="0" fontId="6" fillId="0" borderId="0" xfId="0" applyNumberFormat="1" applyFont="1" applyFill="1" applyBorder="1" applyAlignment="1">
      <alignment horizontal="left" vertical="center"/>
    </xf>
    <xf numFmtId="0" fontId="7" fillId="0" borderId="0" xfId="0" applyNumberFormat="1" applyFont="1" applyFill="1" applyBorder="1" applyAlignment="1">
      <alignment horizontal="left" vertical="center"/>
    </xf>
    <xf numFmtId="22" fontId="8" fillId="0" borderId="0" xfId="0" applyNumberFormat="1" applyFont="1" applyFill="1" applyBorder="1" applyAlignment="1">
      <alignment horizontal="left" vertical="center"/>
    </xf>
    <xf numFmtId="0" fontId="8" fillId="0" borderId="0" xfId="0" applyNumberFormat="1" applyFont="1" applyFill="1" applyBorder="1" applyAlignment="1">
      <alignment horizontal="left" vertical="center"/>
    </xf>
    <xf numFmtId="0" fontId="9" fillId="0" borderId="0" xfId="0" applyNumberFormat="1" applyFont="1" applyFill="1" applyBorder="1" applyAlignment="1">
      <alignment horizontal="left" vertical="center"/>
    </xf>
    <xf numFmtId="0" fontId="10" fillId="0" borderId="0" xfId="0" applyNumberFormat="1" applyFont="1" applyFill="1" applyBorder="1" applyAlignment="1">
      <alignment horizontal="left" vertical="center"/>
    </xf>
    <xf numFmtId="0" fontId="11" fillId="0" borderId="0" xfId="0" applyNumberFormat="1" applyFont="1" applyFill="1" applyBorder="1" applyAlignment="1">
      <alignment horizontal="left" vertical="center"/>
    </xf>
    <xf numFmtId="0" fontId="12" fillId="2" borderId="2" xfId="0" applyNumberFormat="1" applyFont="1" applyFill="1" applyBorder="1" applyAlignment="1">
      <alignment horizontal="center" vertical="center"/>
    </xf>
    <xf numFmtId="0" fontId="13" fillId="0" borderId="3" xfId="0" applyNumberFormat="1" applyFont="1" applyFill="1" applyBorder="1" applyAlignment="1">
      <alignment horizontal="center" vertical="center"/>
    </xf>
    <xf numFmtId="0" fontId="12" fillId="0" borderId="0" xfId="0" applyNumberFormat="1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>
      <alignment horizontal="center" vertical="center"/>
    </xf>
    <xf numFmtId="0" fontId="2" fillId="0" borderId="0" xfId="0" applyNumberFormat="1" applyFont="1" applyFill="1" applyBorder="1" applyAlignment="1">
      <alignment horizontal="left" vertical="center" wrapText="1"/>
    </xf>
    <xf numFmtId="0" fontId="14" fillId="0" borderId="0" xfId="0" applyNumberFormat="1" applyFont="1" applyFill="1" applyBorder="1" applyAlignment="1">
      <alignment horizontal="left" vertical="center"/>
    </xf>
    <xf numFmtId="0" fontId="15" fillId="0" borderId="0" xfId="0" applyNumberFormat="1" applyFont="1" applyFill="1" applyBorder="1" applyAlignment="1">
      <alignment horizontal="left" vertical="center"/>
    </xf>
    <xf numFmtId="0" fontId="17" fillId="3" borderId="0" xfId="0" applyNumberFormat="1" applyFont="1" applyFill="1" applyBorder="1" applyAlignment="1">
      <alignment horizontal="left" vertical="center"/>
    </xf>
    <xf numFmtId="0" fontId="18" fillId="4" borderId="0" xfId="0" applyNumberFormat="1" applyFont="1" applyFill="1" applyBorder="1" applyAlignment="1">
      <alignment horizontal="left" vertical="center"/>
    </xf>
    <xf numFmtId="0" fontId="2" fillId="0" borderId="6" xfId="0" applyNumberFormat="1" applyFont="1" applyFill="1" applyBorder="1" applyAlignment="1">
      <alignment horizontal="left" vertical="center"/>
    </xf>
    <xf numFmtId="0" fontId="1" fillId="5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0" fontId="19" fillId="0" borderId="0" xfId="0" applyNumberFormat="1" applyFont="1" applyFill="1" applyBorder="1" applyAlignment="1">
      <alignment vertical="center"/>
    </xf>
    <xf numFmtId="0" fontId="7" fillId="0" borderId="0" xfId="0" applyNumberFormat="1" applyFont="1" applyFill="1" applyBorder="1" applyAlignment="1">
      <alignment vertical="center"/>
    </xf>
    <xf numFmtId="0" fontId="2" fillId="0" borderId="6" xfId="0" applyNumberFormat="1" applyFont="1" applyFill="1" applyBorder="1" applyAlignment="1">
      <alignment horizontal="right" vertical="center"/>
    </xf>
    <xf numFmtId="0" fontId="6" fillId="0" borderId="0" xfId="0" applyNumberFormat="1" applyFont="1" applyFill="1" applyBorder="1" applyAlignment="1">
      <alignment horizontal="center" vertical="center"/>
    </xf>
    <xf numFmtId="0" fontId="21" fillId="0" borderId="0" xfId="0" applyNumberFormat="1" applyFont="1" applyFill="1" applyBorder="1"/>
    <xf numFmtId="0" fontId="9" fillId="0" borderId="0" xfId="0" applyNumberFormat="1" applyFont="1" applyFill="1" applyBorder="1" applyAlignment="1">
      <alignment horizontal="left"/>
    </xf>
    <xf numFmtId="0" fontId="22" fillId="0" borderId="0" xfId="0" applyNumberFormat="1" applyFont="1" applyFill="1" applyBorder="1" applyAlignment="1">
      <alignment vertical="center"/>
    </xf>
    <xf numFmtId="0" fontId="23" fillId="0" borderId="0" xfId="0" applyNumberFormat="1" applyFont="1" applyFill="1" applyBorder="1" applyAlignment="1">
      <alignment horizontal="left" vertical="center"/>
    </xf>
    <xf numFmtId="0" fontId="24" fillId="0" borderId="0" xfId="0" applyFont="1" applyFill="1" applyBorder="1" applyAlignment="1">
      <alignment horizontal="left" vertical="center"/>
    </xf>
    <xf numFmtId="0" fontId="25" fillId="0" borderId="0" xfId="0" applyNumberFormat="1" applyFont="1" applyFill="1" applyBorder="1" applyAlignment="1">
      <alignment horizontal="left" vertical="center"/>
    </xf>
    <xf numFmtId="0" fontId="26" fillId="0" borderId="0" xfId="0" applyNumberFormat="1" applyFont="1" applyFill="1" applyBorder="1" applyAlignment="1">
      <alignment horizontal="left" vertical="center"/>
    </xf>
    <xf numFmtId="0" fontId="27" fillId="0" borderId="0" xfId="0" applyNumberFormat="1" applyFont="1" applyFill="1" applyBorder="1" applyAlignment="1">
      <alignment horizontal="left" vertical="center"/>
    </xf>
    <xf numFmtId="0" fontId="28" fillId="0" borderId="7" xfId="0" applyNumberFormat="1" applyFont="1" applyBorder="1" applyAlignment="1">
      <alignment horizontal="left" vertical="center"/>
    </xf>
    <xf numFmtId="0" fontId="29" fillId="0" borderId="0" xfId="0" applyNumberFormat="1" applyFont="1" applyFill="1" applyBorder="1" applyAlignment="1">
      <alignment horizontal="left" vertical="center"/>
    </xf>
    <xf numFmtId="0" fontId="30" fillId="0" borderId="0" xfId="0" applyNumberFormat="1" applyFont="1" applyFill="1" applyBorder="1" applyAlignment="1">
      <alignment horizontal="left" vertical="center"/>
    </xf>
    <xf numFmtId="0" fontId="30" fillId="0" borderId="0" xfId="0" applyNumberFormat="1" applyFont="1" applyFill="1" applyBorder="1"/>
    <xf numFmtId="0" fontId="31" fillId="0" borderId="0" xfId="0" applyNumberFormat="1" applyFont="1" applyFill="1" applyBorder="1" applyAlignment="1">
      <alignment horizontal="center" vertical="center"/>
    </xf>
    <xf numFmtId="0" fontId="31" fillId="0" borderId="0" xfId="0" applyNumberFormat="1" applyFont="1" applyFill="1" applyBorder="1" applyAlignment="1">
      <alignment horizontal="left" vertical="center"/>
    </xf>
    <xf numFmtId="0" fontId="33" fillId="0" borderId="9" xfId="0" applyNumberFormat="1" applyFont="1" applyFill="1" applyBorder="1" applyAlignment="1">
      <alignment horizontal="left" vertical="center"/>
    </xf>
    <xf numFmtId="0" fontId="18" fillId="0" borderId="10" xfId="0" applyNumberFormat="1" applyFont="1" applyFill="1" applyBorder="1" applyAlignment="1">
      <alignment horizontal="left" vertical="center"/>
    </xf>
    <xf numFmtId="0" fontId="33" fillId="0" borderId="12" xfId="0" applyNumberFormat="1" applyFont="1" applyFill="1" applyBorder="1" applyAlignment="1">
      <alignment horizontal="left" vertical="center"/>
    </xf>
    <xf numFmtId="0" fontId="18" fillId="0" borderId="0" xfId="0" applyNumberFormat="1" applyFont="1" applyFill="1" applyBorder="1" applyAlignment="1">
      <alignment horizontal="left" vertical="center"/>
    </xf>
    <xf numFmtId="0" fontId="13" fillId="0" borderId="0" xfId="0" applyNumberFormat="1" applyFont="1" applyFill="1" applyBorder="1" applyAlignment="1">
      <alignment horizontal="left" vertical="center"/>
    </xf>
    <xf numFmtId="0" fontId="13" fillId="0" borderId="13" xfId="0" applyNumberFormat="1" applyFont="1" applyFill="1" applyBorder="1" applyAlignment="1">
      <alignment horizontal="left" vertical="center"/>
    </xf>
    <xf numFmtId="0" fontId="34" fillId="0" borderId="0" xfId="0" applyNumberFormat="1" applyFont="1" applyFill="1" applyBorder="1" applyAlignment="1">
      <alignment horizontal="left" vertical="center"/>
    </xf>
    <xf numFmtId="0" fontId="35" fillId="0" borderId="0" xfId="0" applyFont="1" applyBorder="1" applyAlignment="1">
      <alignment horizontal="left" vertical="center"/>
    </xf>
    <xf numFmtId="0" fontId="33" fillId="0" borderId="14" xfId="0" applyNumberFormat="1" applyFont="1" applyFill="1" applyBorder="1" applyAlignment="1">
      <alignment horizontal="left" vertical="center"/>
    </xf>
    <xf numFmtId="0" fontId="18" fillId="0" borderId="15" xfId="0" applyNumberFormat="1" applyFont="1" applyFill="1" applyBorder="1" applyAlignment="1">
      <alignment horizontal="left" vertical="center"/>
    </xf>
    <xf numFmtId="0" fontId="35" fillId="0" borderId="15" xfId="0" applyFont="1" applyBorder="1" applyAlignment="1">
      <alignment horizontal="left" vertical="center"/>
    </xf>
    <xf numFmtId="0" fontId="34" fillId="0" borderId="15" xfId="0" applyNumberFormat="1" applyFont="1" applyFill="1" applyBorder="1" applyAlignment="1">
      <alignment horizontal="left" vertical="center"/>
    </xf>
    <xf numFmtId="0" fontId="13" fillId="0" borderId="15" xfId="0" applyNumberFormat="1" applyFont="1" applyFill="1" applyBorder="1" applyAlignment="1">
      <alignment horizontal="left" vertical="center"/>
    </xf>
    <xf numFmtId="0" fontId="13" fillId="0" borderId="16" xfId="0" applyNumberFormat="1" applyFont="1" applyFill="1" applyBorder="1" applyAlignment="1">
      <alignment horizontal="left" vertical="center"/>
    </xf>
    <xf numFmtId="0" fontId="24" fillId="0" borderId="17" xfId="0" applyFont="1" applyFill="1" applyBorder="1" applyAlignment="1">
      <alignment horizontal="center" vertical="center"/>
    </xf>
    <xf numFmtId="0" fontId="1" fillId="0" borderId="15" xfId="0" applyNumberFormat="1" applyFont="1" applyFill="1" applyBorder="1" applyAlignment="1">
      <alignment horizontal="left" vertical="center"/>
    </xf>
    <xf numFmtId="0" fontId="1" fillId="0" borderId="16" xfId="0" applyNumberFormat="1" applyFont="1" applyFill="1" applyBorder="1" applyAlignment="1">
      <alignment horizontal="left" vertical="center"/>
    </xf>
    <xf numFmtId="0" fontId="37" fillId="0" borderId="0" xfId="0" applyFont="1" applyFill="1" applyBorder="1" applyAlignment="1">
      <alignment horizontal="center" vertical="center"/>
    </xf>
    <xf numFmtId="0" fontId="38" fillId="6" borderId="17" xfId="0" applyFont="1" applyFill="1" applyBorder="1" applyAlignment="1">
      <alignment horizontal="center" vertical="center"/>
    </xf>
    <xf numFmtId="0" fontId="24" fillId="0" borderId="0" xfId="0" applyFont="1" applyFill="1" applyBorder="1" applyAlignment="1">
      <alignment horizontal="center" vertical="center"/>
    </xf>
    <xf numFmtId="0" fontId="39" fillId="7" borderId="17" xfId="0" applyFont="1" applyFill="1" applyBorder="1" applyAlignment="1">
      <alignment horizontal="center" vertical="center"/>
    </xf>
    <xf numFmtId="0" fontId="24" fillId="7" borderId="19" xfId="0" applyFont="1" applyFill="1" applyBorder="1" applyAlignment="1">
      <alignment horizontal="center" vertical="center"/>
    </xf>
    <xf numFmtId="0" fontId="24" fillId="7" borderId="17" xfId="0" applyFont="1" applyFill="1" applyBorder="1" applyAlignment="1">
      <alignment horizontal="center" vertical="center"/>
    </xf>
    <xf numFmtId="22" fontId="24" fillId="7" borderId="17" xfId="0" applyNumberFormat="1" applyFont="1" applyFill="1" applyBorder="1" applyAlignment="1">
      <alignment horizontal="center" vertical="center"/>
    </xf>
    <xf numFmtId="178" fontId="24" fillId="0" borderId="17" xfId="0" applyNumberFormat="1" applyFont="1" applyFill="1" applyBorder="1" applyAlignment="1">
      <alignment horizontal="center" vertical="center"/>
    </xf>
    <xf numFmtId="176" fontId="24" fillId="0" borderId="17" xfId="0" applyNumberFormat="1" applyFont="1" applyFill="1" applyBorder="1" applyAlignment="1">
      <alignment horizontal="center" vertical="center"/>
    </xf>
    <xf numFmtId="177" fontId="24" fillId="0" borderId="17" xfId="0" applyNumberFormat="1" applyFont="1" applyFill="1" applyBorder="1" applyAlignment="1">
      <alignment horizontal="center" vertical="center"/>
    </xf>
    <xf numFmtId="0" fontId="24" fillId="0" borderId="19" xfId="0" applyFont="1" applyFill="1" applyBorder="1" applyAlignment="1">
      <alignment horizontal="center" vertical="center"/>
    </xf>
    <xf numFmtId="0" fontId="24" fillId="8" borderId="17" xfId="0" applyFont="1" applyFill="1" applyBorder="1" applyAlignment="1">
      <alignment horizontal="center" vertical="center"/>
    </xf>
    <xf numFmtId="178" fontId="24" fillId="9" borderId="17" xfId="0" applyNumberFormat="1" applyFont="1" applyFill="1" applyBorder="1" applyAlignment="1">
      <alignment horizontal="center" vertical="center"/>
    </xf>
    <xf numFmtId="0" fontId="24" fillId="9" borderId="17" xfId="0" applyFont="1" applyFill="1" applyBorder="1" applyAlignment="1">
      <alignment horizontal="center" vertical="center"/>
    </xf>
    <xf numFmtId="176" fontId="24" fillId="9" borderId="17" xfId="0" applyNumberFormat="1" applyFont="1" applyFill="1" applyBorder="1" applyAlignment="1">
      <alignment horizontal="center" vertical="center"/>
    </xf>
    <xf numFmtId="178" fontId="24" fillId="10" borderId="17" xfId="0" applyNumberFormat="1" applyFont="1" applyFill="1" applyBorder="1" applyAlignment="1">
      <alignment horizontal="center" vertical="center"/>
    </xf>
    <xf numFmtId="176" fontId="24" fillId="10" borderId="17" xfId="0" applyNumberFormat="1" applyFont="1" applyFill="1" applyBorder="1" applyAlignment="1">
      <alignment horizontal="center" vertical="center"/>
    </xf>
    <xf numFmtId="178" fontId="24" fillId="11" borderId="17" xfId="0" applyNumberFormat="1" applyFont="1" applyFill="1" applyBorder="1" applyAlignment="1">
      <alignment horizontal="center" vertical="center"/>
    </xf>
    <xf numFmtId="176" fontId="24" fillId="11" borderId="17" xfId="0" applyNumberFormat="1" applyFont="1" applyFill="1" applyBorder="1" applyAlignment="1">
      <alignment horizontal="center" vertical="center"/>
    </xf>
    <xf numFmtId="0" fontId="24" fillId="11" borderId="17" xfId="0" applyFont="1" applyFill="1" applyBorder="1" applyAlignment="1">
      <alignment horizontal="center" vertical="center"/>
    </xf>
    <xf numFmtId="0" fontId="37" fillId="0" borderId="17" xfId="0" applyFont="1" applyFill="1" applyBorder="1" applyAlignment="1">
      <alignment horizontal="center" vertical="center"/>
    </xf>
    <xf numFmtId="0" fontId="37" fillId="0" borderId="20" xfId="0" applyFont="1" applyFill="1" applyBorder="1" applyAlignment="1">
      <alignment horizontal="center" vertical="center"/>
    </xf>
    <xf numFmtId="0" fontId="41" fillId="13" borderId="17" xfId="0" applyFont="1" applyFill="1" applyBorder="1" applyAlignment="1">
      <alignment horizontal="center" vertical="center"/>
    </xf>
    <xf numFmtId="22" fontId="41" fillId="14" borderId="17" xfId="0" applyNumberFormat="1" applyFont="1" applyFill="1" applyBorder="1" applyAlignment="1">
      <alignment horizontal="center" vertical="center"/>
    </xf>
    <xf numFmtId="0" fontId="41" fillId="14" borderId="17" xfId="0" applyFont="1" applyFill="1" applyBorder="1" applyAlignment="1">
      <alignment horizontal="center" vertical="center"/>
    </xf>
    <xf numFmtId="0" fontId="0" fillId="0" borderId="17" xfId="0" applyBorder="1"/>
    <xf numFmtId="0" fontId="0" fillId="0" borderId="0" xfId="0" applyBorder="1"/>
    <xf numFmtId="0" fontId="0" fillId="0" borderId="0" xfId="0" applyBorder="1"/>
    <xf numFmtId="0" fontId="24" fillId="7" borderId="0" xfId="0" applyFont="1" applyFill="1" applyBorder="1" applyAlignment="1">
      <alignment horizontal="center" vertical="center"/>
    </xf>
    <xf numFmtId="22" fontId="24" fillId="7" borderId="0" xfId="0" applyNumberFormat="1" applyFont="1" applyFill="1" applyBorder="1" applyAlignment="1">
      <alignment horizontal="center" vertical="center"/>
    </xf>
    <xf numFmtId="179" fontId="41" fillId="13" borderId="17" xfId="0" applyNumberFormat="1" applyFont="1" applyFill="1" applyBorder="1" applyAlignment="1">
      <alignment horizontal="center" vertical="center"/>
    </xf>
    <xf numFmtId="178" fontId="41" fillId="17" borderId="17" xfId="0" applyNumberFormat="1" applyFont="1" applyFill="1" applyBorder="1" applyAlignment="1">
      <alignment horizontal="center" vertical="center"/>
    </xf>
    <xf numFmtId="176" fontId="41" fillId="17" borderId="17" xfId="0" applyNumberFormat="1" applyFont="1" applyFill="1" applyBorder="1" applyAlignment="1">
      <alignment horizontal="center" vertical="center"/>
    </xf>
    <xf numFmtId="179" fontId="41" fillId="17" borderId="17" xfId="0" applyNumberFormat="1" applyFont="1" applyFill="1" applyBorder="1" applyAlignment="1">
      <alignment horizontal="center" vertical="center"/>
    </xf>
    <xf numFmtId="177" fontId="41" fillId="17" borderId="17" xfId="0" applyNumberFormat="1" applyFont="1" applyFill="1" applyBorder="1" applyAlignment="1">
      <alignment horizontal="center" vertical="center"/>
    </xf>
    <xf numFmtId="0" fontId="41" fillId="18" borderId="17" xfId="0" applyFont="1" applyFill="1" applyBorder="1" applyAlignment="1">
      <alignment horizontal="center" vertical="center"/>
    </xf>
    <xf numFmtId="178" fontId="0" fillId="0" borderId="17" xfId="0" applyNumberFormat="1" applyBorder="1"/>
    <xf numFmtId="0" fontId="24" fillId="0" borderId="0" xfId="0" applyFont="1" applyFill="1" applyBorder="1" applyAlignment="1">
      <alignment horizontal="center" vertical="center"/>
    </xf>
    <xf numFmtId="178" fontId="0" fillId="0" borderId="0" xfId="0" applyNumberFormat="1" applyBorder="1"/>
    <xf numFmtId="0" fontId="24" fillId="0" borderId="0" xfId="0" applyFont="1" applyFill="1" applyAlignment="1">
      <alignment horizontal="center" vertical="center"/>
    </xf>
    <xf numFmtId="179" fontId="41" fillId="18" borderId="17" xfId="0" applyNumberFormat="1" applyFont="1" applyFill="1" applyBorder="1" applyAlignment="1">
      <alignment horizontal="center" vertical="center"/>
    </xf>
    <xf numFmtId="0" fontId="41" fillId="20" borderId="17" xfId="0" applyFont="1" applyFill="1" applyBorder="1" applyAlignment="1">
      <alignment horizontal="center" vertical="center"/>
    </xf>
    <xf numFmtId="0" fontId="24" fillId="8" borderId="0" xfId="0" applyFont="1" applyFill="1" applyBorder="1" applyAlignment="1">
      <alignment horizontal="center" vertical="center"/>
    </xf>
    <xf numFmtId="14" fontId="24" fillId="0" borderId="17" xfId="0" applyNumberFormat="1" applyFont="1" applyFill="1" applyBorder="1" applyAlignment="1">
      <alignment horizontal="center" vertical="center"/>
    </xf>
    <xf numFmtId="14" fontId="24" fillId="0" borderId="0" xfId="0" applyNumberFormat="1" applyFont="1" applyFill="1" applyBorder="1" applyAlignment="1">
      <alignment horizontal="center" vertical="center"/>
    </xf>
    <xf numFmtId="178" fontId="41" fillId="22" borderId="17" xfId="0" applyNumberFormat="1" applyFont="1" applyFill="1" applyBorder="1" applyAlignment="1">
      <alignment horizontal="center" vertical="center"/>
    </xf>
    <xf numFmtId="178" fontId="24" fillId="9" borderId="0" xfId="0" applyNumberFormat="1" applyFont="1" applyFill="1" applyBorder="1" applyAlignment="1">
      <alignment horizontal="center" vertical="center"/>
    </xf>
    <xf numFmtId="0" fontId="41" fillId="22" borderId="17" xfId="0" applyFont="1" applyFill="1" applyBorder="1" applyAlignment="1">
      <alignment horizontal="center" vertical="center"/>
    </xf>
    <xf numFmtId="178" fontId="41" fillId="23" borderId="17" xfId="0" applyNumberFormat="1" applyFont="1" applyFill="1" applyBorder="1" applyAlignment="1">
      <alignment horizontal="center" vertical="center"/>
    </xf>
    <xf numFmtId="176" fontId="41" fillId="23" borderId="17" xfId="0" applyNumberFormat="1" applyFont="1" applyFill="1" applyBorder="1" applyAlignment="1">
      <alignment horizontal="center" vertical="center"/>
    </xf>
    <xf numFmtId="0" fontId="24" fillId="9" borderId="0" xfId="0" applyFont="1" applyFill="1" applyBorder="1" applyAlignment="1">
      <alignment horizontal="center" vertical="center"/>
    </xf>
    <xf numFmtId="176" fontId="24" fillId="9" borderId="0" xfId="0" applyNumberFormat="1" applyFont="1" applyFill="1" applyBorder="1" applyAlignment="1">
      <alignment horizontal="center" vertical="center"/>
    </xf>
    <xf numFmtId="0" fontId="41" fillId="23" borderId="17" xfId="0" applyFont="1" applyFill="1" applyBorder="1" applyAlignment="1">
      <alignment horizontal="center" vertical="center"/>
    </xf>
    <xf numFmtId="0" fontId="41" fillId="25" borderId="17" xfId="0" applyFont="1" applyFill="1" applyBorder="1" applyAlignment="1">
      <alignment horizontal="center" vertical="center"/>
    </xf>
    <xf numFmtId="178" fontId="41" fillId="25" borderId="17" xfId="0" applyNumberFormat="1" applyFont="1" applyFill="1" applyBorder="1" applyAlignment="1">
      <alignment horizontal="center" vertical="center"/>
    </xf>
    <xf numFmtId="176" fontId="41" fillId="25" borderId="17" xfId="0" applyNumberFormat="1" applyFont="1" applyFill="1" applyBorder="1" applyAlignment="1">
      <alignment horizontal="center" vertical="center"/>
    </xf>
    <xf numFmtId="0" fontId="24" fillId="10" borderId="17" xfId="0" applyFont="1" applyFill="1" applyBorder="1" applyAlignment="1">
      <alignment horizontal="center" vertical="center"/>
    </xf>
    <xf numFmtId="178" fontId="24" fillId="10" borderId="0" xfId="0" applyNumberFormat="1" applyFont="1" applyFill="1" applyBorder="1" applyAlignment="1">
      <alignment horizontal="center" vertical="center"/>
    </xf>
    <xf numFmtId="178" fontId="43" fillId="28" borderId="17" xfId="0" applyNumberFormat="1" applyFont="1" applyFill="1" applyBorder="1" applyAlignment="1">
      <alignment horizontal="center" vertical="center"/>
    </xf>
    <xf numFmtId="176" fontId="43" fillId="28" borderId="17" xfId="0" applyNumberFormat="1" applyFont="1" applyFill="1" applyBorder="1" applyAlignment="1">
      <alignment horizontal="center" vertical="center"/>
    </xf>
    <xf numFmtId="0" fontId="43" fillId="28" borderId="17" xfId="0" applyFont="1" applyFill="1" applyBorder="1" applyAlignment="1">
      <alignment horizontal="center" vertical="center"/>
    </xf>
    <xf numFmtId="178" fontId="43" fillId="29" borderId="17" xfId="0" applyNumberFormat="1" applyFont="1" applyFill="1" applyBorder="1" applyAlignment="1">
      <alignment horizontal="center" vertical="center"/>
    </xf>
    <xf numFmtId="176" fontId="43" fillId="29" borderId="17" xfId="0" applyNumberFormat="1" applyFont="1" applyFill="1" applyBorder="1" applyAlignment="1">
      <alignment horizontal="center" vertical="center"/>
    </xf>
    <xf numFmtId="0" fontId="43" fillId="29" borderId="17" xfId="0" applyFont="1" applyFill="1" applyBorder="1" applyAlignment="1">
      <alignment horizontal="center" vertical="center"/>
    </xf>
    <xf numFmtId="178" fontId="24" fillId="11" borderId="0" xfId="0" applyNumberFormat="1" applyFont="1" applyFill="1" applyBorder="1" applyAlignment="1">
      <alignment horizontal="center" vertical="center"/>
    </xf>
    <xf numFmtId="0" fontId="24" fillId="11" borderId="0" xfId="0" applyFont="1" applyFill="1" applyBorder="1" applyAlignment="1">
      <alignment horizontal="center" vertical="center"/>
    </xf>
    <xf numFmtId="0" fontId="38" fillId="0" borderId="19" xfId="0" applyFont="1" applyFill="1" applyBorder="1" applyAlignment="1">
      <alignment horizontal="center" vertical="center"/>
    </xf>
    <xf numFmtId="0" fontId="38" fillId="0" borderId="17" xfId="0" applyFont="1" applyFill="1" applyBorder="1" applyAlignment="1">
      <alignment horizontal="center" vertical="center"/>
    </xf>
    <xf numFmtId="0" fontId="24" fillId="0" borderId="19" xfId="0" applyFont="1" applyFill="1" applyBorder="1" applyAlignment="1">
      <alignment horizontal="center" vertical="center"/>
    </xf>
    <xf numFmtId="176" fontId="24" fillId="0" borderId="0" xfId="0" applyNumberFormat="1" applyFont="1" applyFill="1" applyBorder="1" applyAlignment="1">
      <alignment horizontal="center" vertical="center"/>
    </xf>
    <xf numFmtId="176" fontId="24" fillId="0" borderId="0" xfId="0" applyNumberFormat="1" applyFont="1" applyFill="1" applyAlignment="1">
      <alignment horizontal="center" vertical="center"/>
    </xf>
    <xf numFmtId="178" fontId="24" fillId="10" borderId="0" xfId="0" applyNumberFormat="1" applyFont="1" applyFill="1" applyAlignment="1">
      <alignment horizontal="center" vertical="center"/>
    </xf>
    <xf numFmtId="0" fontId="24" fillId="0" borderId="17" xfId="0" applyFont="1" applyFill="1" applyBorder="1" applyAlignment="1">
      <alignment horizontal="center" vertical="center" wrapText="1"/>
    </xf>
    <xf numFmtId="176" fontId="24" fillId="10" borderId="0" xfId="0" applyNumberFormat="1" applyFont="1" applyFill="1" applyBorder="1" applyAlignment="1">
      <alignment horizontal="center" vertical="center"/>
    </xf>
    <xf numFmtId="178" fontId="24" fillId="0" borderId="0" xfId="0" applyNumberFormat="1" applyFont="1" applyFill="1" applyAlignment="1">
      <alignment horizontal="center" vertical="center"/>
    </xf>
    <xf numFmtId="0" fontId="24" fillId="9" borderId="0" xfId="0" applyFont="1" applyFill="1" applyAlignment="1">
      <alignment horizontal="center" vertical="center"/>
    </xf>
    <xf numFmtId="178" fontId="0" fillId="0" borderId="0" xfId="0" applyNumberFormat="1"/>
    <xf numFmtId="178" fontId="24" fillId="0" borderId="0" xfId="0" applyNumberFormat="1" applyFont="1" applyFill="1" applyBorder="1" applyAlignment="1">
      <alignment horizontal="center" vertical="center"/>
    </xf>
    <xf numFmtId="0" fontId="24" fillId="0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178" fontId="0" fillId="0" borderId="17" xfId="0" applyNumberFormat="1" applyBorder="1" applyAlignment="1">
      <alignment horizontal="center"/>
    </xf>
    <xf numFmtId="178" fontId="0" fillId="0" borderId="0" xfId="0" applyNumberFormat="1" applyBorder="1" applyAlignment="1">
      <alignment horizontal="center"/>
    </xf>
    <xf numFmtId="178" fontId="24" fillId="0" borderId="0" xfId="0" applyNumberFormat="1" applyFont="1" applyFill="1" applyBorder="1" applyAlignment="1">
      <alignment horizontal="center" vertical="center" wrapText="1"/>
    </xf>
    <xf numFmtId="176" fontId="24" fillId="0" borderId="17" xfId="0" applyNumberFormat="1" applyFont="1" applyFill="1" applyBorder="1" applyAlignment="1">
      <alignment horizontal="center" vertical="center" wrapText="1"/>
    </xf>
    <xf numFmtId="0" fontId="0" fillId="0" borderId="19" xfId="0" applyBorder="1"/>
    <xf numFmtId="0" fontId="39" fillId="30" borderId="17" xfId="0" applyFont="1" applyFill="1" applyBorder="1" applyAlignment="1">
      <alignment horizontal="center" vertical="center" wrapText="1"/>
    </xf>
    <xf numFmtId="0" fontId="24" fillId="30" borderId="17" xfId="0" applyFont="1" applyFill="1" applyBorder="1" applyAlignment="1">
      <alignment horizontal="center" vertical="center" wrapText="1"/>
    </xf>
    <xf numFmtId="22" fontId="24" fillId="30" borderId="0" xfId="0" applyNumberFormat="1" applyFont="1" applyFill="1" applyBorder="1" applyAlignment="1">
      <alignment horizontal="center" vertical="center" wrapText="1"/>
    </xf>
    <xf numFmtId="0" fontId="24" fillId="30" borderId="0" xfId="0" applyFont="1" applyFill="1" applyBorder="1" applyAlignment="1">
      <alignment horizontal="center" vertical="center" wrapText="1"/>
    </xf>
    <xf numFmtId="0" fontId="24" fillId="0" borderId="0" xfId="0" applyFont="1" applyFill="1" applyAlignment="1">
      <alignment horizontal="center" vertical="center" wrapText="1"/>
    </xf>
    <xf numFmtId="0" fontId="39" fillId="7" borderId="17" xfId="0" applyFont="1" applyFill="1" applyBorder="1" applyAlignment="1">
      <alignment horizontal="center" vertical="center" wrapText="1"/>
    </xf>
    <xf numFmtId="0" fontId="24" fillId="7" borderId="17" xfId="0" applyFont="1" applyFill="1" applyBorder="1" applyAlignment="1">
      <alignment horizontal="center" vertical="center" wrapText="1"/>
    </xf>
    <xf numFmtId="22" fontId="24" fillId="30" borderId="17" xfId="0" applyNumberFormat="1" applyFont="1" applyFill="1" applyBorder="1" applyAlignment="1">
      <alignment horizontal="center" vertical="center" wrapText="1"/>
    </xf>
    <xf numFmtId="0" fontId="39" fillId="30" borderId="17" xfId="0" applyFont="1" applyFill="1" applyBorder="1" applyAlignment="1">
      <alignment horizontal="center" vertical="center"/>
    </xf>
    <xf numFmtId="0" fontId="24" fillId="30" borderId="17" xfId="0" applyFont="1" applyFill="1" applyBorder="1" applyAlignment="1">
      <alignment horizontal="center" vertical="center"/>
    </xf>
    <xf numFmtId="0" fontId="39" fillId="31" borderId="17" xfId="0" applyFont="1" applyFill="1" applyBorder="1" applyAlignment="1">
      <alignment horizontal="center" vertical="center" wrapText="1"/>
    </xf>
    <xf numFmtId="0" fontId="24" fillId="31" borderId="17" xfId="0" applyFont="1" applyFill="1" applyBorder="1" applyAlignment="1">
      <alignment horizontal="center" vertical="center" wrapText="1"/>
    </xf>
    <xf numFmtId="22" fontId="24" fillId="31" borderId="17" xfId="0" applyNumberFormat="1" applyFont="1" applyFill="1" applyBorder="1" applyAlignment="1">
      <alignment horizontal="center" vertical="center" wrapText="1"/>
    </xf>
    <xf numFmtId="0" fontId="24" fillId="8" borderId="17" xfId="0" applyFont="1" applyFill="1" applyBorder="1" applyAlignment="1">
      <alignment horizontal="center" vertical="center" wrapText="1"/>
    </xf>
    <xf numFmtId="178" fontId="24" fillId="0" borderId="17" xfId="0" applyNumberFormat="1" applyFont="1" applyFill="1" applyBorder="1" applyAlignment="1">
      <alignment horizontal="center" vertical="center" wrapText="1"/>
    </xf>
    <xf numFmtId="177" fontId="24" fillId="0" borderId="0" xfId="0" applyNumberFormat="1" applyFont="1" applyFill="1" applyBorder="1" applyAlignment="1">
      <alignment horizontal="center" vertical="center" wrapText="1"/>
    </xf>
    <xf numFmtId="177" fontId="0" fillId="0" borderId="0" xfId="0" applyNumberFormat="1" applyBorder="1" applyAlignment="1">
      <alignment horizontal="center"/>
    </xf>
    <xf numFmtId="177" fontId="0" fillId="0" borderId="17" xfId="0" applyNumberFormat="1" applyBorder="1" applyAlignment="1">
      <alignment horizontal="center"/>
    </xf>
    <xf numFmtId="0" fontId="24" fillId="8" borderId="0" xfId="0" applyFont="1" applyFill="1" applyBorder="1" applyAlignment="1">
      <alignment horizontal="center" vertical="center" wrapText="1"/>
    </xf>
    <xf numFmtId="177" fontId="24" fillId="0" borderId="17" xfId="0" applyNumberFormat="1" applyFont="1" applyFill="1" applyBorder="1" applyAlignment="1">
      <alignment horizontal="center" vertical="center" wrapText="1"/>
    </xf>
    <xf numFmtId="176" fontId="24" fillId="32" borderId="17" xfId="0" applyNumberFormat="1" applyFont="1" applyFill="1" applyBorder="1" applyAlignment="1">
      <alignment horizontal="center" vertical="center"/>
    </xf>
    <xf numFmtId="0" fontId="0" fillId="0" borderId="24" xfId="0" applyBorder="1"/>
    <xf numFmtId="178" fontId="24" fillId="0" borderId="24" xfId="0" applyNumberFormat="1" applyFont="1" applyFill="1" applyBorder="1" applyAlignment="1">
      <alignment horizontal="center" vertical="center"/>
    </xf>
    <xf numFmtId="178" fontId="24" fillId="0" borderId="24" xfId="0" applyNumberFormat="1" applyFont="1" applyFill="1" applyBorder="1" applyAlignment="1">
      <alignment horizontal="center" vertical="center" wrapText="1"/>
    </xf>
    <xf numFmtId="0" fontId="24" fillId="0" borderId="19" xfId="0" applyFont="1" applyFill="1" applyBorder="1" applyAlignment="1">
      <alignment horizontal="center" vertical="center" wrapText="1"/>
    </xf>
    <xf numFmtId="178" fontId="24" fillId="9" borderId="24" xfId="0" applyNumberFormat="1" applyFont="1" applyFill="1" applyBorder="1" applyAlignment="1">
      <alignment horizontal="center" vertical="center"/>
    </xf>
    <xf numFmtId="0" fontId="24" fillId="9" borderId="24" xfId="0" applyFont="1" applyFill="1" applyBorder="1" applyAlignment="1">
      <alignment horizontal="center" vertical="center"/>
    </xf>
    <xf numFmtId="0" fontId="24" fillId="7" borderId="19" xfId="0" applyFont="1" applyFill="1" applyBorder="1" applyAlignment="1">
      <alignment horizontal="center" vertical="center" wrapText="1"/>
    </xf>
    <xf numFmtId="22" fontId="24" fillId="7" borderId="17" xfId="0" applyNumberFormat="1" applyFont="1" applyFill="1" applyBorder="1" applyAlignment="1">
      <alignment horizontal="center" vertical="center" wrapText="1"/>
    </xf>
    <xf numFmtId="0" fontId="24" fillId="31" borderId="17" xfId="0" applyFont="1" applyFill="1" applyBorder="1" applyAlignment="1">
      <alignment horizontal="center" vertical="center"/>
    </xf>
    <xf numFmtId="0" fontId="24" fillId="31" borderId="19" xfId="0" applyFont="1" applyFill="1" applyBorder="1" applyAlignment="1">
      <alignment horizontal="center" vertical="center" wrapText="1"/>
    </xf>
    <xf numFmtId="22" fontId="24" fillId="31" borderId="17" xfId="0" applyNumberFormat="1" applyFont="1" applyFill="1" applyBorder="1" applyAlignment="1">
      <alignment horizontal="center" vertical="center" wrapText="1"/>
    </xf>
    <xf numFmtId="0" fontId="24" fillId="31" borderId="19" xfId="0" applyFont="1" applyFill="1" applyBorder="1" applyAlignment="1">
      <alignment horizontal="center" vertical="center" wrapText="1"/>
    </xf>
    <xf numFmtId="0" fontId="24" fillId="0" borderId="0" xfId="0" applyFont="1" applyFill="1" applyBorder="1" applyAlignment="1">
      <alignment horizontal="center" vertical="center" wrapText="1"/>
    </xf>
    <xf numFmtId="0" fontId="38" fillId="31" borderId="17" xfId="0" applyFont="1" applyFill="1" applyBorder="1" applyAlignment="1">
      <alignment horizontal="center" vertical="center" wrapText="1"/>
    </xf>
    <xf numFmtId="0" fontId="24" fillId="0" borderId="19" xfId="0" applyFont="1" applyFill="1" applyBorder="1" applyAlignment="1">
      <alignment horizontal="center" vertical="center" wrapText="1"/>
    </xf>
    <xf numFmtId="178" fontId="24" fillId="9" borderId="0" xfId="0" applyNumberFormat="1" applyFont="1" applyFill="1" applyAlignment="1">
      <alignment horizontal="center" vertical="center"/>
    </xf>
    <xf numFmtId="176" fontId="24" fillId="9" borderId="0" xfId="0" applyNumberFormat="1" applyFont="1" applyFill="1" applyAlignment="1">
      <alignment horizontal="center" vertical="center"/>
    </xf>
    <xf numFmtId="176" fontId="24" fillId="10" borderId="0" xfId="0" applyNumberFormat="1" applyFont="1" applyFill="1" applyAlignment="1">
      <alignment horizontal="center" vertical="center"/>
    </xf>
    <xf numFmtId="178" fontId="24" fillId="11" borderId="0" xfId="0" applyNumberFormat="1" applyFont="1" applyFill="1" applyAlignment="1">
      <alignment horizontal="center" vertical="center"/>
    </xf>
    <xf numFmtId="176" fontId="24" fillId="11" borderId="0" xfId="0" applyNumberFormat="1" applyFont="1" applyFill="1" applyAlignment="1">
      <alignment horizontal="center" vertical="center"/>
    </xf>
    <xf numFmtId="0" fontId="24" fillId="11" borderId="0" xfId="0" applyFont="1" applyFill="1" applyAlignment="1">
      <alignment horizontal="center" vertical="center"/>
    </xf>
    <xf numFmtId="0" fontId="24" fillId="0" borderId="24" xfId="0" applyFont="1" applyFill="1" applyBorder="1" applyAlignment="1">
      <alignment horizontal="center" vertical="center" wrapText="1"/>
    </xf>
    <xf numFmtId="0" fontId="39" fillId="30" borderId="24" xfId="0" applyFont="1" applyFill="1" applyBorder="1" applyAlignment="1">
      <alignment horizontal="center" vertical="center" wrapText="1"/>
    </xf>
    <xf numFmtId="0" fontId="24" fillId="30" borderId="23" xfId="0" applyFont="1" applyFill="1" applyBorder="1" applyAlignment="1">
      <alignment horizontal="center" vertical="center" wrapText="1"/>
    </xf>
    <xf numFmtId="0" fontId="24" fillId="30" borderId="24" xfId="0" applyFont="1" applyFill="1" applyBorder="1" applyAlignment="1">
      <alignment horizontal="center" vertical="center" wrapText="1"/>
    </xf>
    <xf numFmtId="22" fontId="24" fillId="30" borderId="24" xfId="0" applyNumberFormat="1" applyFont="1" applyFill="1" applyBorder="1" applyAlignment="1">
      <alignment horizontal="center" vertical="center" wrapText="1"/>
    </xf>
    <xf numFmtId="176" fontId="24" fillId="0" borderId="24" xfId="0" applyNumberFormat="1" applyFont="1" applyFill="1" applyBorder="1" applyAlignment="1">
      <alignment horizontal="center" vertical="center" wrapText="1"/>
    </xf>
    <xf numFmtId="0" fontId="24" fillId="0" borderId="23" xfId="0" applyFont="1" applyFill="1" applyBorder="1" applyAlignment="1">
      <alignment horizontal="center" vertical="center" wrapText="1"/>
    </xf>
    <xf numFmtId="0" fontId="24" fillId="8" borderId="24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/>
    </xf>
    <xf numFmtId="178" fontId="0" fillId="0" borderId="24" xfId="0" applyNumberFormat="1" applyBorder="1" applyAlignment="1">
      <alignment horizontal="center"/>
    </xf>
    <xf numFmtId="178" fontId="24" fillId="32" borderId="17" xfId="0" applyNumberFormat="1" applyFont="1" applyFill="1" applyBorder="1" applyAlignment="1">
      <alignment horizontal="center" vertical="center"/>
    </xf>
    <xf numFmtId="0" fontId="24" fillId="32" borderId="17" xfId="0" applyFont="1" applyFill="1" applyBorder="1" applyAlignment="1">
      <alignment horizontal="center" vertical="center"/>
    </xf>
    <xf numFmtId="176" fontId="24" fillId="11" borderId="0" xfId="0" applyNumberFormat="1" applyFont="1" applyFill="1" applyBorder="1" applyAlignment="1">
      <alignment horizontal="center" vertical="center"/>
    </xf>
    <xf numFmtId="176" fontId="42" fillId="15" borderId="17" xfId="0" applyNumberFormat="1" applyFont="1" applyFill="1" applyBorder="1" applyAlignment="1">
      <alignment horizontal="center" vertical="center"/>
    </xf>
    <xf numFmtId="178" fontId="42" fillId="24" borderId="17" xfId="0" applyNumberFormat="1" applyFont="1" applyFill="1" applyBorder="1" applyAlignment="1">
      <alignment horizontal="center" vertical="center"/>
    </xf>
    <xf numFmtId="178" fontId="42" fillId="26" borderId="17" xfId="0" applyNumberFormat="1" applyFont="1" applyFill="1" applyBorder="1" applyAlignment="1">
      <alignment horizontal="center" vertical="center"/>
    </xf>
    <xf numFmtId="178" fontId="42" fillId="27" borderId="17" xfId="0" applyNumberFormat="1" applyFont="1" applyFill="1" applyBorder="1" applyAlignment="1">
      <alignment horizontal="center" vertical="center"/>
    </xf>
    <xf numFmtId="0" fontId="40" fillId="12" borderId="21" xfId="0" applyFont="1" applyFill="1" applyBorder="1" applyAlignment="1">
      <alignment horizontal="center" vertical="center"/>
    </xf>
    <xf numFmtId="0" fontId="40" fillId="12" borderId="22" xfId="0" applyFont="1" applyFill="1" applyBorder="1" applyAlignment="1">
      <alignment horizontal="center" vertical="center"/>
    </xf>
    <xf numFmtId="0" fontId="40" fillId="12" borderId="23" xfId="0" applyFont="1" applyFill="1" applyBorder="1" applyAlignment="1">
      <alignment horizontal="center" vertical="center"/>
    </xf>
    <xf numFmtId="178" fontId="40" fillId="15" borderId="17" xfId="0" applyNumberFormat="1" applyFont="1" applyFill="1" applyBorder="1" applyAlignment="1">
      <alignment horizontal="center" vertical="center"/>
    </xf>
    <xf numFmtId="177" fontId="40" fillId="15" borderId="17" xfId="0" applyNumberFormat="1" applyFont="1" applyFill="1" applyBorder="1" applyAlignment="1">
      <alignment horizontal="center" vertical="center"/>
    </xf>
    <xf numFmtId="0" fontId="42" fillId="16" borderId="17" xfId="0" applyFont="1" applyFill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178" fontId="42" fillId="21" borderId="17" xfId="0" applyNumberFormat="1" applyFont="1" applyFill="1" applyBorder="1" applyAlignment="1">
      <alignment horizontal="center" vertical="center"/>
    </xf>
    <xf numFmtId="0" fontId="2" fillId="0" borderId="6" xfId="0" applyNumberFormat="1" applyFont="1" applyFill="1" applyBorder="1" applyAlignment="1">
      <alignment horizontal="center" vertical="center"/>
    </xf>
    <xf numFmtId="0" fontId="2" fillId="0" borderId="0" xfId="0" applyNumberFormat="1" applyFont="1" applyFill="1" applyBorder="1" applyAlignment="1">
      <alignment horizontal="center" vertical="center"/>
    </xf>
    <xf numFmtId="0" fontId="20" fillId="0" borderId="6" xfId="0" applyNumberFormat="1" applyFont="1" applyFill="1" applyBorder="1" applyAlignment="1">
      <alignment horizontal="left" vertical="center"/>
    </xf>
    <xf numFmtId="0" fontId="2" fillId="0" borderId="4" xfId="0" applyNumberFormat="1" applyFont="1" applyFill="1" applyBorder="1" applyAlignment="1">
      <alignment horizontal="left" vertical="center"/>
    </xf>
    <xf numFmtId="0" fontId="2" fillId="0" borderId="2" xfId="0" applyNumberFormat="1" applyFont="1" applyFill="1" applyBorder="1" applyAlignment="1">
      <alignment horizontal="left" vertical="center"/>
    </xf>
    <xf numFmtId="0" fontId="2" fillId="0" borderId="5" xfId="0" applyNumberFormat="1" applyFont="1" applyFill="1" applyBorder="1" applyAlignment="1">
      <alignment horizontal="left" vertical="center" wrapText="1"/>
    </xf>
    <xf numFmtId="0" fontId="2" fillId="0" borderId="4" xfId="0" applyNumberFormat="1" applyFont="1" applyFill="1" applyBorder="1" applyAlignment="1">
      <alignment horizontal="left" vertical="center" wrapText="1"/>
    </xf>
    <xf numFmtId="0" fontId="16" fillId="0" borderId="0" xfId="0" applyNumberFormat="1" applyFont="1" applyFill="1" applyBorder="1" applyAlignment="1">
      <alignment horizontal="left" vertical="center"/>
    </xf>
    <xf numFmtId="0" fontId="13" fillId="0" borderId="10" xfId="0" applyNumberFormat="1" applyFont="1" applyFill="1" applyBorder="1" applyAlignment="1">
      <alignment horizontal="left" vertical="center" wrapText="1"/>
    </xf>
    <xf numFmtId="0" fontId="13" fillId="0" borderId="11" xfId="0" applyNumberFormat="1" applyFont="1" applyFill="1" applyBorder="1" applyAlignment="1">
      <alignment horizontal="left" vertical="center" wrapText="1"/>
    </xf>
    <xf numFmtId="0" fontId="36" fillId="0" borderId="18" xfId="0" applyNumberFormat="1" applyFont="1" applyFill="1" applyBorder="1" applyAlignment="1">
      <alignment horizontal="center" vertical="center"/>
    </xf>
    <xf numFmtId="0" fontId="7" fillId="0" borderId="0" xfId="0" applyNumberFormat="1" applyFont="1" applyFill="1" applyBorder="1" applyAlignment="1">
      <alignment horizontal="left" vertical="center"/>
    </xf>
    <xf numFmtId="0" fontId="9" fillId="0" borderId="0" xfId="0" applyNumberFormat="1" applyFont="1" applyFill="1" applyBorder="1" applyAlignment="1">
      <alignment horizontal="left" vertical="center"/>
    </xf>
    <xf numFmtId="0" fontId="32" fillId="0" borderId="8" xfId="0" applyNumberFormat="1" applyFont="1" applyFill="1" applyBorder="1" applyAlignment="1">
      <alignment horizontal="center" vertical="center"/>
    </xf>
    <xf numFmtId="0" fontId="17" fillId="3" borderId="0" xfId="0" applyNumberFormat="1" applyFont="1" applyFill="1" applyBorder="1" applyAlignment="1">
      <alignment horizontal="left" vertical="center"/>
    </xf>
    <xf numFmtId="0" fontId="18" fillId="4" borderId="0" xfId="0" applyNumberFormat="1" applyFont="1" applyFill="1" applyBorder="1" applyAlignment="1">
      <alignment horizontal="left" vertical="center" wrapText="1"/>
    </xf>
    <xf numFmtId="0" fontId="4" fillId="0" borderId="1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101599</xdr:rowOff>
    </xdr:from>
    <xdr:to>
      <xdr:col>1</xdr:col>
      <xdr:colOff>1165225</xdr:colOff>
      <xdr:row>1</xdr:row>
      <xdr:rowOff>800924</xdr:rowOff>
    </xdr:to>
    <xdr:pic>
      <xdr:nvPicPr>
        <xdr:cNvPr id="3" name="图片 2" descr="logo5_03.png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376" b="24675"/>
        <a:stretch>
          <a:fillRect/>
        </a:stretch>
      </xdr:blipFill>
      <xdr:spPr>
        <a:xfrm>
          <a:off x="990600" y="777240"/>
          <a:ext cx="1165225" cy="6997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101599</xdr:rowOff>
    </xdr:from>
    <xdr:to>
      <xdr:col>1</xdr:col>
      <xdr:colOff>1165225</xdr:colOff>
      <xdr:row>1</xdr:row>
      <xdr:rowOff>800924</xdr:rowOff>
    </xdr:to>
    <xdr:pic>
      <xdr:nvPicPr>
        <xdr:cNvPr id="2" name="图片 1" descr="logo5_03.png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376" b="24675"/>
        <a:stretch>
          <a:fillRect/>
        </a:stretch>
      </xdr:blipFill>
      <xdr:spPr>
        <a:xfrm>
          <a:off x="981075" y="1205865"/>
          <a:ext cx="1165225" cy="69977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413385</xdr:colOff>
      <xdr:row>1</xdr:row>
      <xdr:rowOff>39708</xdr:rowOff>
    </xdr:from>
    <xdr:to>
      <xdr:col>1</xdr:col>
      <xdr:colOff>638175</xdr:colOff>
      <xdr:row>1</xdr:row>
      <xdr:rowOff>824104</xdr:rowOff>
    </xdr:to>
    <xdr:pic>
      <xdr:nvPicPr>
        <xdr:cNvPr id="3" name="图片 2" descr="logo5_03-02.jpg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454" b="19158"/>
        <a:stretch>
          <a:fillRect/>
        </a:stretch>
      </xdr:blipFill>
      <xdr:spPr>
        <a:xfrm>
          <a:off x="413385" y="1515745"/>
          <a:ext cx="1110615" cy="7842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101599</xdr:rowOff>
    </xdr:from>
    <xdr:to>
      <xdr:col>2</xdr:col>
      <xdr:colOff>88900</xdr:colOff>
      <xdr:row>1</xdr:row>
      <xdr:rowOff>800924</xdr:rowOff>
    </xdr:to>
    <xdr:pic>
      <xdr:nvPicPr>
        <xdr:cNvPr id="2" name="图片 1" descr="logo5_03.png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376" b="24675"/>
        <a:stretch>
          <a:fillRect/>
        </a:stretch>
      </xdr:blipFill>
      <xdr:spPr>
        <a:xfrm>
          <a:off x="752475" y="1215390"/>
          <a:ext cx="1165225" cy="6997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办公室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办公室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办公室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XFD371"/>
  <sheetViews>
    <sheetView tabSelected="1" zoomScale="85" zoomScaleNormal="85" zoomScalePageLayoutView="85" workbookViewId="0">
      <pane xSplit="4" ySplit="2" topLeftCell="AL3" activePane="bottomRight" state="frozen"/>
      <selection pane="topRight"/>
      <selection pane="bottomLeft"/>
      <selection pane="bottomRight" activeCell="AV73" sqref="AV73"/>
    </sheetView>
  </sheetViews>
  <sheetFormatPr defaultColWidth="9" defaultRowHeight="16.5"/>
  <cols>
    <col min="1" max="1" width="13.125" style="61" customWidth="1"/>
    <col min="2" max="3" width="10.125" style="61" customWidth="1"/>
    <col min="4" max="4" width="14.875" style="67" customWidth="1"/>
    <col min="5" max="5" width="12.75" style="68" customWidth="1"/>
    <col min="6" max="6" width="23.75" style="69" customWidth="1"/>
    <col min="7" max="7" width="29.375" style="70" customWidth="1"/>
    <col min="8" max="8" width="12.75" style="69" customWidth="1"/>
    <col min="9" max="9" width="20.75" style="69" customWidth="1"/>
    <col min="10" max="10" width="19.25" style="69" customWidth="1"/>
    <col min="11" max="11" width="15.375" style="69" customWidth="1"/>
    <col min="12" max="12" width="11.25" style="69" customWidth="1"/>
    <col min="13" max="13" width="10.125" style="69" customWidth="1"/>
    <col min="14" max="17" width="16" style="69" customWidth="1"/>
    <col min="18" max="18" width="11" style="71" customWidth="1"/>
    <col min="19" max="19" width="7.25" style="72" customWidth="1"/>
    <col min="20" max="20" width="13.75" style="61" customWidth="1"/>
    <col min="21" max="21" width="13.75" style="73" customWidth="1"/>
    <col min="22" max="22" width="12.75" style="61" customWidth="1"/>
    <col min="23" max="23" width="12.75" style="74" customWidth="1"/>
    <col min="24" max="25" width="14.75" style="75" customWidth="1"/>
    <col min="26" max="26" width="16.75" style="75" customWidth="1"/>
    <col min="27" max="27" width="11.75" style="75" customWidth="1"/>
    <col min="28" max="28" width="13.875" style="75" customWidth="1"/>
    <col min="29" max="29" width="14.75" style="61" customWidth="1"/>
    <col min="30" max="31" width="9" style="61" customWidth="1"/>
    <col min="32" max="32" width="13.125" style="61" customWidth="1"/>
    <col min="33" max="33" width="11.125" style="61" customWidth="1"/>
    <col min="34" max="35" width="9" style="61" customWidth="1"/>
    <col min="36" max="36" width="14.75" style="61" customWidth="1"/>
    <col min="37" max="37" width="16.125" style="61" customWidth="1"/>
    <col min="38" max="38" width="40" style="61" customWidth="1"/>
    <col min="39" max="39" width="15.75" style="61" customWidth="1"/>
    <col min="40" max="40" width="11" style="76" customWidth="1"/>
    <col min="41" max="42" width="9" style="77" customWidth="1"/>
    <col min="43" max="43" width="13.125" style="77" customWidth="1"/>
    <col min="44" max="44" width="9" style="77" customWidth="1"/>
    <col min="45" max="45" width="17.875" style="77" customWidth="1"/>
    <col min="46" max="46" width="9" style="77" customWidth="1"/>
    <col min="47" max="47" width="12" style="76" customWidth="1"/>
    <col min="48" max="48" width="11" style="78" customWidth="1"/>
    <col min="49" max="49" width="9.875" style="77" customWidth="1"/>
    <col min="50" max="50" width="15.75" style="78" customWidth="1"/>
    <col min="51" max="52" width="15.75" style="72" customWidth="1"/>
    <col min="53" max="54" width="11" style="79" customWidth="1"/>
    <col min="55" max="55" width="11" style="80" customWidth="1"/>
    <col min="56" max="57" width="11" style="79" customWidth="1"/>
    <col min="58" max="58" width="13.125" style="71" customWidth="1"/>
    <col min="59" max="59" width="11.75" style="72" customWidth="1"/>
    <col min="60" max="60" width="12.25" style="61" customWidth="1"/>
    <col min="61" max="61" width="13.375" style="61" customWidth="1"/>
    <col min="62" max="62" width="9" style="81"/>
    <col min="63" max="63" width="11.125" style="82" customWidth="1"/>
    <col min="64" max="64" width="13.125" style="83" customWidth="1"/>
    <col min="65" max="65" width="9" style="83"/>
    <col min="66" max="257" width="9" style="61"/>
    <col min="258" max="16384" width="9" style="66"/>
  </cols>
  <sheetData>
    <row r="1" spans="1:257" s="64" customFormat="1" ht="39" customHeight="1">
      <c r="A1" s="84"/>
      <c r="B1" s="84"/>
      <c r="C1" s="85"/>
      <c r="D1" s="210" t="s">
        <v>0</v>
      </c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2"/>
      <c r="R1" s="213" t="s">
        <v>1</v>
      </c>
      <c r="S1" s="213"/>
      <c r="T1" s="213"/>
      <c r="U1" s="214"/>
      <c r="V1" s="213"/>
      <c r="W1" s="213"/>
      <c r="X1" s="215" t="s">
        <v>2</v>
      </c>
      <c r="Y1" s="215"/>
      <c r="Z1" s="215"/>
      <c r="AA1" s="215"/>
      <c r="AB1" s="215"/>
      <c r="AC1" s="216" t="s">
        <v>3</v>
      </c>
      <c r="AD1" s="216"/>
      <c r="AE1" s="216"/>
      <c r="AF1" s="216"/>
      <c r="AG1" s="216"/>
      <c r="AH1" s="216"/>
      <c r="AI1" s="216"/>
      <c r="AJ1" s="216"/>
      <c r="AK1" s="216"/>
      <c r="AL1" s="216"/>
      <c r="AM1" s="216"/>
      <c r="AN1" s="217" t="s">
        <v>4</v>
      </c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06" t="s">
        <v>5</v>
      </c>
      <c r="AZ1" s="206"/>
      <c r="BA1" s="207" t="s">
        <v>6</v>
      </c>
      <c r="BB1" s="207"/>
      <c r="BC1" s="207"/>
      <c r="BD1" s="207"/>
      <c r="BE1" s="207"/>
      <c r="BF1" s="208" t="s">
        <v>7</v>
      </c>
      <c r="BG1" s="208"/>
      <c r="BH1" s="208"/>
      <c r="BI1" s="208"/>
      <c r="BJ1" s="209" t="s">
        <v>8</v>
      </c>
      <c r="BK1" s="209"/>
      <c r="BL1" s="209"/>
      <c r="BM1" s="209"/>
    </row>
    <row r="2" spans="1:257" s="65" customFormat="1" ht="21" customHeight="1">
      <c r="A2" s="65" t="s">
        <v>9</v>
      </c>
      <c r="B2" s="65" t="s">
        <v>10</v>
      </c>
      <c r="C2" s="65" t="s">
        <v>11</v>
      </c>
      <c r="D2" s="86" t="s">
        <v>12</v>
      </c>
      <c r="E2" s="86" t="s">
        <v>13</v>
      </c>
      <c r="F2" s="86" t="s">
        <v>14</v>
      </c>
      <c r="G2" s="87" t="s">
        <v>15</v>
      </c>
      <c r="H2" s="88" t="s">
        <v>16</v>
      </c>
      <c r="I2" s="94" t="s">
        <v>17</v>
      </c>
      <c r="J2" s="94" t="s">
        <v>18</v>
      </c>
      <c r="K2" s="94" t="s">
        <v>19</v>
      </c>
      <c r="L2" s="94" t="s">
        <v>20</v>
      </c>
      <c r="M2" s="94" t="s">
        <v>21</v>
      </c>
      <c r="N2" s="94" t="s">
        <v>22</v>
      </c>
      <c r="O2" s="94" t="s">
        <v>23</v>
      </c>
      <c r="P2" s="94" t="s">
        <v>24</v>
      </c>
      <c r="Q2" s="94" t="s">
        <v>25</v>
      </c>
      <c r="R2" s="95" t="s">
        <v>26</v>
      </c>
      <c r="S2" s="96" t="s">
        <v>27</v>
      </c>
      <c r="T2" s="97" t="s">
        <v>28</v>
      </c>
      <c r="U2" s="98" t="s">
        <v>29</v>
      </c>
      <c r="V2" s="97" t="s">
        <v>30</v>
      </c>
      <c r="W2" s="97" t="s">
        <v>9</v>
      </c>
      <c r="X2" s="99" t="s">
        <v>31</v>
      </c>
      <c r="Y2" s="99" t="s">
        <v>32</v>
      </c>
      <c r="Z2" s="99" t="s">
        <v>33</v>
      </c>
      <c r="AA2" s="104" t="s">
        <v>34</v>
      </c>
      <c r="AB2" s="104" t="s">
        <v>35</v>
      </c>
      <c r="AC2" s="105" t="s">
        <v>36</v>
      </c>
      <c r="AD2" s="105" t="s">
        <v>37</v>
      </c>
      <c r="AE2" s="105" t="s">
        <v>38</v>
      </c>
      <c r="AF2" s="105" t="s">
        <v>39</v>
      </c>
      <c r="AG2" s="105" t="s">
        <v>40</v>
      </c>
      <c r="AH2" s="105" t="s">
        <v>37</v>
      </c>
      <c r="AI2" s="105" t="s">
        <v>38</v>
      </c>
      <c r="AJ2" s="105" t="s">
        <v>39</v>
      </c>
      <c r="AK2" s="105" t="s">
        <v>41</v>
      </c>
      <c r="AL2" s="105" t="s">
        <v>42</v>
      </c>
      <c r="AM2" s="105" t="s">
        <v>43</v>
      </c>
      <c r="AN2" s="109" t="s">
        <v>44</v>
      </c>
      <c r="AO2" s="111" t="s">
        <v>45</v>
      </c>
      <c r="AP2" s="111" t="s">
        <v>46</v>
      </c>
      <c r="AQ2" s="111" t="s">
        <v>47</v>
      </c>
      <c r="AR2" s="111" t="s">
        <v>46</v>
      </c>
      <c r="AS2" s="111" t="s">
        <v>48</v>
      </c>
      <c r="AT2" s="111" t="s">
        <v>46</v>
      </c>
      <c r="AU2" s="112" t="s">
        <v>49</v>
      </c>
      <c r="AV2" s="113" t="s">
        <v>50</v>
      </c>
      <c r="AW2" s="116" t="s">
        <v>51</v>
      </c>
      <c r="AX2" s="113" t="s">
        <v>52</v>
      </c>
      <c r="AY2" s="96" t="s">
        <v>53</v>
      </c>
      <c r="AZ2" s="96" t="s">
        <v>54</v>
      </c>
      <c r="BA2" s="117" t="s">
        <v>55</v>
      </c>
      <c r="BB2" s="118" t="s">
        <v>56</v>
      </c>
      <c r="BC2" s="119" t="s">
        <v>57</v>
      </c>
      <c r="BD2" s="117" t="s">
        <v>28</v>
      </c>
      <c r="BE2" s="117" t="s">
        <v>58</v>
      </c>
      <c r="BF2" s="122" t="s">
        <v>56</v>
      </c>
      <c r="BG2" s="123" t="s">
        <v>59</v>
      </c>
      <c r="BH2" s="124" t="s">
        <v>28</v>
      </c>
      <c r="BI2" s="124" t="s">
        <v>60</v>
      </c>
      <c r="BJ2" s="125" t="s">
        <v>56</v>
      </c>
      <c r="BK2" s="126" t="s">
        <v>57</v>
      </c>
      <c r="BL2" s="127" t="s">
        <v>28</v>
      </c>
      <c r="BM2" s="127" t="s">
        <v>58</v>
      </c>
      <c r="BN2" s="130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</row>
    <row r="3" spans="1:257" hidden="1">
      <c r="A3" s="89"/>
      <c r="B3" s="61" t="s">
        <v>61</v>
      </c>
      <c r="C3" s="61" t="s">
        <v>121</v>
      </c>
      <c r="D3" s="67" t="s">
        <v>78</v>
      </c>
      <c r="E3" s="69"/>
      <c r="F3" s="89"/>
      <c r="G3" s="89"/>
      <c r="H3" s="89"/>
      <c r="I3" s="69" t="s">
        <v>114</v>
      </c>
      <c r="J3" s="89"/>
      <c r="K3" s="89"/>
      <c r="L3" s="89"/>
      <c r="M3" s="89"/>
      <c r="N3" s="89"/>
      <c r="O3" s="89"/>
      <c r="P3" s="89"/>
      <c r="Q3" s="89"/>
      <c r="R3" s="102"/>
      <c r="S3" s="72">
        <v>299</v>
      </c>
      <c r="T3" s="91"/>
      <c r="U3" s="89"/>
      <c r="V3" s="89"/>
      <c r="W3" s="61"/>
      <c r="X3" s="75" t="s">
        <v>76</v>
      </c>
      <c r="Y3" s="89"/>
      <c r="Z3" s="106" t="s">
        <v>113</v>
      </c>
      <c r="AA3" s="89"/>
      <c r="AB3" s="75" t="s">
        <v>102</v>
      </c>
      <c r="AC3" s="90"/>
      <c r="AF3" s="107"/>
      <c r="AG3" s="90"/>
      <c r="AH3" s="107"/>
      <c r="AI3" s="107"/>
      <c r="AJ3" s="107"/>
      <c r="AK3" s="107"/>
      <c r="AL3" s="90"/>
      <c r="AM3"/>
      <c r="AN3" s="76">
        <v>43454</v>
      </c>
      <c r="AO3" s="114" t="s">
        <v>107</v>
      </c>
      <c r="AP3" s="90"/>
      <c r="AQ3" s="114" t="s">
        <v>106</v>
      </c>
      <c r="AR3" s="90"/>
      <c r="AS3" s="110" t="s">
        <v>80</v>
      </c>
      <c r="AT3" s="90"/>
      <c r="AU3" s="110" t="s">
        <v>73</v>
      </c>
      <c r="AV3" s="78">
        <v>0</v>
      </c>
      <c r="AW3" s="89"/>
      <c r="AX3" s="78">
        <v>299</v>
      </c>
      <c r="AY3" s="61"/>
      <c r="AZ3" s="61"/>
      <c r="BA3" s="120"/>
      <c r="BB3" s="90"/>
      <c r="BC3" s="120"/>
      <c r="BD3" s="120"/>
      <c r="BE3" s="120"/>
      <c r="BF3" s="141">
        <v>43456</v>
      </c>
      <c r="BG3" s="72">
        <v>2880</v>
      </c>
      <c r="BH3" s="142" t="s">
        <v>98</v>
      </c>
      <c r="BI3" s="142" t="s">
        <v>101</v>
      </c>
      <c r="BJ3" s="102"/>
      <c r="BK3" s="83"/>
      <c r="BL3" s="90"/>
      <c r="BM3" s="90"/>
      <c r="BN3" s="66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 s="91"/>
      <c r="FT3" s="91"/>
      <c r="FU3" s="91"/>
      <c r="FV3" s="91"/>
      <c r="FW3" s="91"/>
      <c r="FX3" s="91"/>
      <c r="FY3" s="91"/>
      <c r="FZ3" s="91"/>
      <c r="GA3" s="91"/>
      <c r="GB3" s="91"/>
      <c r="GC3" s="91"/>
      <c r="GD3" s="91"/>
      <c r="GE3" s="91"/>
      <c r="GF3" s="91"/>
      <c r="GG3" s="91"/>
      <c r="GH3" s="91"/>
      <c r="GI3" s="91"/>
      <c r="GJ3" s="91"/>
      <c r="GK3" s="91"/>
      <c r="GL3" s="91"/>
      <c r="GM3" s="91"/>
      <c r="GN3" s="91"/>
      <c r="GO3" s="91"/>
      <c r="GP3" s="91"/>
      <c r="GQ3" s="91"/>
      <c r="GR3" s="91"/>
      <c r="GS3" s="91"/>
      <c r="GT3" s="91"/>
      <c r="GU3" s="91"/>
      <c r="GV3" s="91"/>
      <c r="GW3" s="91"/>
      <c r="GX3" s="91"/>
      <c r="GY3" s="91"/>
      <c r="GZ3" s="91"/>
      <c r="HA3" s="91"/>
      <c r="HB3" s="91"/>
      <c r="HC3" s="91"/>
      <c r="HD3" s="91"/>
      <c r="HE3" s="91"/>
      <c r="HF3" s="91"/>
      <c r="HG3" s="91"/>
      <c r="HH3" s="91"/>
      <c r="HI3" s="91"/>
      <c r="HJ3" s="91"/>
      <c r="HK3" s="91"/>
      <c r="HL3" s="91"/>
      <c r="HM3" s="91"/>
      <c r="HN3" s="91"/>
      <c r="HO3" s="91"/>
      <c r="HP3" s="91"/>
      <c r="HQ3" s="91"/>
      <c r="HR3" s="91"/>
      <c r="HS3" s="91"/>
      <c r="HT3" s="91"/>
      <c r="HU3" s="91"/>
      <c r="HV3" s="91"/>
      <c r="HW3" s="91"/>
      <c r="HX3" s="91"/>
      <c r="HY3" s="91"/>
      <c r="HZ3" s="91"/>
      <c r="IA3" s="91"/>
      <c r="IB3" s="91"/>
      <c r="IC3" s="91"/>
      <c r="ID3" s="91"/>
      <c r="IE3" s="91"/>
      <c r="IF3" s="91"/>
      <c r="IG3" s="91"/>
      <c r="IH3" s="91"/>
      <c r="II3" s="91"/>
      <c r="IJ3" s="91"/>
      <c r="IK3" s="91"/>
      <c r="IL3" s="91"/>
      <c r="IM3" s="91"/>
      <c r="IN3" s="91"/>
      <c r="IO3" s="91"/>
      <c r="IP3" s="91"/>
      <c r="IQ3" s="91"/>
      <c r="IR3" s="91"/>
      <c r="IS3" s="91"/>
      <c r="IT3" s="91"/>
      <c r="IU3" s="91"/>
      <c r="IV3" s="91"/>
      <c r="IW3" s="91"/>
    </row>
    <row r="4" spans="1:257" hidden="1">
      <c r="A4"/>
      <c r="B4" s="61" t="s">
        <v>61</v>
      </c>
      <c r="C4" s="61" t="s">
        <v>123</v>
      </c>
      <c r="D4" s="67" t="s">
        <v>124</v>
      </c>
      <c r="E4" s="69"/>
      <c r="F4" s="89"/>
      <c r="G4" s="91"/>
      <c r="H4" s="91"/>
      <c r="I4" s="89"/>
      <c r="J4" s="89"/>
      <c r="K4" s="89"/>
      <c r="L4" s="89"/>
      <c r="M4" s="89"/>
      <c r="N4" s="89"/>
      <c r="O4" s="89"/>
      <c r="P4" s="89"/>
      <c r="Q4" s="89"/>
      <c r="R4" s="102"/>
      <c r="S4" s="61"/>
      <c r="T4" s="89"/>
      <c r="U4" s="89"/>
      <c r="V4" s="91"/>
      <c r="W4" s="61"/>
      <c r="X4" s="89"/>
      <c r="Y4" s="89"/>
      <c r="Z4" s="106" t="s">
        <v>111</v>
      </c>
      <c r="AA4" s="89"/>
      <c r="AB4" s="75" t="s">
        <v>112</v>
      </c>
      <c r="AC4" s="89"/>
      <c r="AF4" s="107"/>
      <c r="AG4" s="89"/>
      <c r="AH4" s="107"/>
      <c r="AI4" s="107"/>
      <c r="AJ4" s="107"/>
      <c r="AK4" s="107"/>
      <c r="AL4" s="90"/>
      <c r="AM4" s="89"/>
      <c r="AN4" s="76">
        <v>43463</v>
      </c>
      <c r="AO4" s="114" t="s">
        <v>64</v>
      </c>
      <c r="AP4" s="89"/>
      <c r="AQ4" s="114" t="s">
        <v>108</v>
      </c>
      <c r="AR4" s="89"/>
      <c r="AS4" s="76" t="s">
        <v>80</v>
      </c>
      <c r="AT4" s="89"/>
      <c r="AU4" s="76" t="s">
        <v>73</v>
      </c>
      <c r="AV4" s="78">
        <v>0</v>
      </c>
      <c r="AW4" s="114" t="s">
        <v>73</v>
      </c>
      <c r="AX4" s="78">
        <v>0</v>
      </c>
      <c r="AY4" s="61"/>
      <c r="AZ4" s="61"/>
      <c r="BA4" s="120"/>
      <c r="BB4" s="90"/>
      <c r="BC4" s="120"/>
      <c r="BD4" s="120"/>
      <c r="BE4" s="120"/>
      <c r="BF4" s="90"/>
      <c r="BG4" s="61"/>
      <c r="BH4" s="89"/>
      <c r="BI4" s="89"/>
      <c r="BJ4" s="100"/>
      <c r="BK4" s="83"/>
      <c r="BL4" s="89"/>
      <c r="BM4" s="89"/>
      <c r="BN4" s="142"/>
      <c r="BO4" s="66"/>
      <c r="BP4" s="66"/>
      <c r="BQ4" s="66"/>
      <c r="BR4" s="66"/>
      <c r="BS4" s="66"/>
      <c r="BT4" s="66"/>
      <c r="BU4" s="66"/>
      <c r="BV4" s="66"/>
      <c r="BW4" s="66"/>
      <c r="BX4" s="66"/>
      <c r="BY4" s="66"/>
      <c r="BZ4" s="66"/>
      <c r="CA4" s="66"/>
      <c r="CB4" s="66"/>
      <c r="CC4" s="66"/>
      <c r="CD4" s="66"/>
      <c r="CE4" s="66"/>
      <c r="CF4" s="66"/>
      <c r="CG4" s="66"/>
      <c r="CH4" s="66"/>
      <c r="CI4" s="66"/>
      <c r="CJ4" s="66"/>
      <c r="CK4" s="66"/>
      <c r="CL4" s="66"/>
      <c r="CM4" s="66"/>
      <c r="CN4" s="66"/>
      <c r="CO4" s="66"/>
      <c r="CP4" s="66"/>
      <c r="CQ4" s="66"/>
      <c r="CR4" s="66"/>
      <c r="CS4" s="66"/>
      <c r="CT4" s="66"/>
      <c r="CU4" s="66"/>
      <c r="CV4" s="66"/>
      <c r="CW4" s="66"/>
      <c r="CX4" s="66"/>
      <c r="CY4" s="66"/>
      <c r="CZ4" s="66"/>
      <c r="DA4" s="66"/>
      <c r="DB4" s="66"/>
      <c r="DC4" s="66"/>
      <c r="DD4" s="66"/>
      <c r="DE4" s="66"/>
      <c r="DF4" s="66"/>
      <c r="DG4" s="66"/>
      <c r="DH4" s="66"/>
      <c r="DI4" s="66"/>
      <c r="DJ4" s="66"/>
      <c r="DK4" s="66"/>
      <c r="DL4" s="66"/>
      <c r="DM4" s="66"/>
      <c r="DN4" s="66"/>
      <c r="DO4" s="66"/>
      <c r="DP4" s="66"/>
      <c r="DQ4" s="66"/>
      <c r="DR4" s="66"/>
      <c r="DS4" s="66"/>
      <c r="DT4" s="66"/>
      <c r="DU4" s="66"/>
      <c r="DV4" s="66"/>
      <c r="DW4" s="66"/>
      <c r="DX4" s="66"/>
      <c r="DY4" s="66"/>
      <c r="DZ4" s="66"/>
      <c r="EA4" s="66"/>
      <c r="EB4" s="66"/>
      <c r="EC4" s="66"/>
      <c r="ED4" s="66"/>
      <c r="EE4" s="66"/>
      <c r="EF4" s="66"/>
      <c r="EG4" s="66"/>
      <c r="EH4" s="66"/>
      <c r="EI4" s="66"/>
      <c r="EJ4" s="66"/>
      <c r="EK4" s="66"/>
      <c r="EL4" s="66"/>
      <c r="EM4" s="66"/>
      <c r="EN4" s="66"/>
      <c r="EO4" s="66"/>
      <c r="EP4" s="66"/>
      <c r="EQ4" s="66"/>
      <c r="ER4" s="66"/>
      <c r="ES4" s="66"/>
      <c r="ET4" s="66"/>
      <c r="EU4" s="66"/>
      <c r="EV4" s="66"/>
      <c r="EW4" s="66"/>
      <c r="EX4" s="66"/>
      <c r="EY4" s="66"/>
      <c r="EZ4" s="66"/>
      <c r="FA4" s="66"/>
      <c r="FB4" s="66"/>
      <c r="FC4" s="66"/>
      <c r="FD4" s="66"/>
      <c r="FE4" s="66"/>
      <c r="FF4" s="66"/>
      <c r="FG4" s="66"/>
      <c r="FH4" s="66"/>
      <c r="FI4" s="66"/>
      <c r="FJ4" s="66"/>
      <c r="FK4" s="66"/>
      <c r="FL4" s="66"/>
      <c r="FM4" s="66"/>
      <c r="FN4" s="66"/>
      <c r="FO4" s="66"/>
      <c r="FP4" s="66"/>
      <c r="FQ4" s="66"/>
      <c r="FR4" s="66"/>
    </row>
    <row r="5" spans="1:257" hidden="1">
      <c r="A5" s="91"/>
      <c r="B5" s="61" t="s">
        <v>61</v>
      </c>
      <c r="C5" s="61" t="s">
        <v>165</v>
      </c>
      <c r="D5" s="67" t="s">
        <v>164</v>
      </c>
      <c r="E5" s="69"/>
      <c r="F5" s="89"/>
      <c r="G5" s="89"/>
      <c r="H5" s="89"/>
      <c r="I5" s="89"/>
      <c r="J5" s="90"/>
      <c r="K5" s="90"/>
      <c r="L5" s="90"/>
      <c r="M5" s="90"/>
      <c r="N5" s="90"/>
      <c r="O5" s="90"/>
      <c r="P5" s="90"/>
      <c r="Q5" s="90"/>
      <c r="R5" s="100"/>
      <c r="S5" s="71"/>
      <c r="T5" s="91"/>
      <c r="U5" s="91"/>
      <c r="V5" s="89"/>
      <c r="W5" s="61"/>
      <c r="X5" s="89"/>
      <c r="Y5" s="90"/>
      <c r="Z5" s="91"/>
      <c r="AA5" s="106" t="s">
        <v>138</v>
      </c>
      <c r="AB5" s="75" t="s">
        <v>112</v>
      </c>
      <c r="AC5"/>
      <c r="AF5" s="107"/>
      <c r="AG5"/>
      <c r="AH5" s="89"/>
      <c r="AI5" s="89"/>
      <c r="AJ5" s="89"/>
      <c r="AK5" s="89"/>
      <c r="AL5" s="89"/>
      <c r="AM5" s="90"/>
      <c r="AN5" s="76">
        <v>43593</v>
      </c>
      <c r="AO5" s="114" t="s">
        <v>73</v>
      </c>
      <c r="AQ5" s="114" t="s">
        <v>73</v>
      </c>
      <c r="AR5" s="114"/>
      <c r="AS5" s="114" t="s">
        <v>73</v>
      </c>
      <c r="AT5" s="114"/>
      <c r="AU5" s="110" t="s">
        <v>73</v>
      </c>
      <c r="AV5" s="78" t="s">
        <v>73</v>
      </c>
      <c r="AW5" s="114" t="s">
        <v>73</v>
      </c>
      <c r="AX5" s="78" t="s">
        <v>73</v>
      </c>
      <c r="AY5" s="61"/>
      <c r="AZ5" s="61"/>
      <c r="BA5" s="120"/>
      <c r="BB5" s="90"/>
      <c r="BC5" s="120"/>
      <c r="BD5" s="120"/>
      <c r="BE5" s="120"/>
      <c r="BF5" s="141">
        <v>43605</v>
      </c>
      <c r="BG5" s="72">
        <v>1500</v>
      </c>
      <c r="BH5" s="103" t="s">
        <v>166</v>
      </c>
      <c r="BI5" s="103" t="s">
        <v>101</v>
      </c>
      <c r="BJ5" s="128"/>
      <c r="BK5" s="83"/>
      <c r="BL5" s="129"/>
      <c r="BM5" s="129"/>
      <c r="BN5" s="142"/>
      <c r="BO5" s="66"/>
      <c r="BP5" s="66"/>
      <c r="BQ5" s="66"/>
      <c r="BR5" s="66"/>
      <c r="BS5" s="66"/>
      <c r="BT5" s="66"/>
      <c r="BU5" s="66"/>
      <c r="BV5" s="66"/>
      <c r="BW5" s="66"/>
      <c r="BX5" s="66"/>
      <c r="BY5" s="66"/>
      <c r="BZ5" s="66"/>
      <c r="CA5" s="66"/>
      <c r="CB5" s="66"/>
      <c r="CC5" s="66"/>
      <c r="CD5" s="66"/>
      <c r="CE5" s="66"/>
      <c r="CF5" s="66"/>
      <c r="CG5" s="66"/>
      <c r="CH5" s="66"/>
      <c r="CI5" s="66"/>
      <c r="CJ5" s="66"/>
      <c r="CK5" s="66"/>
      <c r="CL5" s="66"/>
      <c r="CM5" s="66"/>
      <c r="CN5" s="66"/>
      <c r="CO5" s="66"/>
      <c r="CP5" s="66"/>
      <c r="CQ5" s="66"/>
      <c r="CR5" s="66"/>
      <c r="CS5" s="66"/>
      <c r="CT5" s="66"/>
      <c r="CU5" s="66"/>
      <c r="CV5" s="66"/>
      <c r="CW5" s="66"/>
      <c r="CX5" s="66"/>
      <c r="CY5" s="66"/>
      <c r="CZ5" s="66"/>
      <c r="DA5" s="66"/>
      <c r="DB5" s="66"/>
      <c r="DC5" s="66"/>
      <c r="DD5" s="66"/>
      <c r="DE5" s="66"/>
      <c r="DF5" s="66"/>
      <c r="DG5" s="66"/>
      <c r="DH5" s="66"/>
      <c r="DI5" s="66"/>
      <c r="DJ5" s="66"/>
      <c r="DK5" s="66"/>
      <c r="DL5" s="66"/>
      <c r="DM5" s="66"/>
      <c r="DN5" s="66"/>
      <c r="DO5" s="66"/>
      <c r="DP5" s="66"/>
      <c r="DQ5" s="66"/>
      <c r="DR5" s="66"/>
      <c r="DS5" s="66"/>
      <c r="DT5" s="66"/>
      <c r="DU5" s="66"/>
      <c r="DV5" s="66"/>
      <c r="DW5" s="66"/>
      <c r="DX5" s="66"/>
      <c r="DY5" s="66"/>
      <c r="DZ5" s="66"/>
      <c r="EA5" s="66"/>
      <c r="EB5" s="66"/>
      <c r="EC5" s="66"/>
      <c r="ED5" s="66"/>
      <c r="EE5" s="66"/>
      <c r="EF5" s="66"/>
      <c r="EG5" s="66"/>
      <c r="EH5" s="66"/>
      <c r="EI5" s="66"/>
      <c r="EJ5" s="66"/>
      <c r="EK5" s="66"/>
      <c r="EL5" s="66"/>
      <c r="EM5" s="66"/>
      <c r="EN5" s="66"/>
      <c r="EO5" s="66"/>
      <c r="EP5" s="66"/>
      <c r="EQ5" s="66"/>
      <c r="ER5" s="66"/>
      <c r="ES5" s="66"/>
      <c r="ET5" s="66"/>
      <c r="EU5" s="66"/>
      <c r="EV5" s="66"/>
      <c r="EW5" s="66"/>
      <c r="EX5" s="66"/>
      <c r="EY5" s="66"/>
      <c r="EZ5" s="66"/>
      <c r="FA5" s="66"/>
      <c r="FB5" s="66"/>
      <c r="FC5" s="66"/>
      <c r="FD5" s="66"/>
      <c r="FE5" s="66"/>
      <c r="FF5" s="66"/>
      <c r="FG5" s="66"/>
      <c r="FH5" s="66"/>
      <c r="FI5" s="66"/>
      <c r="FJ5" s="66"/>
      <c r="FK5" s="66"/>
      <c r="FL5" s="66"/>
      <c r="FM5" s="66"/>
      <c r="FN5" s="66"/>
      <c r="FO5" s="66"/>
      <c r="FP5" s="66"/>
      <c r="FQ5" s="66"/>
      <c r="FR5" s="66"/>
    </row>
    <row r="6" spans="1:257" hidden="1">
      <c r="A6" s="91"/>
      <c r="B6" s="61" t="s">
        <v>61</v>
      </c>
      <c r="C6" s="61" t="s">
        <v>179</v>
      </c>
      <c r="D6" s="67" t="s">
        <v>180</v>
      </c>
      <c r="E6" s="69"/>
      <c r="F6" s="91"/>
      <c r="G6" s="91"/>
      <c r="H6" s="91"/>
      <c r="I6" s="89"/>
      <c r="J6" s="92"/>
      <c r="K6" s="92"/>
      <c r="L6" s="92"/>
      <c r="M6" s="92"/>
      <c r="N6" s="92"/>
      <c r="O6" s="92"/>
      <c r="P6" s="92"/>
      <c r="Q6" s="92"/>
      <c r="R6" s="100"/>
      <c r="S6" s="61"/>
      <c r="T6" s="91"/>
      <c r="U6" s="91"/>
      <c r="V6" s="91"/>
      <c r="W6" s="61"/>
      <c r="X6" s="89"/>
      <c r="Y6" s="91"/>
      <c r="Z6" s="91"/>
      <c r="AA6" s="91"/>
      <c r="AB6" s="89"/>
      <c r="AC6" s="91"/>
      <c r="AF6" s="107"/>
      <c r="AG6" s="91"/>
      <c r="AH6" s="89"/>
      <c r="AI6" s="89"/>
      <c r="AJ6" s="89"/>
      <c r="AK6" s="89"/>
      <c r="AL6" s="91"/>
      <c r="AM6" s="91"/>
      <c r="AN6" s="76">
        <v>43653</v>
      </c>
      <c r="AO6" s="89"/>
      <c r="AP6" s="91"/>
      <c r="AQ6" s="114"/>
      <c r="AR6" s="114"/>
      <c r="AS6" s="114"/>
      <c r="AT6" s="114"/>
      <c r="AU6" s="100"/>
      <c r="AV6" s="77"/>
      <c r="AW6" s="89"/>
      <c r="AX6" s="77"/>
      <c r="AY6" s="61"/>
      <c r="AZ6" s="61"/>
      <c r="BA6" s="120"/>
      <c r="BB6" s="90"/>
      <c r="BC6" s="120"/>
      <c r="BD6" s="120"/>
      <c r="BE6" s="120"/>
      <c r="BF6" s="89"/>
      <c r="BG6" s="61"/>
      <c r="BH6" s="89"/>
      <c r="BI6"/>
      <c r="BJ6" s="128">
        <v>43696</v>
      </c>
      <c r="BK6" s="83">
        <v>234</v>
      </c>
      <c r="BL6" s="129" t="s">
        <v>92</v>
      </c>
      <c r="BM6" s="129" t="s">
        <v>93</v>
      </c>
      <c r="BN6" s="66"/>
      <c r="BO6" s="66"/>
      <c r="BP6" s="66"/>
      <c r="BQ6" s="66"/>
      <c r="BR6" s="66"/>
      <c r="BS6" s="66"/>
      <c r="BT6" s="66"/>
      <c r="BU6" s="66"/>
      <c r="BV6" s="66"/>
      <c r="BW6" s="66"/>
      <c r="BX6" s="66"/>
      <c r="BY6" s="66"/>
      <c r="BZ6" s="66"/>
      <c r="CA6" s="66"/>
      <c r="CB6" s="66"/>
      <c r="CC6" s="66"/>
      <c r="CD6" s="66"/>
      <c r="CE6" s="66"/>
      <c r="CF6" s="66"/>
      <c r="CG6" s="66"/>
      <c r="CH6" s="66"/>
      <c r="CI6" s="66"/>
      <c r="CJ6" s="66"/>
      <c r="CK6" s="66"/>
      <c r="CL6" s="66"/>
      <c r="CM6" s="66"/>
      <c r="CN6" s="66"/>
      <c r="CO6" s="66"/>
      <c r="CP6" s="66"/>
      <c r="CQ6" s="66"/>
      <c r="CR6" s="66"/>
      <c r="CS6" s="66"/>
      <c r="CT6" s="66"/>
      <c r="CU6" s="66"/>
      <c r="CV6" s="66"/>
      <c r="CW6" s="66"/>
      <c r="CX6" s="66"/>
      <c r="CY6" s="66"/>
      <c r="CZ6" s="66"/>
      <c r="DA6" s="66"/>
      <c r="DB6" s="66"/>
      <c r="DC6" s="66"/>
      <c r="DD6" s="66"/>
      <c r="DE6" s="66"/>
      <c r="DF6" s="66"/>
      <c r="DG6" s="66"/>
      <c r="DH6" s="66"/>
      <c r="DI6" s="66"/>
      <c r="DJ6" s="66"/>
      <c r="DK6" s="66"/>
      <c r="DL6" s="66"/>
      <c r="DM6" s="66"/>
      <c r="DN6" s="66"/>
      <c r="DO6" s="66"/>
      <c r="DP6" s="66"/>
      <c r="DQ6" s="66"/>
      <c r="DR6" s="66"/>
      <c r="DS6" s="66"/>
      <c r="DT6" s="66"/>
      <c r="DU6" s="66"/>
      <c r="DV6" s="66"/>
      <c r="DW6" s="66"/>
      <c r="DX6" s="66"/>
      <c r="DY6" s="66"/>
      <c r="DZ6" s="66"/>
      <c r="EA6" s="66"/>
      <c r="EB6" s="66"/>
      <c r="EC6" s="66"/>
      <c r="ED6" s="66"/>
      <c r="EE6" s="66"/>
      <c r="EF6" s="66"/>
      <c r="EG6" s="66"/>
      <c r="EH6" s="66"/>
      <c r="EI6" s="66"/>
      <c r="EJ6" s="66"/>
      <c r="EK6" s="66"/>
      <c r="EL6" s="66"/>
      <c r="EM6" s="66"/>
      <c r="EN6" s="66"/>
      <c r="EO6" s="66"/>
      <c r="EP6" s="66"/>
      <c r="EQ6" s="66"/>
      <c r="ER6" s="66"/>
      <c r="ES6" s="66"/>
      <c r="ET6" s="66"/>
      <c r="EU6" s="66"/>
      <c r="EV6" s="66"/>
      <c r="EW6" s="66"/>
      <c r="EX6" s="66"/>
      <c r="EY6" s="66"/>
      <c r="EZ6" s="66"/>
      <c r="FA6" s="66"/>
      <c r="FB6" s="66"/>
      <c r="FC6" s="66"/>
      <c r="FD6" s="66"/>
      <c r="FE6" s="66"/>
      <c r="FF6" s="66"/>
      <c r="FG6" s="66"/>
      <c r="FH6" s="66"/>
      <c r="FI6" s="66"/>
      <c r="FJ6" s="66"/>
      <c r="FK6" s="66"/>
      <c r="FL6" s="66"/>
      <c r="FM6" s="66"/>
      <c r="FN6" s="66"/>
      <c r="FO6" s="66"/>
      <c r="FP6" s="66"/>
      <c r="FQ6" s="66"/>
      <c r="FR6" s="66"/>
    </row>
    <row r="7" spans="1:257" hidden="1">
      <c r="A7" s="89"/>
      <c r="B7" s="61" t="s">
        <v>61</v>
      </c>
      <c r="C7" s="61" t="s">
        <v>182</v>
      </c>
      <c r="D7" s="67" t="s">
        <v>183</v>
      </c>
      <c r="E7" s="69"/>
      <c r="F7" s="90"/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61"/>
      <c r="T7" s="91"/>
      <c r="U7" s="61"/>
      <c r="V7"/>
      <c r="W7" s="61"/>
      <c r="X7" s="89"/>
      <c r="Y7" s="89"/>
      <c r="Z7" s="89"/>
      <c r="AA7" s="91"/>
      <c r="AB7" s="75" t="s">
        <v>153</v>
      </c>
      <c r="AC7" s="91"/>
      <c r="AF7" s="107"/>
      <c r="AG7" s="89"/>
      <c r="AH7" s="89"/>
      <c r="AI7" s="89"/>
      <c r="AJ7" s="89"/>
      <c r="AK7" s="89"/>
      <c r="AL7" s="89"/>
      <c r="AM7" s="90"/>
      <c r="AN7" s="76">
        <v>43663</v>
      </c>
      <c r="AO7" s="77" t="s">
        <v>154</v>
      </c>
      <c r="AP7" s="90"/>
      <c r="AQ7" s="114" t="s">
        <v>73</v>
      </c>
      <c r="AR7" s="114"/>
      <c r="AS7" s="114" t="s">
        <v>80</v>
      </c>
      <c r="AT7" s="90"/>
      <c r="AU7" s="76">
        <v>43713</v>
      </c>
      <c r="AV7" s="78">
        <v>3000</v>
      </c>
      <c r="AW7" s="77" t="s">
        <v>150</v>
      </c>
      <c r="AX7" s="78">
        <v>3000</v>
      </c>
      <c r="AY7" s="61"/>
      <c r="AZ7" s="61"/>
      <c r="BA7" s="120"/>
      <c r="BB7" s="91"/>
      <c r="BC7" s="120"/>
      <c r="BD7" s="120"/>
      <c r="BE7" s="120"/>
      <c r="BF7" s="90"/>
      <c r="BG7" s="61"/>
      <c r="BH7" s="89"/>
      <c r="BI7" s="89"/>
      <c r="BJ7" s="102"/>
      <c r="BK7" s="83"/>
      <c r="BL7" s="90"/>
      <c r="BM7" s="90"/>
      <c r="BN7" s="132"/>
      <c r="BO7" s="91"/>
      <c r="BP7" s="91"/>
      <c r="BQ7" s="91"/>
      <c r="BR7" s="91"/>
      <c r="BS7" s="91"/>
      <c r="BT7" s="91"/>
      <c r="BU7" s="91"/>
      <c r="BV7" s="91"/>
      <c r="BW7" s="91"/>
      <c r="BX7" s="91"/>
      <c r="BY7" s="91"/>
      <c r="BZ7" s="91"/>
      <c r="CA7" s="91"/>
      <c r="CB7" s="91"/>
      <c r="CC7" s="91"/>
      <c r="CD7" s="91"/>
      <c r="CE7" s="91"/>
      <c r="CF7" s="91"/>
      <c r="CG7" s="91"/>
      <c r="CH7" s="91"/>
      <c r="CI7" s="91"/>
      <c r="CJ7" s="91"/>
      <c r="CK7" s="91"/>
      <c r="CL7" s="91"/>
      <c r="CM7" s="91"/>
      <c r="CN7" s="91"/>
      <c r="CO7" s="91"/>
      <c r="CP7" s="91"/>
      <c r="CQ7" s="91"/>
      <c r="CR7" s="91"/>
      <c r="CS7" s="91"/>
      <c r="CT7" s="91"/>
      <c r="CU7" s="91"/>
      <c r="CV7" s="91"/>
      <c r="CW7" s="91"/>
      <c r="CX7" s="91"/>
      <c r="CY7" s="91"/>
      <c r="CZ7" s="91"/>
      <c r="DA7" s="91"/>
      <c r="DB7" s="91"/>
      <c r="DC7" s="91"/>
      <c r="DD7" s="91"/>
      <c r="DE7" s="91"/>
      <c r="DF7" s="91"/>
      <c r="DG7" s="91"/>
      <c r="DH7" s="91"/>
      <c r="DI7" s="91"/>
      <c r="DJ7" s="91"/>
      <c r="DK7" s="91"/>
      <c r="DL7" s="91"/>
      <c r="DM7" s="91"/>
      <c r="DN7" s="91"/>
      <c r="DO7" s="91"/>
      <c r="DP7" s="91"/>
      <c r="DQ7" s="91"/>
      <c r="DR7" s="91"/>
      <c r="DS7" s="91"/>
      <c r="DT7" s="91"/>
      <c r="DU7" s="91"/>
      <c r="DV7" s="91"/>
      <c r="DW7" s="91"/>
      <c r="DX7" s="91"/>
      <c r="DY7" s="91"/>
      <c r="DZ7" s="91"/>
      <c r="EA7" s="91"/>
      <c r="EB7" s="91"/>
      <c r="EC7" s="91"/>
      <c r="ED7" s="91"/>
      <c r="EE7" s="91"/>
      <c r="EF7" s="91"/>
      <c r="EG7" s="91"/>
      <c r="EH7" s="91"/>
      <c r="EI7" s="91"/>
      <c r="EJ7" s="91"/>
      <c r="EK7" s="91"/>
      <c r="EL7" s="91"/>
      <c r="EM7" s="91"/>
      <c r="EN7" s="91"/>
      <c r="EO7" s="91"/>
      <c r="EP7" s="91"/>
      <c r="EQ7" s="91"/>
      <c r="ER7" s="91"/>
      <c r="ES7" s="91"/>
      <c r="ET7" s="91"/>
      <c r="EU7" s="91"/>
      <c r="EV7" s="91"/>
      <c r="EW7" s="91"/>
      <c r="EX7" s="91"/>
      <c r="EY7" s="91"/>
      <c r="EZ7" s="91"/>
      <c r="FA7" s="91"/>
      <c r="FB7" s="91"/>
      <c r="FC7" s="91"/>
      <c r="FD7" s="91"/>
      <c r="FE7" s="91"/>
      <c r="FF7" s="91"/>
      <c r="FG7" s="91"/>
      <c r="FH7" s="91"/>
      <c r="FI7" s="91"/>
      <c r="FJ7" s="91"/>
      <c r="FK7" s="91"/>
      <c r="FL7" s="91"/>
      <c r="FM7" s="91"/>
      <c r="FN7" s="91"/>
      <c r="FO7" s="91"/>
      <c r="FP7" s="91"/>
      <c r="FQ7" s="91"/>
      <c r="FR7" s="91"/>
      <c r="FS7" s="89"/>
      <c r="FT7" s="89"/>
      <c r="FU7" s="89"/>
      <c r="FV7" s="89"/>
      <c r="FW7" s="89"/>
      <c r="FX7" s="89"/>
      <c r="FY7" s="89"/>
      <c r="FZ7" s="89"/>
      <c r="GA7" s="89"/>
      <c r="GB7" s="89"/>
      <c r="GC7" s="89"/>
      <c r="GD7" s="89"/>
      <c r="GE7" s="89"/>
      <c r="GF7" s="89"/>
      <c r="GG7" s="89"/>
      <c r="GH7" s="89"/>
      <c r="GI7" s="89"/>
      <c r="GJ7" s="89"/>
      <c r="GK7" s="89"/>
      <c r="GL7" s="89"/>
      <c r="GM7" s="89"/>
      <c r="GN7" s="89"/>
      <c r="GO7" s="89"/>
      <c r="GP7" s="89"/>
      <c r="GQ7" s="89"/>
      <c r="GR7" s="89"/>
      <c r="GS7" s="89"/>
      <c r="GT7" s="89"/>
      <c r="GU7" s="89"/>
      <c r="GV7" s="89"/>
      <c r="GW7" s="89"/>
      <c r="GX7" s="89"/>
      <c r="GY7" s="89"/>
      <c r="GZ7" s="89"/>
      <c r="HA7" s="89"/>
      <c r="HB7" s="89"/>
      <c r="HC7" s="89"/>
      <c r="HD7" s="89"/>
      <c r="HE7" s="89"/>
      <c r="HF7" s="89"/>
      <c r="HG7" s="89"/>
      <c r="HH7" s="89"/>
      <c r="HI7" s="89"/>
      <c r="HJ7" s="89"/>
      <c r="HK7" s="89"/>
      <c r="HL7" s="89"/>
      <c r="HM7" s="89"/>
      <c r="HN7" s="89"/>
      <c r="HO7" s="89"/>
      <c r="HP7" s="89"/>
      <c r="HQ7" s="89"/>
      <c r="HR7" s="89"/>
      <c r="HS7" s="89"/>
      <c r="HT7" s="89"/>
      <c r="HU7" s="89"/>
      <c r="HV7" s="89"/>
      <c r="HW7" s="89"/>
      <c r="HX7" s="89"/>
      <c r="HY7" s="89"/>
      <c r="HZ7" s="89"/>
      <c r="IA7" s="89"/>
      <c r="IB7" s="89"/>
      <c r="IC7" s="89"/>
      <c r="ID7" s="89"/>
      <c r="IE7" s="89"/>
      <c r="IF7" s="89"/>
      <c r="IG7" s="89"/>
      <c r="IH7" s="89"/>
      <c r="II7" s="89"/>
      <c r="IJ7" s="89"/>
      <c r="IK7" s="89"/>
      <c r="IL7" s="89"/>
      <c r="IM7" s="89"/>
      <c r="IN7" s="89"/>
      <c r="IO7" s="89"/>
      <c r="IP7" s="89"/>
      <c r="IQ7" s="89"/>
      <c r="IR7" s="89"/>
      <c r="IS7" s="89"/>
      <c r="IT7" s="89"/>
      <c r="IU7" s="89"/>
      <c r="IV7" s="89"/>
      <c r="IW7" s="89"/>
    </row>
    <row r="8" spans="1:257">
      <c r="A8" s="144"/>
      <c r="B8" s="61" t="s">
        <v>62</v>
      </c>
      <c r="C8" s="61" t="s">
        <v>200</v>
      </c>
      <c r="D8" s="67" t="s">
        <v>201</v>
      </c>
      <c r="E8" s="69"/>
      <c r="F8" s="143"/>
      <c r="G8" s="144"/>
      <c r="H8" s="144"/>
      <c r="I8" s="69" t="s">
        <v>202</v>
      </c>
      <c r="J8" s="143"/>
      <c r="K8" s="143"/>
      <c r="L8" s="143"/>
      <c r="M8" s="143"/>
      <c r="N8" s="143"/>
      <c r="O8" s="143"/>
      <c r="P8" s="143"/>
      <c r="Q8" s="143"/>
      <c r="R8" s="146"/>
      <c r="S8" s="61"/>
      <c r="T8" s="143"/>
      <c r="U8" s="89"/>
      <c r="V8" s="61">
        <v>134</v>
      </c>
      <c r="W8" s="61"/>
      <c r="X8" s="144"/>
      <c r="Y8" s="144"/>
      <c r="Z8" s="143"/>
      <c r="AA8" s="106" t="s">
        <v>120</v>
      </c>
      <c r="AB8" s="75" t="s">
        <v>102</v>
      </c>
      <c r="AC8" s="144"/>
      <c r="AD8" s="89"/>
      <c r="AE8" s="89"/>
      <c r="AF8" s="107"/>
      <c r="AG8" s="143"/>
      <c r="AH8" s="144"/>
      <c r="AI8" s="144"/>
      <c r="AJ8" s="144"/>
      <c r="AK8" s="144"/>
      <c r="AL8" s="144"/>
      <c r="AM8" s="143"/>
      <c r="AN8" s="76">
        <v>43806</v>
      </c>
      <c r="AO8" s="77" t="s">
        <v>107</v>
      </c>
      <c r="AP8" s="91"/>
      <c r="AQ8" s="114" t="s">
        <v>73</v>
      </c>
      <c r="AR8" s="114"/>
      <c r="AS8" s="114" t="s">
        <v>73</v>
      </c>
      <c r="AT8" s="90"/>
      <c r="AU8" s="76">
        <v>43806</v>
      </c>
      <c r="AV8" s="78">
        <v>134</v>
      </c>
      <c r="AW8" s="114" t="s">
        <v>98</v>
      </c>
      <c r="AX8" s="78">
        <v>134</v>
      </c>
      <c r="AY8" s="61"/>
      <c r="AZ8" s="61"/>
      <c r="BA8" s="120"/>
      <c r="BB8" s="121"/>
      <c r="BC8" s="120"/>
      <c r="BD8" s="120"/>
      <c r="BE8" s="120"/>
      <c r="BF8" s="144"/>
      <c r="BG8" s="61"/>
      <c r="BH8" s="144"/>
      <c r="BJ8" s="143"/>
      <c r="BK8" s="83"/>
      <c r="BL8" s="143"/>
      <c r="BM8" s="143"/>
      <c r="BN8" s="150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 s="91"/>
      <c r="FT8" s="91"/>
      <c r="FU8" s="91"/>
      <c r="FV8" s="91"/>
      <c r="FW8" s="91"/>
      <c r="FX8" s="91"/>
      <c r="FY8" s="91"/>
      <c r="FZ8" s="91"/>
      <c r="GA8" s="91"/>
      <c r="GB8" s="91"/>
      <c r="GC8" s="91"/>
      <c r="GD8" s="91"/>
      <c r="GE8" s="91"/>
      <c r="GF8" s="91"/>
      <c r="GG8" s="91"/>
      <c r="GH8" s="91"/>
      <c r="GI8" s="91"/>
      <c r="GJ8" s="91"/>
      <c r="GK8" s="91"/>
      <c r="GL8" s="91"/>
      <c r="GM8" s="91"/>
      <c r="GN8" s="91"/>
      <c r="GO8" s="91"/>
      <c r="GP8" s="91"/>
      <c r="GQ8" s="91"/>
      <c r="GR8" s="91"/>
      <c r="GS8" s="91"/>
      <c r="GT8" s="91"/>
      <c r="GU8" s="91"/>
      <c r="GV8" s="91"/>
      <c r="GW8" s="91"/>
      <c r="GX8" s="91"/>
      <c r="GY8" s="91"/>
      <c r="GZ8" s="91"/>
      <c r="HA8" s="91"/>
      <c r="HB8" s="91"/>
      <c r="HC8" s="91"/>
      <c r="HD8" s="91"/>
      <c r="HE8" s="91"/>
      <c r="HF8" s="91"/>
      <c r="HG8" s="91"/>
      <c r="HH8" s="91"/>
      <c r="HI8" s="91"/>
      <c r="HJ8" s="91"/>
      <c r="HK8" s="91"/>
      <c r="HL8" s="91"/>
      <c r="HM8" s="91"/>
      <c r="HN8" s="91"/>
      <c r="HO8" s="91"/>
      <c r="HP8" s="91"/>
      <c r="HQ8" s="91"/>
      <c r="HR8" s="91"/>
      <c r="HS8" s="91"/>
      <c r="HT8" s="91"/>
      <c r="HU8" s="91"/>
      <c r="HV8" s="91"/>
      <c r="HW8" s="91"/>
      <c r="HX8" s="91"/>
      <c r="HY8" s="91"/>
      <c r="HZ8" s="91"/>
      <c r="IA8" s="91"/>
      <c r="IB8" s="91"/>
      <c r="IC8" s="91"/>
      <c r="ID8" s="91"/>
      <c r="IE8" s="91"/>
      <c r="IF8" s="91"/>
      <c r="IG8" s="91"/>
      <c r="IH8" s="91"/>
      <c r="II8" s="91"/>
      <c r="IJ8" s="91"/>
      <c r="IK8" s="91"/>
      <c r="IL8" s="91"/>
      <c r="IM8" s="91"/>
      <c r="IN8" s="91"/>
      <c r="IO8" s="91"/>
      <c r="IP8" s="91"/>
      <c r="IQ8" s="91"/>
      <c r="IR8" s="91"/>
      <c r="IS8" s="91"/>
      <c r="IT8" s="91"/>
      <c r="IU8" s="91"/>
      <c r="IV8" s="91"/>
      <c r="IW8" s="91"/>
    </row>
    <row r="9" spans="1:257">
      <c r="A9" s="143"/>
      <c r="B9" s="61" t="s">
        <v>62</v>
      </c>
      <c r="C9" s="61" t="s">
        <v>206</v>
      </c>
      <c r="D9" s="67" t="s">
        <v>186</v>
      </c>
      <c r="E9" s="69"/>
      <c r="F9" s="143"/>
      <c r="G9" s="143"/>
      <c r="H9" s="143"/>
      <c r="I9" s="92" t="s">
        <v>198</v>
      </c>
      <c r="J9" s="143"/>
      <c r="K9" s="143"/>
      <c r="L9" s="143"/>
      <c r="M9" s="143"/>
      <c r="N9" s="143"/>
      <c r="O9" s="143"/>
      <c r="P9" s="143"/>
      <c r="Q9" s="143"/>
      <c r="R9" s="144"/>
      <c r="S9" s="61"/>
      <c r="T9" s="143"/>
      <c r="U9" s="144"/>
      <c r="V9" s="101">
        <v>99</v>
      </c>
      <c r="W9" s="61"/>
      <c r="X9" s="106" t="s">
        <v>76</v>
      </c>
      <c r="Y9" s="143"/>
      <c r="Z9" s="143"/>
      <c r="AA9" s="106" t="s">
        <v>120</v>
      </c>
      <c r="AB9" s="75" t="s">
        <v>100</v>
      </c>
      <c r="AC9" s="143"/>
      <c r="AD9" s="89"/>
      <c r="AE9" s="89"/>
      <c r="AF9" s="107"/>
      <c r="AG9" s="145"/>
      <c r="AH9" s="144"/>
      <c r="AI9" s="144"/>
      <c r="AJ9" s="144"/>
      <c r="AK9" s="144"/>
      <c r="AL9" s="143"/>
      <c r="AM9" s="143"/>
      <c r="AN9" s="76">
        <v>43807</v>
      </c>
      <c r="AO9" s="77" t="s">
        <v>107</v>
      </c>
      <c r="AP9" s="91"/>
      <c r="AQ9" s="114" t="s">
        <v>73</v>
      </c>
      <c r="AR9" s="114"/>
      <c r="AS9" s="114" t="s">
        <v>109</v>
      </c>
      <c r="AT9" s="90"/>
      <c r="AU9" s="76">
        <v>43807</v>
      </c>
      <c r="AV9" s="78">
        <v>99</v>
      </c>
      <c r="AW9" s="77" t="s">
        <v>98</v>
      </c>
      <c r="AX9" s="78">
        <v>99</v>
      </c>
      <c r="AY9" s="61"/>
      <c r="AZ9" s="61"/>
      <c r="BA9" s="120"/>
      <c r="BB9" s="143"/>
      <c r="BC9" s="120"/>
      <c r="BD9" s="120"/>
      <c r="BE9" s="120"/>
      <c r="BF9" s="143"/>
      <c r="BG9" s="61"/>
      <c r="BH9" s="142"/>
      <c r="BI9" s="142"/>
      <c r="BJ9" s="143"/>
      <c r="BK9" s="83"/>
      <c r="BL9" s="143"/>
      <c r="BM9" s="143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 s="91"/>
      <c r="FT9" s="91"/>
      <c r="FU9" s="91"/>
      <c r="FV9" s="91"/>
      <c r="FW9" s="91"/>
      <c r="FX9" s="91"/>
      <c r="FY9" s="91"/>
      <c r="FZ9" s="91"/>
      <c r="GA9" s="91"/>
      <c r="GB9" s="91"/>
      <c r="GC9" s="91"/>
      <c r="GD9" s="91"/>
      <c r="GE9" s="91"/>
      <c r="GF9" s="91"/>
      <c r="GG9" s="91"/>
      <c r="GH9" s="91"/>
      <c r="GI9" s="91"/>
      <c r="GJ9" s="91"/>
      <c r="GK9" s="91"/>
      <c r="GL9" s="91"/>
      <c r="GM9" s="91"/>
      <c r="GN9" s="91"/>
      <c r="GO9" s="91"/>
      <c r="GP9" s="91"/>
      <c r="GQ9" s="91"/>
      <c r="GR9" s="91"/>
      <c r="GS9" s="91"/>
      <c r="GT9" s="91"/>
      <c r="GU9" s="91"/>
      <c r="GV9" s="91"/>
      <c r="GW9" s="91"/>
      <c r="GX9" s="91"/>
      <c r="GY9" s="91"/>
      <c r="GZ9" s="91"/>
      <c r="HA9" s="91"/>
      <c r="HB9" s="91"/>
      <c r="HC9" s="91"/>
      <c r="HD9" s="91"/>
      <c r="HE9" s="91"/>
      <c r="HF9" s="91"/>
      <c r="HG9" s="91"/>
      <c r="HH9" s="91"/>
      <c r="HI9" s="91"/>
      <c r="HJ9" s="91"/>
      <c r="HK9" s="91"/>
      <c r="HL9" s="91"/>
      <c r="HM9" s="91"/>
      <c r="HN9" s="91"/>
      <c r="HO9" s="91"/>
      <c r="HP9" s="91"/>
      <c r="HQ9" s="91"/>
      <c r="HR9" s="91"/>
      <c r="HS9" s="91"/>
      <c r="HT9" s="91"/>
      <c r="HU9" s="91"/>
      <c r="HV9" s="91"/>
      <c r="HW9" s="91"/>
      <c r="HX9" s="91"/>
      <c r="HY9" s="91"/>
      <c r="HZ9" s="91"/>
      <c r="IA9" s="91"/>
      <c r="IB9" s="91"/>
      <c r="IC9" s="91"/>
      <c r="ID9" s="91"/>
      <c r="IE9" s="91"/>
      <c r="IF9" s="91"/>
      <c r="IG9" s="91"/>
      <c r="IH9" s="91"/>
      <c r="II9" s="91"/>
      <c r="IJ9" s="91"/>
      <c r="IK9" s="91"/>
      <c r="IL9" s="91"/>
      <c r="IM9" s="91"/>
      <c r="IN9" s="91"/>
      <c r="IO9" s="91"/>
      <c r="IP9" s="91"/>
      <c r="IQ9" s="91"/>
      <c r="IR9" s="91"/>
      <c r="IS9" s="91"/>
      <c r="IT9" s="91"/>
      <c r="IU9" s="91"/>
      <c r="IV9" s="91"/>
      <c r="IW9" s="91"/>
    </row>
    <row r="10" spans="1:257" hidden="1">
      <c r="A10" s="103" t="s">
        <v>340</v>
      </c>
      <c r="B10" s="61" t="s">
        <v>61</v>
      </c>
      <c r="C10" s="61" t="s">
        <v>341</v>
      </c>
      <c r="D10" s="67" t="s">
        <v>342</v>
      </c>
      <c r="E10" s="69"/>
      <c r="F10" s="90"/>
      <c r="G10" s="91"/>
      <c r="H10" s="91"/>
      <c r="I10" s="91"/>
      <c r="J10" s="90"/>
      <c r="K10" s="90"/>
      <c r="L10" s="90"/>
      <c r="M10" s="90"/>
      <c r="N10" s="90"/>
      <c r="O10" s="90"/>
      <c r="P10" s="90"/>
      <c r="Q10" s="90"/>
      <c r="R10" s="102"/>
      <c r="S10" s="61"/>
      <c r="T10" s="89"/>
      <c r="U10"/>
      <c r="V10" s="89"/>
      <c r="W10" s="61"/>
      <c r="X10" s="91"/>
      <c r="Y10" s="90"/>
      <c r="Z10" s="106" t="s">
        <v>104</v>
      </c>
      <c r="AA10" s="89"/>
      <c r="AB10" s="89"/>
      <c r="AC10" s="90"/>
      <c r="AF10" s="107"/>
      <c r="AG10" s="89"/>
      <c r="AH10" s="108"/>
      <c r="AI10" s="108"/>
      <c r="AJ10" s="108"/>
      <c r="AK10" s="108"/>
      <c r="AL10" s="89"/>
      <c r="AM10" s="89"/>
      <c r="AN10" s="76" t="s">
        <v>73</v>
      </c>
      <c r="AO10" s="89"/>
      <c r="AP10" s="89"/>
      <c r="AQ10" s="114"/>
      <c r="AR10" s="114"/>
      <c r="AS10" s="114"/>
      <c r="AT10" s="89"/>
      <c r="AY10" s="61"/>
      <c r="AZ10" s="61"/>
      <c r="BA10" s="120"/>
      <c r="BB10" s="121">
        <v>43469</v>
      </c>
      <c r="BC10" s="80">
        <v>240</v>
      </c>
      <c r="BD10" s="79" t="s">
        <v>90</v>
      </c>
      <c r="BE10" s="79" t="s">
        <v>105</v>
      </c>
      <c r="BF10" s="91"/>
      <c r="BG10" s="61"/>
      <c r="BH10" s="90"/>
      <c r="BI10" s="90"/>
      <c r="BJ10" s="100"/>
      <c r="BK10" s="83"/>
      <c r="BL10" s="89"/>
      <c r="BM10" s="89"/>
      <c r="BN10" s="91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 s="91"/>
      <c r="FT10" s="91"/>
      <c r="FU10" s="91"/>
      <c r="FV10" s="91"/>
      <c r="FW10" s="91"/>
      <c r="FX10" s="91"/>
      <c r="FY10" s="91"/>
      <c r="FZ10" s="91"/>
      <c r="GA10" s="91"/>
      <c r="GB10" s="91"/>
      <c r="GC10" s="91"/>
      <c r="GD10" s="91"/>
      <c r="GE10" s="91"/>
      <c r="GF10" s="91"/>
      <c r="GG10" s="91"/>
      <c r="GH10" s="91"/>
      <c r="GI10" s="91"/>
      <c r="GJ10" s="91"/>
      <c r="GK10" s="91"/>
      <c r="GL10" s="91"/>
      <c r="GM10" s="91"/>
      <c r="GN10" s="91"/>
      <c r="GO10" s="91"/>
      <c r="GP10" s="91"/>
      <c r="GQ10" s="91"/>
      <c r="GR10" s="91"/>
      <c r="GS10" s="91"/>
      <c r="GT10" s="91"/>
      <c r="GU10" s="91"/>
      <c r="GV10" s="91"/>
      <c r="GW10" s="91"/>
      <c r="GX10" s="91"/>
      <c r="GY10" s="91"/>
      <c r="GZ10" s="91"/>
      <c r="HA10" s="91"/>
      <c r="HB10" s="91"/>
      <c r="HC10" s="91"/>
      <c r="HD10" s="91"/>
      <c r="HE10" s="91"/>
      <c r="HF10" s="91"/>
      <c r="HG10" s="91"/>
      <c r="HH10" s="91"/>
      <c r="HI10" s="91"/>
      <c r="HJ10" s="91"/>
      <c r="HK10" s="91"/>
      <c r="HL10" s="91"/>
      <c r="HM10" s="91"/>
      <c r="HN10" s="91"/>
      <c r="HO10" s="91"/>
      <c r="HP10" s="91"/>
      <c r="HQ10" s="91"/>
      <c r="HR10" s="91"/>
      <c r="HS10" s="91"/>
      <c r="HT10" s="91"/>
      <c r="HU10" s="91"/>
      <c r="HV10" s="91"/>
      <c r="HW10" s="91"/>
      <c r="HX10" s="91"/>
      <c r="HY10" s="91"/>
      <c r="HZ10" s="91"/>
      <c r="IA10" s="91"/>
      <c r="IB10" s="91"/>
      <c r="IC10" s="91"/>
      <c r="ID10" s="91"/>
      <c r="IE10" s="91"/>
      <c r="IF10" s="91"/>
      <c r="IG10" s="91"/>
      <c r="IH10" s="91"/>
      <c r="II10" s="91"/>
      <c r="IJ10" s="91"/>
      <c r="IK10" s="91"/>
      <c r="IL10" s="91"/>
      <c r="IM10" s="91"/>
      <c r="IN10" s="91"/>
      <c r="IO10" s="91"/>
      <c r="IP10" s="91"/>
      <c r="IQ10" s="91"/>
      <c r="IR10" s="91"/>
      <c r="IS10" s="91"/>
      <c r="IT10" s="91"/>
      <c r="IU10" s="91"/>
      <c r="IV10" s="91"/>
      <c r="IW10" s="91"/>
    </row>
    <row r="11" spans="1:257" hidden="1">
      <c r="A11" s="91"/>
      <c r="B11" s="61" t="s">
        <v>62</v>
      </c>
      <c r="C11" s="61" t="s">
        <v>354</v>
      </c>
      <c r="D11" s="67" t="s">
        <v>94</v>
      </c>
      <c r="E11" s="69" t="s">
        <v>79</v>
      </c>
      <c r="F11" s="92">
        <v>13816125386</v>
      </c>
      <c r="G11" s="93" t="s">
        <v>158</v>
      </c>
      <c r="H11" s="91"/>
      <c r="I11" s="92" t="s">
        <v>189</v>
      </c>
      <c r="J11" s="91"/>
      <c r="K11" s="91"/>
      <c r="L11" s="91"/>
      <c r="M11" s="91"/>
      <c r="N11" s="91"/>
      <c r="O11" s="91"/>
      <c r="P11" s="91"/>
      <c r="Q11" s="91"/>
      <c r="R11" s="100"/>
      <c r="S11" s="61"/>
      <c r="T11" s="91"/>
      <c r="U11" s="168"/>
      <c r="V11" s="142">
        <v>4032</v>
      </c>
      <c r="W11" s="61"/>
      <c r="X11" s="106" t="s">
        <v>76</v>
      </c>
      <c r="Y11" s="91"/>
      <c r="Z11" s="91"/>
      <c r="AA11" s="91"/>
      <c r="AB11" s="106" t="s">
        <v>99</v>
      </c>
      <c r="AC11" s="89"/>
      <c r="AF11" s="107"/>
      <c r="AG11" s="90"/>
      <c r="AH11" s="90"/>
      <c r="AI11" s="90"/>
      <c r="AJ11" s="90"/>
      <c r="AK11" s="90"/>
      <c r="AL11" s="90"/>
      <c r="AM11" s="89"/>
      <c r="AN11" s="89"/>
      <c r="AO11" s="90"/>
      <c r="AP11" s="90"/>
      <c r="AQ11" s="114"/>
      <c r="AR11" s="114"/>
      <c r="AS11" s="114"/>
      <c r="AT11" s="90"/>
      <c r="AY11" s="61"/>
      <c r="AZ11" s="61"/>
      <c r="BA11" s="120"/>
      <c r="BB11" s="90"/>
      <c r="BC11" s="120"/>
      <c r="BD11" s="120"/>
      <c r="BE11" s="120"/>
      <c r="BF11" s="90"/>
      <c r="BG11" s="61"/>
      <c r="BH11" s="91"/>
      <c r="BI11" s="91"/>
      <c r="BJ11" s="128"/>
      <c r="BK11" s="83"/>
      <c r="BL11" s="89"/>
      <c r="BM11" s="89"/>
      <c r="BN11" s="91"/>
      <c r="BO11" s="91"/>
      <c r="BP11" s="91"/>
      <c r="BQ11" s="91"/>
      <c r="BR11" s="91"/>
      <c r="BS11" s="91"/>
      <c r="BT11" s="91"/>
      <c r="BU11" s="91"/>
      <c r="BV11" s="91"/>
      <c r="BW11" s="91"/>
      <c r="BX11" s="91"/>
      <c r="BY11" s="91"/>
      <c r="BZ11" s="91"/>
      <c r="CA11" s="91"/>
      <c r="CB11" s="91"/>
      <c r="CC11" s="91"/>
      <c r="CD11" s="91"/>
      <c r="CE11" s="91"/>
      <c r="CF11" s="91"/>
      <c r="CG11" s="91"/>
      <c r="CH11" s="91"/>
      <c r="CI11" s="91"/>
      <c r="CJ11" s="91"/>
      <c r="CK11" s="91"/>
      <c r="CL11" s="91"/>
      <c r="CM11" s="91"/>
      <c r="CN11" s="91"/>
      <c r="CO11" s="91"/>
      <c r="CP11" s="91"/>
      <c r="CQ11" s="91"/>
      <c r="CR11" s="91"/>
      <c r="CS11" s="91"/>
      <c r="CT11" s="91"/>
      <c r="CU11" s="91"/>
      <c r="CV11" s="91"/>
      <c r="CW11" s="91"/>
      <c r="CX11" s="91"/>
      <c r="CY11" s="91"/>
      <c r="CZ11" s="91"/>
      <c r="DA11" s="91"/>
      <c r="DB11" s="91"/>
      <c r="DC11" s="91"/>
      <c r="DD11" s="91"/>
      <c r="DE11" s="91"/>
      <c r="DF11" s="91"/>
      <c r="DG11" s="91"/>
      <c r="DH11" s="91"/>
      <c r="DI11" s="91"/>
      <c r="DJ11" s="91"/>
      <c r="DK11" s="91"/>
      <c r="DL11" s="91"/>
      <c r="DM11" s="91"/>
      <c r="DN11" s="91"/>
      <c r="DO11" s="91"/>
      <c r="DP11" s="91"/>
      <c r="DQ11" s="91"/>
      <c r="DR11" s="91"/>
      <c r="DS11" s="91"/>
      <c r="DT11" s="91"/>
      <c r="DU11" s="91"/>
      <c r="DV11" s="91"/>
      <c r="DW11" s="91"/>
      <c r="DX11" s="91"/>
      <c r="DY11" s="91"/>
      <c r="DZ11" s="91"/>
      <c r="EA11" s="91"/>
      <c r="EB11" s="91"/>
      <c r="EC11" s="91"/>
      <c r="ED11" s="91"/>
      <c r="EE11" s="91"/>
      <c r="EF11" s="91"/>
      <c r="EG11" s="91"/>
      <c r="EH11" s="91"/>
      <c r="EI11" s="91"/>
      <c r="EJ11" s="91"/>
      <c r="EK11" s="91"/>
      <c r="EL11" s="91"/>
      <c r="EM11" s="91"/>
      <c r="EN11" s="91"/>
      <c r="EO11" s="91"/>
      <c r="EP11" s="91"/>
      <c r="EQ11" s="91"/>
      <c r="ER11" s="91"/>
      <c r="ES11" s="91"/>
      <c r="ET11" s="91"/>
      <c r="EU11" s="91"/>
      <c r="EV11" s="91"/>
      <c r="EW11" s="91"/>
      <c r="EX11" s="91"/>
      <c r="EY11" s="91"/>
      <c r="EZ11" s="91"/>
      <c r="FA11" s="91"/>
      <c r="FB11" s="91"/>
      <c r="FC11" s="91"/>
      <c r="FD11" s="91"/>
      <c r="FE11" s="91"/>
      <c r="FF11" s="91"/>
      <c r="FG11" s="91"/>
      <c r="FH11" s="91"/>
      <c r="FI11" s="91"/>
      <c r="FJ11" s="91"/>
      <c r="FK11" s="91"/>
      <c r="FL11" s="91"/>
      <c r="FM11" s="91"/>
      <c r="FN11" s="91"/>
      <c r="FO11" s="91"/>
      <c r="FP11" s="91"/>
      <c r="FQ11" s="91"/>
      <c r="FR11" s="91"/>
      <c r="FS11" s="89"/>
      <c r="FT11" s="89"/>
      <c r="FU11" s="89"/>
      <c r="FV11" s="89"/>
      <c r="FW11" s="89"/>
      <c r="FX11" s="89"/>
      <c r="FY11" s="89"/>
      <c r="FZ11" s="89"/>
      <c r="GA11" s="89"/>
      <c r="GB11" s="89"/>
      <c r="GC11" s="89"/>
      <c r="GD11" s="89"/>
      <c r="GE11" s="89"/>
      <c r="GF11" s="89"/>
      <c r="GG11" s="89"/>
      <c r="GH11" s="89"/>
      <c r="GI11" s="89"/>
      <c r="GJ11" s="89"/>
      <c r="GK11" s="89"/>
      <c r="GL11" s="89"/>
      <c r="GM11" s="89"/>
      <c r="GN11" s="89"/>
      <c r="GO11" s="89"/>
      <c r="GP11" s="89"/>
      <c r="GQ11" s="89"/>
      <c r="GR11" s="89"/>
      <c r="GS11" s="89"/>
      <c r="GT11" s="89"/>
      <c r="GU11" s="89"/>
      <c r="GV11" s="89"/>
      <c r="GW11" s="89"/>
      <c r="GX11" s="89"/>
      <c r="GY11" s="89"/>
      <c r="GZ11" s="89"/>
      <c r="HA11" s="89"/>
      <c r="HB11" s="89"/>
      <c r="HC11" s="89"/>
      <c r="HD11" s="89"/>
      <c r="HE11" s="89"/>
      <c r="HF11" s="89"/>
      <c r="HG11" s="89"/>
      <c r="HH11" s="89"/>
      <c r="HI11" s="89"/>
      <c r="HJ11" s="89"/>
      <c r="HK11" s="89"/>
      <c r="HL11" s="89"/>
      <c r="HM11" s="89"/>
      <c r="HN11" s="89"/>
      <c r="HO11" s="89"/>
      <c r="HP11" s="89"/>
      <c r="HQ11" s="89"/>
      <c r="HR11" s="89"/>
      <c r="HS11" s="89"/>
      <c r="HT11" s="89"/>
      <c r="HU11" s="89"/>
      <c r="HV11" s="89"/>
      <c r="HW11" s="89"/>
      <c r="HX11" s="89"/>
      <c r="HY11" s="89"/>
      <c r="HZ11" s="89"/>
      <c r="IA11" s="89"/>
      <c r="IB11" s="89"/>
      <c r="IC11" s="89"/>
      <c r="ID11" s="89"/>
      <c r="IE11" s="89"/>
      <c r="IF11" s="89"/>
      <c r="IG11" s="89"/>
      <c r="IH11" s="89"/>
      <c r="II11" s="89"/>
      <c r="IJ11" s="89"/>
      <c r="IK11" s="89"/>
      <c r="IL11" s="89"/>
      <c r="IM11" s="89"/>
      <c r="IN11" s="89"/>
      <c r="IO11" s="89"/>
      <c r="IP11" s="89"/>
      <c r="IQ11" s="89"/>
      <c r="IR11" s="89"/>
      <c r="IS11" s="89"/>
      <c r="IT11" s="89"/>
      <c r="IU11" s="89"/>
      <c r="IV11" s="89"/>
      <c r="IW11" s="89"/>
    </row>
    <row r="12" spans="1:257">
      <c r="A12" s="89"/>
      <c r="B12" s="61" t="s">
        <v>62</v>
      </c>
      <c r="C12" s="61" t="s">
        <v>275</v>
      </c>
      <c r="D12" s="67" t="s">
        <v>110</v>
      </c>
      <c r="E12" s="69"/>
      <c r="F12" s="91"/>
      <c r="G12" s="89"/>
      <c r="H12" s="89"/>
      <c r="I12" s="92" t="s">
        <v>276</v>
      </c>
      <c r="J12" s="89"/>
      <c r="K12" s="89"/>
      <c r="L12" s="89"/>
      <c r="M12" s="89"/>
      <c r="N12" s="89"/>
      <c r="O12" s="89"/>
      <c r="P12" s="89"/>
      <c r="Q12" s="89"/>
      <c r="R12" s="91"/>
      <c r="S12" s="61"/>
      <c r="T12" s="89"/>
      <c r="U12" s="167"/>
      <c r="V12" s="89"/>
      <c r="W12" s="61"/>
      <c r="X12" s="106" t="s">
        <v>76</v>
      </c>
      <c r="Y12" s="89"/>
      <c r="Z12" s="89"/>
      <c r="AA12" s="89"/>
      <c r="AB12" s="89"/>
      <c r="AC12" s="90"/>
      <c r="AD12" s="89"/>
      <c r="AE12" s="89"/>
      <c r="AF12" s="107"/>
      <c r="AG12" s="89"/>
      <c r="AH12" s="91"/>
      <c r="AI12" s="91"/>
      <c r="AJ12" s="91"/>
      <c r="AK12" s="91"/>
      <c r="AL12" s="90"/>
      <c r="AM12" s="89"/>
      <c r="AN12" s="76">
        <v>43827</v>
      </c>
      <c r="AO12" s="77" t="s">
        <v>64</v>
      </c>
      <c r="AP12" s="89"/>
      <c r="AQ12" s="114" t="s">
        <v>73</v>
      </c>
      <c r="AR12" s="114"/>
      <c r="AS12" s="114" t="s">
        <v>277</v>
      </c>
      <c r="AT12" s="89"/>
      <c r="AU12" s="76">
        <v>43827</v>
      </c>
      <c r="AV12" s="78">
        <v>1080</v>
      </c>
      <c r="AW12" s="77" t="s">
        <v>98</v>
      </c>
      <c r="AX12" s="78">
        <v>1080</v>
      </c>
      <c r="AY12" s="89"/>
      <c r="AZ12" s="89"/>
      <c r="BA12" s="89"/>
      <c r="BB12" s="102"/>
      <c r="BC12" s="89"/>
      <c r="BD12" s="89"/>
      <c r="BE12" s="89"/>
      <c r="BF12" s="102"/>
      <c r="BG12" s="89"/>
      <c r="BH12"/>
      <c r="BI12"/>
      <c r="BJ12" s="102"/>
      <c r="BK12" s="89"/>
      <c r="BL12" s="89"/>
      <c r="BM12" s="89"/>
      <c r="BN12" s="91"/>
      <c r="BO12" s="91"/>
      <c r="BP12" s="91"/>
      <c r="BQ12" s="91"/>
      <c r="BR12" s="91"/>
      <c r="BS12" s="91"/>
      <c r="BT12" s="91"/>
      <c r="BU12" s="91"/>
      <c r="BV12" s="91"/>
      <c r="BW12" s="91"/>
      <c r="BX12" s="91"/>
      <c r="BY12" s="91"/>
      <c r="BZ12" s="91"/>
      <c r="CA12" s="91"/>
      <c r="CB12" s="91"/>
      <c r="CC12" s="91"/>
      <c r="CD12" s="91"/>
      <c r="CE12" s="91"/>
      <c r="CF12" s="91"/>
      <c r="CG12" s="91"/>
      <c r="CH12" s="91"/>
      <c r="CI12" s="91"/>
      <c r="CJ12" s="91"/>
      <c r="CK12" s="91"/>
      <c r="CL12" s="91"/>
      <c r="CM12" s="91"/>
      <c r="CN12" s="91"/>
      <c r="CO12" s="91"/>
      <c r="CP12" s="91"/>
      <c r="CQ12" s="91"/>
      <c r="CR12" s="91"/>
      <c r="CS12" s="91"/>
      <c r="CT12" s="91"/>
      <c r="CU12" s="91"/>
      <c r="CV12" s="91"/>
      <c r="CW12" s="91"/>
      <c r="CX12" s="91"/>
      <c r="CY12" s="91"/>
      <c r="CZ12" s="91"/>
      <c r="DA12" s="91"/>
      <c r="DB12" s="91"/>
      <c r="DC12" s="91"/>
      <c r="DD12" s="91"/>
      <c r="DE12" s="91"/>
      <c r="DF12" s="91"/>
      <c r="DG12" s="91"/>
      <c r="DH12" s="91"/>
      <c r="DI12" s="91"/>
      <c r="DJ12" s="91"/>
      <c r="DK12" s="91"/>
      <c r="DL12" s="91"/>
      <c r="DM12" s="91"/>
      <c r="DN12" s="91"/>
      <c r="DO12" s="91"/>
      <c r="DP12" s="91"/>
      <c r="DQ12" s="91"/>
      <c r="DR12" s="91"/>
      <c r="DS12" s="91"/>
      <c r="DT12" s="91"/>
      <c r="DU12" s="91"/>
      <c r="DV12" s="91"/>
      <c r="DW12" s="91"/>
      <c r="DX12" s="91"/>
      <c r="DY12" s="91"/>
      <c r="DZ12" s="91"/>
      <c r="EA12" s="91"/>
      <c r="EB12" s="91"/>
      <c r="EC12" s="91"/>
      <c r="ED12" s="91"/>
      <c r="EE12" s="91"/>
      <c r="EF12" s="91"/>
      <c r="EG12" s="91"/>
      <c r="EH12" s="91"/>
      <c r="EI12" s="91"/>
      <c r="EJ12" s="91"/>
      <c r="EK12" s="91"/>
      <c r="EL12" s="91"/>
      <c r="EM12" s="91"/>
      <c r="EN12" s="91"/>
      <c r="EO12" s="91"/>
      <c r="EP12" s="91"/>
      <c r="EQ12" s="91"/>
      <c r="ER12" s="91"/>
      <c r="ES12" s="91"/>
      <c r="ET12" s="91"/>
      <c r="EU12" s="91"/>
      <c r="EV12" s="91"/>
      <c r="EW12" s="91"/>
      <c r="EX12" s="91"/>
      <c r="EY12" s="91"/>
      <c r="EZ12" s="91"/>
      <c r="FA12" s="91"/>
      <c r="FB12" s="91"/>
      <c r="FC12" s="91"/>
      <c r="FD12" s="91"/>
      <c r="FE12" s="91"/>
      <c r="FF12" s="91"/>
      <c r="FG12" s="91"/>
      <c r="FH12" s="91"/>
      <c r="FI12" s="91"/>
      <c r="FJ12" s="91"/>
      <c r="FK12" s="91"/>
      <c r="FL12" s="91"/>
      <c r="FM12" s="91"/>
      <c r="FN12" s="91"/>
      <c r="FO12" s="91"/>
      <c r="FP12" s="91"/>
      <c r="FQ12" s="91"/>
      <c r="FR12" s="91"/>
    </row>
    <row r="13" spans="1:257" hidden="1">
      <c r="A13" s="90"/>
      <c r="B13" s="61" t="s">
        <v>62</v>
      </c>
      <c r="C13" s="61" t="s">
        <v>331</v>
      </c>
      <c r="D13" s="67" t="s">
        <v>332</v>
      </c>
      <c r="E13" s="69" t="s">
        <v>73</v>
      </c>
      <c r="F13" s="69">
        <v>18321718075</v>
      </c>
      <c r="G13" s="93" t="s">
        <v>158</v>
      </c>
      <c r="H13" s="92" t="s">
        <v>333</v>
      </c>
      <c r="I13" s="92" t="s">
        <v>129</v>
      </c>
      <c r="J13" s="69" t="s">
        <v>334</v>
      </c>
      <c r="K13" s="69" t="s">
        <v>335</v>
      </c>
      <c r="L13" s="69" t="s">
        <v>336</v>
      </c>
      <c r="M13" s="69" t="s">
        <v>337</v>
      </c>
      <c r="N13" s="69" t="s">
        <v>338</v>
      </c>
      <c r="O13" s="69" t="s">
        <v>338</v>
      </c>
      <c r="P13" s="69" t="s">
        <v>147</v>
      </c>
      <c r="Q13" s="69" t="s">
        <v>339</v>
      </c>
      <c r="R13" s="71">
        <v>43814</v>
      </c>
      <c r="S13" s="72">
        <v>500</v>
      </c>
      <c r="T13" s="61" t="s">
        <v>90</v>
      </c>
      <c r="U13" s="73">
        <v>1000</v>
      </c>
      <c r="V13" s="61">
        <v>500</v>
      </c>
      <c r="W13" s="61" t="s">
        <v>161</v>
      </c>
      <c r="X13" s="75" t="s">
        <v>160</v>
      </c>
      <c r="Y13" s="90"/>
      <c r="Z13" s="106" t="s">
        <v>106</v>
      </c>
      <c r="AA13" s="75" t="s">
        <v>120</v>
      </c>
      <c r="AB13" s="75" t="s">
        <v>100</v>
      </c>
      <c r="AC13" s="89"/>
      <c r="AF13" s="107"/>
      <c r="AG13" s="90"/>
      <c r="AH13" s="91"/>
      <c r="AI13" s="91"/>
      <c r="AJ13" s="91"/>
      <c r="AK13" s="89"/>
      <c r="AL13" s="90"/>
      <c r="AM13" s="89"/>
      <c r="AN13" s="76">
        <v>43834</v>
      </c>
      <c r="AO13" s="77" t="s">
        <v>97</v>
      </c>
      <c r="AP13" s="114"/>
      <c r="AQ13" s="91"/>
      <c r="AR13" s="114"/>
      <c r="AS13" s="91"/>
      <c r="AT13" s="90"/>
      <c r="AY13" s="61"/>
      <c r="AZ13" s="61"/>
      <c r="BA13" s="89"/>
      <c r="BB13" s="100"/>
      <c r="BC13" s="89"/>
      <c r="BD13" s="89"/>
      <c r="BE13" s="89"/>
      <c r="BF13" s="102"/>
      <c r="BG13" s="89"/>
      <c r="BH13" s="91"/>
      <c r="BI13" s="91"/>
      <c r="BJ13" s="89"/>
      <c r="BK13" s="89"/>
      <c r="BL13" s="91"/>
      <c r="BM13" s="91"/>
      <c r="BN13" s="91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</row>
    <row r="14" spans="1:257" ht="66" hidden="1">
      <c r="A14" s="184"/>
      <c r="B14" s="136" t="s">
        <v>120</v>
      </c>
      <c r="C14" s="61" t="s">
        <v>355</v>
      </c>
      <c r="D14" s="151" t="s">
        <v>88</v>
      </c>
      <c r="E14" s="152" t="s">
        <v>73</v>
      </c>
      <c r="F14" s="152">
        <v>18611970187</v>
      </c>
      <c r="G14" s="158" t="s">
        <v>356</v>
      </c>
      <c r="H14" s="152" t="s">
        <v>215</v>
      </c>
      <c r="I14" s="152" t="s">
        <v>125</v>
      </c>
      <c r="J14" s="154" t="s">
        <v>357</v>
      </c>
      <c r="K14" s="154" t="s">
        <v>237</v>
      </c>
      <c r="L14" s="154" t="s">
        <v>327</v>
      </c>
      <c r="M14" s="154">
        <v>20</v>
      </c>
      <c r="N14" s="154" t="s">
        <v>145</v>
      </c>
      <c r="O14" s="154" t="s">
        <v>240</v>
      </c>
      <c r="P14" s="154" t="s">
        <v>220</v>
      </c>
      <c r="Q14" s="154" t="s">
        <v>358</v>
      </c>
      <c r="R14" s="165">
        <v>43814</v>
      </c>
      <c r="S14" s="149">
        <v>2000</v>
      </c>
      <c r="T14" s="184" t="s">
        <v>359</v>
      </c>
      <c r="U14" s="170">
        <v>4480</v>
      </c>
      <c r="V14" s="136">
        <v>2480</v>
      </c>
      <c r="W14" s="136" t="s">
        <v>360</v>
      </c>
      <c r="X14" s="164" t="s">
        <v>76</v>
      </c>
      <c r="Y14" s="164" t="s">
        <v>131</v>
      </c>
      <c r="Z14" s="169"/>
      <c r="AA14" s="169" t="s">
        <v>120</v>
      </c>
      <c r="AB14" s="164" t="s">
        <v>100</v>
      </c>
      <c r="AC14" s="89"/>
      <c r="AF14" s="107"/>
      <c r="AG14" s="91"/>
      <c r="AH14" s="89"/>
      <c r="AI14" s="89"/>
      <c r="AJ14" s="89"/>
      <c r="AK14" s="90"/>
      <c r="AL14" s="89"/>
      <c r="AM14" s="89"/>
      <c r="AN14" s="102"/>
      <c r="AO14" s="89"/>
      <c r="AP14" s="90"/>
      <c r="AQ14" s="90"/>
      <c r="AR14" s="89"/>
      <c r="AS14" s="89"/>
      <c r="AT14" s="89"/>
      <c r="AY14" s="61"/>
      <c r="AZ14" s="61"/>
      <c r="BA14" s="89"/>
      <c r="BB14" s="102"/>
      <c r="BC14" s="89"/>
      <c r="BD14" s="89"/>
      <c r="BE14" s="89"/>
      <c r="BF14" s="102"/>
      <c r="BG14" s="89"/>
      <c r="BH14" s="90"/>
      <c r="BI14" s="90"/>
      <c r="BJ14" s="102"/>
      <c r="BK14" s="89"/>
      <c r="BL14" s="90"/>
      <c r="BM14" s="90"/>
      <c r="BN14" s="91"/>
      <c r="BO14" s="91"/>
      <c r="BP14" s="91"/>
      <c r="BQ14" s="91"/>
      <c r="BR14" s="91"/>
      <c r="BS14" s="91"/>
      <c r="BT14" s="91"/>
      <c r="BU14" s="91"/>
      <c r="BV14" s="91"/>
      <c r="BW14" s="91"/>
      <c r="BX14" s="91"/>
      <c r="BY14" s="91"/>
      <c r="BZ14" s="91"/>
      <c r="CA14" s="91"/>
      <c r="CB14" s="91"/>
      <c r="CC14" s="91"/>
      <c r="CD14" s="91"/>
      <c r="CE14" s="91"/>
      <c r="CF14" s="91"/>
      <c r="CG14" s="91"/>
      <c r="CH14" s="91"/>
      <c r="CI14" s="91"/>
      <c r="CJ14" s="91"/>
      <c r="CK14" s="91"/>
      <c r="CL14" s="91"/>
      <c r="CM14" s="91"/>
      <c r="CN14" s="91"/>
      <c r="CO14" s="91"/>
      <c r="CP14" s="91"/>
      <c r="CQ14" s="91"/>
      <c r="CR14" s="91"/>
      <c r="CS14" s="91"/>
      <c r="CT14" s="91"/>
      <c r="CU14" s="91"/>
      <c r="CV14" s="91"/>
      <c r="CW14" s="91"/>
      <c r="CX14" s="91"/>
      <c r="CY14" s="91"/>
      <c r="CZ14" s="91"/>
      <c r="DA14" s="91"/>
      <c r="DB14" s="91"/>
      <c r="DC14" s="91"/>
      <c r="DD14" s="91"/>
      <c r="DE14" s="91"/>
      <c r="DF14" s="91"/>
      <c r="DG14" s="91"/>
      <c r="DH14" s="91"/>
      <c r="DI14" s="91"/>
      <c r="DJ14" s="91"/>
      <c r="DK14" s="91"/>
      <c r="DL14" s="91"/>
      <c r="DM14" s="91"/>
      <c r="DN14" s="91"/>
      <c r="DO14" s="91"/>
      <c r="DP14" s="91"/>
      <c r="DQ14" s="91"/>
      <c r="DR14" s="91"/>
      <c r="DS14" s="91"/>
      <c r="DT14" s="91"/>
      <c r="DU14" s="91"/>
      <c r="DV14" s="91"/>
      <c r="DW14" s="91"/>
      <c r="DX14" s="91"/>
      <c r="DY14" s="91"/>
      <c r="DZ14" s="91"/>
      <c r="EA14" s="91"/>
      <c r="EB14" s="91"/>
      <c r="EC14" s="91"/>
      <c r="ED14" s="91"/>
      <c r="EE14" s="91"/>
      <c r="EF14" s="91"/>
      <c r="EG14" s="91"/>
      <c r="EH14" s="91"/>
      <c r="EI14" s="91"/>
      <c r="EJ14" s="91"/>
      <c r="EK14" s="91"/>
      <c r="EL14" s="91"/>
      <c r="EM14" s="91"/>
      <c r="EN14" s="91"/>
      <c r="EO14" s="91"/>
      <c r="EP14" s="91"/>
      <c r="EQ14" s="91"/>
      <c r="ER14" s="91"/>
      <c r="ES14" s="91"/>
      <c r="ET14" s="91"/>
      <c r="EU14" s="91"/>
      <c r="EV14" s="91"/>
      <c r="EW14" s="91"/>
      <c r="EX14" s="91"/>
      <c r="EY14" s="91"/>
      <c r="EZ14" s="91"/>
      <c r="FA14" s="91"/>
      <c r="FB14" s="91"/>
      <c r="FC14" s="91"/>
      <c r="FD14" s="91"/>
      <c r="FE14" s="91"/>
      <c r="FF14" s="91"/>
      <c r="FG14" s="91"/>
      <c r="FH14" s="91"/>
      <c r="FI14" s="91"/>
      <c r="FJ14" s="91"/>
      <c r="FK14" s="91"/>
      <c r="FL14" s="91"/>
      <c r="FM14" s="91"/>
      <c r="FN14" s="91"/>
      <c r="FO14" s="91"/>
      <c r="FP14" s="91"/>
      <c r="FQ14" s="91"/>
      <c r="FR14" s="91"/>
    </row>
    <row r="15" spans="1:257" ht="66" hidden="1">
      <c r="A15" s="136" t="s">
        <v>213</v>
      </c>
      <c r="B15" s="136" t="s">
        <v>120</v>
      </c>
      <c r="C15" s="61" t="s">
        <v>320</v>
      </c>
      <c r="D15" s="151" t="s">
        <v>321</v>
      </c>
      <c r="E15" s="152" t="s">
        <v>322</v>
      </c>
      <c r="F15" s="154">
        <v>13774245131</v>
      </c>
      <c r="G15" s="153" t="s">
        <v>323</v>
      </c>
      <c r="H15" s="154" t="s">
        <v>215</v>
      </c>
      <c r="I15" s="154" t="s">
        <v>324</v>
      </c>
      <c r="J15" s="152" t="s">
        <v>325</v>
      </c>
      <c r="K15" s="152" t="s">
        <v>326</v>
      </c>
      <c r="L15" s="152" t="s">
        <v>327</v>
      </c>
      <c r="M15" s="152">
        <v>18</v>
      </c>
      <c r="N15" s="152" t="s">
        <v>145</v>
      </c>
      <c r="O15" s="152" t="s">
        <v>328</v>
      </c>
      <c r="P15" s="152" t="s">
        <v>220</v>
      </c>
      <c r="Q15" s="152" t="s">
        <v>329</v>
      </c>
      <c r="R15" s="148">
        <v>43815</v>
      </c>
      <c r="S15" s="149">
        <v>500</v>
      </c>
      <c r="T15" s="165" t="s">
        <v>90</v>
      </c>
      <c r="U15" s="170">
        <v>3680</v>
      </c>
      <c r="V15" s="184">
        <v>3180</v>
      </c>
      <c r="W15" s="136" t="s">
        <v>330</v>
      </c>
      <c r="X15" s="169"/>
      <c r="Y15" s="164" t="s">
        <v>242</v>
      </c>
      <c r="Z15" s="164"/>
      <c r="AA15" s="164" t="s">
        <v>120</v>
      </c>
      <c r="AB15" s="164" t="s">
        <v>100</v>
      </c>
      <c r="AC15" s="90"/>
      <c r="AF15" s="107"/>
      <c r="AG15" s="91"/>
      <c r="AH15" s="89"/>
      <c r="AI15" s="89"/>
      <c r="AJ15" s="89"/>
      <c r="AK15" s="89"/>
      <c r="AL15" s="90"/>
      <c r="AM15" s="90"/>
      <c r="AN15" s="176">
        <v>43831</v>
      </c>
      <c r="AO15" s="177" t="s">
        <v>107</v>
      </c>
      <c r="AP15" s="90"/>
      <c r="AQ15" s="177">
        <v>10</v>
      </c>
      <c r="AR15" s="90"/>
      <c r="AS15" s="177" t="s">
        <v>188</v>
      </c>
      <c r="AT15" s="91"/>
      <c r="AU15" s="76">
        <v>43831</v>
      </c>
      <c r="AV15" s="78">
        <v>3180</v>
      </c>
      <c r="AW15" s="77" t="s">
        <v>98</v>
      </c>
      <c r="AX15" s="78">
        <v>3680</v>
      </c>
      <c r="AY15" s="61"/>
      <c r="AZ15" s="61"/>
      <c r="BA15" s="89"/>
      <c r="BB15" s="100"/>
      <c r="BC15" s="89"/>
      <c r="BD15" s="89"/>
      <c r="BE15" s="89"/>
      <c r="BF15" s="100"/>
      <c r="BG15" s="89"/>
      <c r="BH15" s="91"/>
      <c r="BI15" s="91"/>
      <c r="BJ15" s="102"/>
      <c r="BK15" s="89"/>
      <c r="BL15" s="91"/>
      <c r="BM15" s="91"/>
      <c r="BN15" s="150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</row>
    <row r="16" spans="1:257" ht="148.5" hidden="1">
      <c r="A16" s="184"/>
      <c r="B16" s="136" t="s">
        <v>120</v>
      </c>
      <c r="C16" s="61" t="s">
        <v>361</v>
      </c>
      <c r="D16" s="151" t="s">
        <v>362</v>
      </c>
      <c r="E16" s="151" t="s">
        <v>363</v>
      </c>
      <c r="F16" s="152">
        <v>13701920221</v>
      </c>
      <c r="G16" s="158" t="s">
        <v>364</v>
      </c>
      <c r="H16" s="152" t="s">
        <v>215</v>
      </c>
      <c r="I16" s="152" t="s">
        <v>122</v>
      </c>
      <c r="J16" s="152" t="s">
        <v>365</v>
      </c>
      <c r="K16" s="152" t="s">
        <v>366</v>
      </c>
      <c r="L16" s="152" t="s">
        <v>253</v>
      </c>
      <c r="M16" s="152">
        <v>16</v>
      </c>
      <c r="N16" s="152" t="s">
        <v>145</v>
      </c>
      <c r="O16" s="152" t="s">
        <v>146</v>
      </c>
      <c r="P16" s="152" t="s">
        <v>220</v>
      </c>
      <c r="Q16" s="152" t="s">
        <v>367</v>
      </c>
      <c r="R16" s="148">
        <v>43815</v>
      </c>
      <c r="S16" s="149">
        <v>2480</v>
      </c>
      <c r="T16" s="136" t="s">
        <v>98</v>
      </c>
      <c r="U16" s="170">
        <v>2480</v>
      </c>
      <c r="V16" s="136">
        <v>0</v>
      </c>
      <c r="W16" s="136" t="s">
        <v>368</v>
      </c>
      <c r="X16" s="164" t="s">
        <v>157</v>
      </c>
      <c r="Y16" s="169" t="s">
        <v>131</v>
      </c>
      <c r="Z16" s="164"/>
      <c r="AA16" s="164" t="s">
        <v>120</v>
      </c>
      <c r="AB16" s="164" t="s">
        <v>369</v>
      </c>
      <c r="AC16" s="90"/>
      <c r="AF16" s="107"/>
      <c r="AG16"/>
      <c r="AH16" s="90"/>
      <c r="AI16" s="90"/>
      <c r="AJ16" s="91"/>
      <c r="AK16" s="90"/>
      <c r="AL16"/>
      <c r="AM16" s="90"/>
      <c r="AN16" s="176"/>
      <c r="AO16" s="177"/>
      <c r="AP16" s="90"/>
      <c r="AQ16" s="177"/>
      <c r="AR16" s="90"/>
      <c r="AS16" s="177"/>
      <c r="AT16" s="90"/>
      <c r="AY16" s="61"/>
      <c r="AZ16" s="61"/>
      <c r="BA16" s="89"/>
      <c r="BB16" s="100"/>
      <c r="BC16" s="89"/>
      <c r="BD16" s="89"/>
      <c r="BE16" s="89"/>
      <c r="BF16" s="100"/>
      <c r="BG16" s="89"/>
      <c r="BH16" s="90"/>
      <c r="BI16" s="90"/>
      <c r="BJ16" s="102"/>
      <c r="BK16" s="89"/>
      <c r="BL16" s="91"/>
      <c r="BM16" s="91"/>
      <c r="BN16" s="91"/>
      <c r="BO16" s="91"/>
      <c r="BP16" s="91"/>
      <c r="BQ16" s="91"/>
      <c r="BR16" s="91"/>
      <c r="BS16" s="91"/>
      <c r="BT16" s="91"/>
      <c r="BU16" s="91"/>
      <c r="BV16" s="91"/>
      <c r="BW16" s="91"/>
      <c r="BX16" s="91"/>
      <c r="BY16" s="91"/>
      <c r="BZ16" s="91"/>
      <c r="CA16" s="91"/>
      <c r="CB16" s="91"/>
      <c r="CC16" s="91"/>
      <c r="CD16" s="91"/>
      <c r="CE16" s="91"/>
      <c r="CF16" s="91"/>
      <c r="CG16" s="91"/>
      <c r="CH16" s="91"/>
      <c r="CI16" s="91"/>
      <c r="CJ16" s="91"/>
      <c r="CK16" s="91"/>
      <c r="CL16" s="91"/>
      <c r="CM16" s="91"/>
      <c r="CN16" s="91"/>
      <c r="CO16" s="91"/>
      <c r="CP16" s="91"/>
      <c r="CQ16" s="91"/>
      <c r="CR16" s="91"/>
      <c r="CS16" s="91"/>
      <c r="CT16" s="91"/>
      <c r="CU16" s="91"/>
      <c r="CV16" s="91"/>
      <c r="CW16" s="91"/>
      <c r="CX16" s="91"/>
      <c r="CY16" s="91"/>
      <c r="CZ16" s="91"/>
      <c r="DA16" s="91"/>
      <c r="DB16" s="91"/>
      <c r="DC16" s="91"/>
      <c r="DD16" s="91"/>
      <c r="DE16" s="91"/>
      <c r="DF16" s="91"/>
      <c r="DG16" s="91"/>
      <c r="DH16" s="91"/>
      <c r="DI16" s="91"/>
      <c r="DJ16" s="91"/>
      <c r="DK16" s="91"/>
      <c r="DL16" s="91"/>
      <c r="DM16" s="91"/>
      <c r="DN16" s="91"/>
      <c r="DO16" s="91"/>
      <c r="DP16" s="91"/>
      <c r="DQ16" s="91"/>
      <c r="DR16" s="91"/>
      <c r="DS16" s="91"/>
      <c r="DT16" s="91"/>
      <c r="DU16" s="91"/>
      <c r="DV16" s="91"/>
      <c r="DW16" s="91"/>
      <c r="DX16" s="91"/>
      <c r="DY16" s="91"/>
      <c r="DZ16" s="91"/>
      <c r="EA16" s="91"/>
      <c r="EB16" s="91"/>
      <c r="EC16" s="91"/>
      <c r="ED16" s="91"/>
      <c r="EE16" s="91"/>
      <c r="EF16" s="91"/>
      <c r="EG16" s="91"/>
      <c r="EH16" s="91"/>
      <c r="EI16" s="91"/>
      <c r="EJ16" s="91"/>
      <c r="EK16" s="91"/>
      <c r="EL16" s="91"/>
      <c r="EM16" s="91"/>
      <c r="EN16" s="91"/>
      <c r="EO16" s="91"/>
      <c r="EP16" s="91"/>
      <c r="EQ16" s="91"/>
      <c r="ER16" s="91"/>
      <c r="ES16" s="91"/>
      <c r="ET16" s="91"/>
      <c r="EU16" s="91"/>
      <c r="EV16" s="91"/>
      <c r="EW16" s="91"/>
      <c r="EX16" s="91"/>
      <c r="EY16" s="91"/>
      <c r="EZ16" s="91"/>
      <c r="FA16" s="91"/>
      <c r="FB16" s="91"/>
      <c r="FC16" s="91"/>
      <c r="FD16" s="91"/>
      <c r="FE16" s="91"/>
      <c r="FF16" s="91"/>
      <c r="FG16" s="91"/>
      <c r="FH16" s="91"/>
      <c r="FI16" s="91"/>
      <c r="FJ16" s="91"/>
      <c r="FK16" s="91"/>
      <c r="FL16" s="91"/>
      <c r="FM16" s="91"/>
      <c r="FN16" s="91"/>
      <c r="FO16" s="91"/>
      <c r="FP16" s="91"/>
      <c r="FQ16" s="91"/>
      <c r="FR16" s="91"/>
      <c r="FS16" s="91"/>
      <c r="FT16" s="91"/>
      <c r="FU16" s="91"/>
      <c r="FV16" s="91"/>
      <c r="FW16" s="91"/>
      <c r="FX16" s="91"/>
      <c r="FY16" s="91"/>
      <c r="FZ16" s="91"/>
      <c r="GA16" s="91"/>
      <c r="GB16" s="91"/>
      <c r="GC16" s="91"/>
      <c r="GD16" s="91"/>
      <c r="GE16" s="91"/>
      <c r="GF16" s="91"/>
      <c r="GG16" s="91"/>
      <c r="GH16" s="91"/>
      <c r="GI16" s="91"/>
      <c r="GJ16" s="91"/>
      <c r="GK16" s="91"/>
      <c r="GL16" s="91"/>
      <c r="GM16" s="91"/>
      <c r="GN16" s="91"/>
      <c r="GO16" s="91"/>
      <c r="GP16" s="91"/>
      <c r="GQ16" s="91"/>
      <c r="GR16" s="91"/>
      <c r="GS16" s="91"/>
      <c r="GT16" s="91"/>
      <c r="GU16" s="91"/>
      <c r="GV16" s="91"/>
      <c r="GW16" s="91"/>
      <c r="GX16" s="91"/>
      <c r="GY16" s="91"/>
      <c r="GZ16" s="91"/>
      <c r="HA16" s="91"/>
      <c r="HB16" s="91"/>
      <c r="HC16" s="91"/>
      <c r="HD16" s="91"/>
      <c r="HE16" s="91"/>
      <c r="HF16" s="91"/>
      <c r="HG16" s="91"/>
      <c r="HH16" s="91"/>
      <c r="HI16" s="91"/>
      <c r="HJ16" s="91"/>
      <c r="HK16" s="91"/>
      <c r="HL16" s="91"/>
      <c r="HM16" s="91"/>
      <c r="HN16" s="91"/>
      <c r="HO16" s="91"/>
      <c r="HP16" s="91"/>
      <c r="HQ16" s="91"/>
      <c r="HR16" s="91"/>
      <c r="HS16" s="91"/>
      <c r="HT16" s="91"/>
      <c r="HU16" s="91"/>
      <c r="HV16" s="91"/>
      <c r="HW16" s="91"/>
      <c r="HX16" s="91"/>
      <c r="HY16" s="91"/>
      <c r="HZ16" s="91"/>
      <c r="IA16" s="91"/>
      <c r="IB16" s="91"/>
      <c r="IC16" s="91"/>
      <c r="ID16" s="91"/>
      <c r="IE16" s="91"/>
      <c r="IF16" s="91"/>
      <c r="IG16" s="91"/>
      <c r="IH16" s="91"/>
      <c r="II16" s="91"/>
      <c r="IJ16" s="91"/>
      <c r="IK16" s="91"/>
      <c r="IL16" s="91"/>
      <c r="IM16" s="91"/>
      <c r="IN16" s="91"/>
      <c r="IO16" s="91"/>
      <c r="IP16" s="91"/>
      <c r="IQ16" s="91"/>
      <c r="IR16" s="91"/>
      <c r="IS16" s="91"/>
      <c r="IT16" s="91"/>
      <c r="IU16" s="91"/>
      <c r="IV16" s="91"/>
      <c r="IW16" s="91"/>
    </row>
    <row r="17" spans="1:257" ht="49.5" hidden="1">
      <c r="A17" s="184"/>
      <c r="B17" s="136" t="s">
        <v>120</v>
      </c>
      <c r="C17" s="61" t="s">
        <v>370</v>
      </c>
      <c r="D17" s="151" t="s">
        <v>86</v>
      </c>
      <c r="E17" s="152" t="s">
        <v>87</v>
      </c>
      <c r="F17" s="154">
        <v>13632223176</v>
      </c>
      <c r="G17" s="153" t="s">
        <v>371</v>
      </c>
      <c r="H17" s="154" t="s">
        <v>215</v>
      </c>
      <c r="I17" s="154" t="s">
        <v>118</v>
      </c>
      <c r="J17" s="154" t="s">
        <v>372</v>
      </c>
      <c r="K17" s="154" t="s">
        <v>373</v>
      </c>
      <c r="L17" s="154" t="s">
        <v>253</v>
      </c>
      <c r="M17" s="154">
        <v>12</v>
      </c>
      <c r="N17" s="154" t="s">
        <v>145</v>
      </c>
      <c r="O17" s="154" t="s">
        <v>146</v>
      </c>
      <c r="P17" s="154" t="s">
        <v>220</v>
      </c>
      <c r="Q17" s="154" t="s">
        <v>374</v>
      </c>
      <c r="R17" s="165">
        <v>43815</v>
      </c>
      <c r="S17" s="149">
        <v>2880</v>
      </c>
      <c r="T17" s="184" t="s">
        <v>98</v>
      </c>
      <c r="U17" s="166">
        <v>2880</v>
      </c>
      <c r="V17" s="184">
        <v>0</v>
      </c>
      <c r="W17" s="136" t="s">
        <v>375</v>
      </c>
      <c r="X17" s="164" t="s">
        <v>76</v>
      </c>
      <c r="Y17" s="169" t="s">
        <v>131</v>
      </c>
      <c r="Z17" s="169"/>
      <c r="AA17" s="169" t="s">
        <v>120</v>
      </c>
      <c r="AB17" s="169" t="s">
        <v>100</v>
      </c>
      <c r="AC17" s="90"/>
      <c r="AF17" s="107"/>
      <c r="AG17" s="91"/>
      <c r="AH17" s="90"/>
      <c r="AI17" s="90"/>
      <c r="AJ17" s="90"/>
      <c r="AK17" s="90"/>
      <c r="AL17" s="91"/>
      <c r="AM17" s="91"/>
      <c r="AN17" s="176"/>
      <c r="AO17" s="177"/>
      <c r="AP17" s="90"/>
      <c r="AQ17" s="177"/>
      <c r="AR17" s="114"/>
      <c r="AS17" s="177"/>
      <c r="AT17" s="90"/>
      <c r="AY17" s="61"/>
      <c r="AZ17" s="61"/>
      <c r="BA17" s="91"/>
      <c r="BB17" s="102"/>
      <c r="BC17" s="91"/>
      <c r="BD17" s="91"/>
      <c r="BE17" s="91"/>
      <c r="BF17" s="102"/>
      <c r="BG17" s="91"/>
      <c r="BH17" s="89"/>
      <c r="BI17" s="89"/>
      <c r="BJ17" s="102"/>
      <c r="BK17" s="91"/>
      <c r="BL17" s="129"/>
      <c r="BM17" s="129"/>
      <c r="BN17" s="150"/>
      <c r="BO17" s="91"/>
      <c r="BP17" s="91"/>
      <c r="BQ17" s="91"/>
      <c r="BR17" s="91"/>
      <c r="BS17" s="91"/>
      <c r="BT17" s="91"/>
      <c r="BU17" s="91"/>
      <c r="BV17" s="91"/>
      <c r="BW17" s="91"/>
      <c r="BX17" s="91"/>
      <c r="BY17" s="91"/>
      <c r="BZ17" s="91"/>
      <c r="CA17" s="91"/>
      <c r="CB17" s="91"/>
      <c r="CC17" s="91"/>
      <c r="CD17" s="91"/>
      <c r="CE17" s="91"/>
      <c r="CF17" s="91"/>
      <c r="CG17" s="91"/>
      <c r="CH17" s="91"/>
      <c r="CI17" s="91"/>
      <c r="CJ17" s="91"/>
      <c r="CK17" s="91"/>
      <c r="CL17" s="91"/>
      <c r="CM17" s="91"/>
      <c r="CN17" s="91"/>
      <c r="CO17" s="91"/>
      <c r="CP17" s="91"/>
      <c r="CQ17" s="91"/>
      <c r="CR17" s="91"/>
      <c r="CS17" s="91"/>
      <c r="CT17" s="91"/>
      <c r="CU17" s="91"/>
      <c r="CV17" s="91"/>
      <c r="CW17" s="91"/>
      <c r="CX17" s="91"/>
      <c r="CY17" s="91"/>
      <c r="CZ17" s="91"/>
      <c r="DA17" s="91"/>
      <c r="DB17" s="91"/>
      <c r="DC17" s="91"/>
      <c r="DD17" s="91"/>
      <c r="DE17" s="91"/>
      <c r="DF17" s="91"/>
      <c r="DG17" s="91"/>
      <c r="DH17" s="91"/>
      <c r="DI17" s="91"/>
      <c r="DJ17" s="91"/>
      <c r="DK17" s="91"/>
      <c r="DL17" s="91"/>
      <c r="DM17" s="91"/>
      <c r="DN17" s="91"/>
      <c r="DO17" s="91"/>
      <c r="DP17" s="91"/>
      <c r="DQ17" s="91"/>
      <c r="DR17" s="91"/>
      <c r="DS17" s="91"/>
      <c r="DT17" s="91"/>
      <c r="DU17" s="91"/>
      <c r="DV17" s="91"/>
      <c r="DW17" s="91"/>
      <c r="DX17" s="91"/>
      <c r="DY17" s="91"/>
      <c r="DZ17" s="91"/>
      <c r="EA17" s="91"/>
      <c r="EB17" s="91"/>
      <c r="EC17" s="91"/>
      <c r="ED17" s="91"/>
      <c r="EE17" s="91"/>
      <c r="EF17" s="91"/>
      <c r="EG17" s="91"/>
      <c r="EH17" s="91"/>
      <c r="EI17" s="91"/>
      <c r="EJ17" s="91"/>
      <c r="EK17" s="91"/>
      <c r="EL17" s="91"/>
      <c r="EM17" s="91"/>
      <c r="EN17" s="91"/>
      <c r="EO17" s="91"/>
      <c r="EP17" s="91"/>
      <c r="EQ17" s="91"/>
      <c r="ER17" s="91"/>
      <c r="ES17" s="91"/>
      <c r="ET17" s="91"/>
      <c r="EU17" s="91"/>
      <c r="EV17" s="91"/>
      <c r="EW17" s="91"/>
      <c r="EX17" s="91"/>
      <c r="EY17" s="91"/>
      <c r="EZ17" s="91"/>
      <c r="FA17" s="91"/>
      <c r="FB17" s="91"/>
      <c r="FC17" s="91"/>
      <c r="FD17" s="91"/>
      <c r="FE17" s="91"/>
      <c r="FF17" s="91"/>
      <c r="FG17" s="91"/>
      <c r="FH17" s="91"/>
      <c r="FI17" s="91"/>
      <c r="FJ17" s="91"/>
      <c r="FK17" s="91"/>
      <c r="FL17" s="91"/>
      <c r="FM17" s="91"/>
      <c r="FN17" s="91"/>
      <c r="FO17" s="91"/>
      <c r="FP17" s="91"/>
      <c r="FQ17" s="91"/>
      <c r="FR17" s="91"/>
    </row>
    <row r="18" spans="1:257" ht="33">
      <c r="A18" s="193" t="s">
        <v>213</v>
      </c>
      <c r="B18" s="193" t="s">
        <v>120</v>
      </c>
      <c r="C18" s="61" t="s">
        <v>233</v>
      </c>
      <c r="D18" s="194" t="s">
        <v>64</v>
      </c>
      <c r="E18" s="195" t="s">
        <v>234</v>
      </c>
      <c r="F18" s="196">
        <v>13524455895</v>
      </c>
      <c r="G18" s="197" t="s">
        <v>235</v>
      </c>
      <c r="H18" s="196" t="s">
        <v>215</v>
      </c>
      <c r="I18" s="196" t="s">
        <v>125</v>
      </c>
      <c r="J18" s="196" t="s">
        <v>236</v>
      </c>
      <c r="K18" s="196" t="s">
        <v>237</v>
      </c>
      <c r="L18" s="196" t="s">
        <v>238</v>
      </c>
      <c r="M18" s="196" t="s">
        <v>239</v>
      </c>
      <c r="N18" s="196" t="s">
        <v>145</v>
      </c>
      <c r="O18" s="196" t="s">
        <v>240</v>
      </c>
      <c r="P18" s="196" t="s">
        <v>220</v>
      </c>
      <c r="Q18" s="196" t="s">
        <v>241</v>
      </c>
      <c r="R18" s="174">
        <v>43817</v>
      </c>
      <c r="S18" s="198">
        <v>500</v>
      </c>
      <c r="T18" s="193" t="s">
        <v>90</v>
      </c>
      <c r="U18" s="193">
        <v>4480</v>
      </c>
      <c r="V18" s="193">
        <v>3980</v>
      </c>
      <c r="W18" s="199" t="s">
        <v>83</v>
      </c>
      <c r="X18" s="200"/>
      <c r="Y18" s="200" t="s">
        <v>242</v>
      </c>
      <c r="Z18" s="200"/>
      <c r="AA18" s="200" t="s">
        <v>120</v>
      </c>
      <c r="AB18" s="200" t="s">
        <v>100</v>
      </c>
      <c r="AC18" s="201"/>
      <c r="AF18" s="107"/>
      <c r="AG18" s="201"/>
      <c r="AH18" s="201"/>
      <c r="AI18" s="201"/>
      <c r="AJ18" s="201"/>
      <c r="AK18" s="201"/>
      <c r="AL18" s="201"/>
      <c r="AM18" s="201"/>
      <c r="AN18" s="176">
        <v>43821</v>
      </c>
      <c r="AO18" s="177" t="s">
        <v>107</v>
      </c>
      <c r="AP18" s="172"/>
      <c r="AQ18" s="177">
        <v>10</v>
      </c>
      <c r="AR18" s="172"/>
      <c r="AS18" s="177" t="s">
        <v>232</v>
      </c>
      <c r="AT18" s="172"/>
      <c r="AU18" s="76">
        <v>43821</v>
      </c>
      <c r="AV18" s="78">
        <v>3980</v>
      </c>
      <c r="AW18" s="77" t="s">
        <v>98</v>
      </c>
      <c r="AX18" s="78">
        <v>4480</v>
      </c>
      <c r="AY18" s="91"/>
      <c r="AZ18" s="91"/>
      <c r="BA18" s="201"/>
      <c r="BB18" s="202"/>
      <c r="BC18" s="201"/>
      <c r="BD18" s="201"/>
      <c r="BE18" s="201"/>
      <c r="BF18" s="203">
        <v>43825</v>
      </c>
      <c r="BG18" s="171">
        <v>1500</v>
      </c>
      <c r="BH18" s="204" t="s">
        <v>98</v>
      </c>
      <c r="BI18" s="142" t="s">
        <v>122</v>
      </c>
      <c r="BJ18" s="202"/>
      <c r="BK18" s="201"/>
      <c r="BL18" s="201"/>
      <c r="BM18" s="201"/>
      <c r="BN18" s="145"/>
      <c r="BO18" s="145"/>
      <c r="BP18" s="145"/>
      <c r="BQ18" s="145"/>
      <c r="BR18" s="145"/>
      <c r="BS18" s="145"/>
      <c r="BT18" s="145"/>
      <c r="BU18" s="145"/>
      <c r="BV18" s="145"/>
      <c r="BW18" s="145"/>
      <c r="BX18" s="145"/>
      <c r="BY18" s="145"/>
      <c r="BZ18" s="145"/>
      <c r="CA18" s="145"/>
      <c r="CB18" s="145"/>
      <c r="CC18" s="145"/>
      <c r="CD18" s="145"/>
      <c r="CE18" s="145"/>
      <c r="CF18" s="145"/>
      <c r="CG18" s="145"/>
      <c r="CH18" s="145"/>
      <c r="CI18" s="145"/>
      <c r="CJ18" s="145"/>
      <c r="CK18" s="145"/>
      <c r="CL18" s="145"/>
      <c r="CM18" s="145"/>
      <c r="CN18" s="145"/>
      <c r="CO18" s="145"/>
      <c r="CP18" s="145"/>
      <c r="CQ18" s="145"/>
      <c r="CR18" s="145"/>
      <c r="CS18" s="145"/>
      <c r="CT18" s="145"/>
      <c r="CU18" s="145"/>
      <c r="CV18" s="145"/>
      <c r="CW18" s="145"/>
      <c r="CX18" s="145"/>
      <c r="CY18" s="145"/>
      <c r="CZ18" s="145"/>
      <c r="DA18" s="145"/>
      <c r="DB18" s="145"/>
      <c r="DC18" s="145"/>
      <c r="DD18" s="145"/>
      <c r="DE18" s="145"/>
      <c r="DF18" s="145"/>
      <c r="DG18" s="145"/>
      <c r="DH18" s="145"/>
      <c r="DI18" s="145"/>
      <c r="DJ18" s="145"/>
      <c r="DK18" s="145"/>
      <c r="DL18" s="145"/>
      <c r="DM18" s="145"/>
      <c r="DN18" s="145"/>
      <c r="DO18" s="145"/>
      <c r="DP18" s="145"/>
      <c r="DQ18" s="145"/>
      <c r="DR18" s="145"/>
      <c r="DS18" s="145"/>
      <c r="DT18" s="145"/>
      <c r="DU18" s="145"/>
      <c r="DV18" s="145"/>
      <c r="DW18" s="145"/>
      <c r="DX18" s="145"/>
      <c r="DY18" s="145"/>
      <c r="DZ18" s="145"/>
      <c r="EA18" s="145"/>
      <c r="EB18" s="145"/>
      <c r="EC18" s="145"/>
      <c r="ED18" s="145"/>
      <c r="EE18" s="145"/>
      <c r="EF18" s="145"/>
      <c r="EG18" s="145"/>
      <c r="EH18" s="145"/>
      <c r="EI18" s="145"/>
      <c r="EJ18" s="145"/>
      <c r="EK18" s="145"/>
      <c r="EL18" s="145"/>
      <c r="EM18" s="145"/>
      <c r="EN18" s="145"/>
      <c r="EO18" s="145"/>
      <c r="EP18" s="145"/>
      <c r="EQ18" s="145"/>
      <c r="ER18" s="145"/>
      <c r="ES18" s="145"/>
      <c r="ET18" s="145"/>
      <c r="EU18" s="145"/>
      <c r="EV18" s="145"/>
      <c r="EW18" s="145"/>
      <c r="EX18" s="145"/>
      <c r="EY18" s="145"/>
      <c r="EZ18" s="145"/>
      <c r="FA18" s="145"/>
      <c r="FB18" s="145"/>
      <c r="FC18" s="145"/>
      <c r="FD18" s="145"/>
      <c r="FE18" s="145"/>
      <c r="FF18" s="145"/>
      <c r="FG18" s="145"/>
      <c r="FH18" s="145"/>
      <c r="FI18" s="145"/>
      <c r="FJ18" s="145"/>
      <c r="FK18" s="145"/>
      <c r="FL18" s="145"/>
      <c r="FM18" s="145"/>
      <c r="FN18" s="145"/>
      <c r="FO18" s="145"/>
      <c r="FP18" s="145"/>
      <c r="FQ18" s="145"/>
      <c r="FR18" s="145"/>
    </row>
    <row r="19" spans="1:257" ht="33" hidden="1">
      <c r="A19" s="136" t="s">
        <v>213</v>
      </c>
      <c r="B19" s="136" t="s">
        <v>120</v>
      </c>
      <c r="C19" s="61" t="s">
        <v>376</v>
      </c>
      <c r="D19" s="151" t="s">
        <v>95</v>
      </c>
      <c r="E19" s="154">
        <v>18916171988</v>
      </c>
      <c r="F19" s="152" t="s">
        <v>96</v>
      </c>
      <c r="G19" s="158" t="s">
        <v>377</v>
      </c>
      <c r="H19" s="152" t="s">
        <v>215</v>
      </c>
      <c r="I19" s="152" t="s">
        <v>191</v>
      </c>
      <c r="J19" s="152" t="s">
        <v>378</v>
      </c>
      <c r="K19" s="152" t="s">
        <v>246</v>
      </c>
      <c r="L19" s="152" t="s">
        <v>238</v>
      </c>
      <c r="M19" s="152" t="s">
        <v>379</v>
      </c>
      <c r="N19" s="152" t="s">
        <v>145</v>
      </c>
      <c r="O19" s="152" t="s">
        <v>146</v>
      </c>
      <c r="P19" s="152" t="s">
        <v>220</v>
      </c>
      <c r="Q19" s="152" t="s">
        <v>73</v>
      </c>
      <c r="R19" s="173" t="s">
        <v>73</v>
      </c>
      <c r="S19" s="149" t="s">
        <v>73</v>
      </c>
      <c r="T19" s="136" t="s">
        <v>73</v>
      </c>
      <c r="U19" s="170" t="s">
        <v>193</v>
      </c>
      <c r="V19" s="136">
        <v>500</v>
      </c>
      <c r="W19" s="184" t="s">
        <v>380</v>
      </c>
      <c r="X19" s="164" t="s">
        <v>76</v>
      </c>
      <c r="Y19" s="164"/>
      <c r="Z19" s="164"/>
      <c r="AA19" s="164" t="s">
        <v>120</v>
      </c>
      <c r="AB19" s="164" t="s">
        <v>100</v>
      </c>
      <c r="AC19" s="91"/>
      <c r="AD19" s="61" t="s">
        <v>381</v>
      </c>
      <c r="AE19" s="61" t="s">
        <v>75</v>
      </c>
      <c r="AF19" s="107">
        <v>43481</v>
      </c>
      <c r="AG19" s="90"/>
      <c r="AH19" s="91"/>
      <c r="AI19" s="91"/>
      <c r="AJ19" s="91"/>
      <c r="AK19" s="91"/>
      <c r="AL19" s="90"/>
      <c r="AM19" s="90"/>
      <c r="AN19" s="176"/>
      <c r="AO19" s="177"/>
      <c r="AP19" s="177"/>
      <c r="AQ19" s="177"/>
      <c r="AR19" s="177"/>
      <c r="AS19" s="177"/>
      <c r="AT19" s="91"/>
      <c r="AY19" s="91"/>
      <c r="AZ19" s="91"/>
      <c r="BA19" s="91"/>
      <c r="BB19" s="102"/>
      <c r="BC19" s="91"/>
      <c r="BD19" s="91"/>
      <c r="BE19" s="91"/>
      <c r="BF19" s="102"/>
      <c r="BG19" s="91"/>
      <c r="BH19" s="90"/>
      <c r="BI19" s="90"/>
      <c r="BJ19" s="91"/>
      <c r="BK19" s="91"/>
      <c r="BL19" s="90"/>
      <c r="BM19" s="90"/>
      <c r="BN19" s="91"/>
      <c r="BO19" s="91"/>
      <c r="BP19" s="91"/>
      <c r="BQ19" s="91"/>
      <c r="BR19" s="91"/>
      <c r="BS19" s="91"/>
      <c r="BT19" s="91"/>
      <c r="BU19" s="91"/>
      <c r="BV19" s="91"/>
      <c r="BW19" s="91"/>
      <c r="BX19" s="91"/>
      <c r="BY19" s="91"/>
      <c r="BZ19" s="91"/>
      <c r="CA19" s="91"/>
      <c r="CB19" s="91"/>
      <c r="CC19" s="91"/>
      <c r="CD19" s="91"/>
      <c r="CE19" s="91"/>
      <c r="CF19" s="91"/>
      <c r="CG19" s="91"/>
      <c r="CH19" s="91"/>
      <c r="CI19" s="91"/>
      <c r="CJ19" s="91"/>
      <c r="CK19" s="91"/>
      <c r="CL19" s="91"/>
      <c r="CM19" s="91"/>
      <c r="CN19" s="91"/>
      <c r="CO19" s="91"/>
      <c r="CP19" s="91"/>
      <c r="CQ19" s="91"/>
      <c r="CR19" s="91"/>
      <c r="CS19" s="91"/>
      <c r="CT19" s="91"/>
      <c r="CU19" s="91"/>
      <c r="CV19" s="91"/>
      <c r="CW19" s="91"/>
      <c r="CX19" s="91"/>
      <c r="CY19" s="91"/>
      <c r="CZ19" s="91"/>
      <c r="DA19" s="91"/>
      <c r="DB19" s="91"/>
      <c r="DC19" s="91"/>
      <c r="DD19" s="91"/>
      <c r="DE19" s="91"/>
      <c r="DF19" s="91"/>
      <c r="DG19" s="91"/>
      <c r="DH19" s="91"/>
      <c r="DI19" s="91"/>
      <c r="DJ19" s="91"/>
      <c r="DK19" s="91"/>
      <c r="DL19" s="91"/>
      <c r="DM19" s="91"/>
      <c r="DN19" s="91"/>
      <c r="DO19" s="91"/>
      <c r="DP19" s="91"/>
      <c r="DQ19" s="91"/>
      <c r="DR19" s="91"/>
      <c r="DS19" s="91"/>
      <c r="DT19" s="91"/>
      <c r="DU19" s="91"/>
      <c r="DV19" s="91"/>
      <c r="DW19" s="91"/>
      <c r="DX19" s="91"/>
      <c r="DY19" s="91"/>
      <c r="DZ19" s="91"/>
      <c r="EA19" s="91"/>
      <c r="EB19" s="91"/>
      <c r="EC19" s="91"/>
      <c r="ED19" s="91"/>
      <c r="EE19" s="91"/>
      <c r="EF19" s="91"/>
      <c r="EG19" s="91"/>
      <c r="EH19" s="91"/>
      <c r="EI19" s="91"/>
      <c r="EJ19" s="91"/>
      <c r="EK19" s="91"/>
      <c r="EL19" s="91"/>
      <c r="EM19" s="91"/>
      <c r="EN19" s="91"/>
      <c r="EO19" s="91"/>
      <c r="EP19" s="91"/>
      <c r="EQ19" s="91"/>
      <c r="ER19" s="91"/>
      <c r="ES19" s="91"/>
      <c r="ET19" s="91"/>
      <c r="EU19" s="91"/>
      <c r="EV19" s="91"/>
      <c r="EW19" s="91"/>
      <c r="EX19" s="91"/>
      <c r="EY19" s="91"/>
      <c r="EZ19" s="91"/>
      <c r="FA19" s="91"/>
      <c r="FB19" s="91"/>
      <c r="FC19" s="91"/>
      <c r="FD19" s="91"/>
      <c r="FE19" s="91"/>
      <c r="FF19" s="91"/>
      <c r="FG19" s="91"/>
      <c r="FH19" s="91"/>
      <c r="FI19" s="91"/>
      <c r="FJ19" s="91"/>
      <c r="FK19" s="91"/>
      <c r="FL19" s="91"/>
      <c r="FM19" s="91"/>
      <c r="FN19" s="91"/>
      <c r="FO19" s="91"/>
      <c r="FP19" s="91"/>
      <c r="FQ19" s="91"/>
      <c r="FR19" s="91"/>
    </row>
    <row r="20" spans="1:257" ht="66" hidden="1">
      <c r="A20" s="136" t="s">
        <v>213</v>
      </c>
      <c r="B20" s="136" t="s">
        <v>120</v>
      </c>
      <c r="C20" s="61" t="s">
        <v>382</v>
      </c>
      <c r="D20" s="151" t="s">
        <v>203</v>
      </c>
      <c r="E20" s="152" t="s">
        <v>204</v>
      </c>
      <c r="F20" s="152">
        <v>15026768701</v>
      </c>
      <c r="G20" s="158">
        <v>43871.416666666701</v>
      </c>
      <c r="H20" s="152" t="s">
        <v>215</v>
      </c>
      <c r="I20" s="152" t="s">
        <v>125</v>
      </c>
      <c r="J20" s="152" t="s">
        <v>383</v>
      </c>
      <c r="K20" s="152" t="s">
        <v>267</v>
      </c>
      <c r="L20" s="152" t="s">
        <v>238</v>
      </c>
      <c r="M20" s="152" t="s">
        <v>384</v>
      </c>
      <c r="N20" s="152" t="s">
        <v>145</v>
      </c>
      <c r="O20" s="152" t="s">
        <v>240</v>
      </c>
      <c r="P20" s="152" t="s">
        <v>147</v>
      </c>
      <c r="Q20" s="152" t="s">
        <v>385</v>
      </c>
      <c r="R20" s="174">
        <v>43817</v>
      </c>
      <c r="S20" s="149">
        <v>3680</v>
      </c>
      <c r="T20" s="136" t="s">
        <v>242</v>
      </c>
      <c r="U20" s="170" t="s">
        <v>386</v>
      </c>
      <c r="V20" s="136">
        <v>0</v>
      </c>
      <c r="W20" s="136" t="s">
        <v>387</v>
      </c>
      <c r="X20" s="164" t="s">
        <v>76</v>
      </c>
      <c r="Y20" s="164" t="s">
        <v>131</v>
      </c>
      <c r="Z20" s="164"/>
      <c r="AA20" s="164" t="s">
        <v>120</v>
      </c>
      <c r="AB20" s="164" t="s">
        <v>99</v>
      </c>
      <c r="AC20" s="91"/>
      <c r="AF20" s="91"/>
      <c r="AG20" s="91"/>
      <c r="AH20" s="90"/>
      <c r="AI20" s="90"/>
      <c r="AJ20" s="90"/>
      <c r="AK20" s="90"/>
      <c r="AL20" s="90"/>
      <c r="AM20" s="91"/>
      <c r="AN20" s="176"/>
      <c r="AO20" s="177"/>
      <c r="AP20" s="177"/>
      <c r="AQ20" s="177"/>
      <c r="AR20" s="177"/>
      <c r="AS20" s="177"/>
      <c r="AT20" s="90"/>
      <c r="AY20" s="142"/>
      <c r="AZ20" s="142"/>
      <c r="BA20" s="91"/>
      <c r="BB20" s="102"/>
      <c r="BC20" s="91"/>
      <c r="BD20" s="91"/>
      <c r="BE20" s="91"/>
      <c r="BF20" s="102"/>
      <c r="BG20" s="90"/>
      <c r="BH20" s="91"/>
      <c r="BI20" s="91"/>
      <c r="BJ20" s="102"/>
      <c r="BK20" s="91"/>
      <c r="BL20" s="91"/>
      <c r="BM20" s="91"/>
      <c r="BN20" s="91"/>
      <c r="BO20" s="91"/>
      <c r="BP20" s="91"/>
      <c r="BQ20" s="91"/>
      <c r="BR20" s="91"/>
      <c r="BS20" s="91"/>
      <c r="BT20" s="91"/>
      <c r="BU20" s="91"/>
      <c r="BV20" s="91"/>
      <c r="BW20" s="91"/>
      <c r="BX20" s="91"/>
      <c r="BY20" s="91"/>
      <c r="BZ20" s="91"/>
      <c r="CA20" s="91"/>
      <c r="CB20" s="91"/>
      <c r="CC20" s="91"/>
      <c r="CD20" s="91"/>
      <c r="CE20" s="91"/>
      <c r="CF20" s="91"/>
      <c r="CG20" s="91"/>
      <c r="CH20" s="91"/>
      <c r="CI20" s="91"/>
      <c r="CJ20" s="91"/>
      <c r="CK20" s="91"/>
      <c r="CL20" s="91"/>
      <c r="CM20" s="91"/>
      <c r="CN20" s="91"/>
      <c r="CO20" s="91"/>
      <c r="CP20" s="91"/>
      <c r="CQ20" s="91"/>
      <c r="CR20" s="91"/>
      <c r="CS20" s="91"/>
      <c r="CT20" s="91"/>
      <c r="CU20" s="91"/>
      <c r="CV20" s="91"/>
      <c r="CW20" s="91"/>
      <c r="CX20" s="91"/>
      <c r="CY20" s="91"/>
      <c r="CZ20" s="91"/>
      <c r="DA20" s="91"/>
      <c r="DB20" s="91"/>
      <c r="DC20" s="91"/>
      <c r="DD20" s="91"/>
      <c r="DE20" s="91"/>
      <c r="DF20" s="91"/>
      <c r="DG20" s="91"/>
      <c r="DH20" s="91"/>
      <c r="DI20" s="91"/>
      <c r="DJ20" s="91"/>
      <c r="DK20" s="91"/>
      <c r="DL20" s="91"/>
      <c r="DM20" s="91"/>
      <c r="DN20" s="91"/>
      <c r="DO20" s="91"/>
      <c r="DP20" s="91"/>
      <c r="DQ20" s="91"/>
      <c r="DR20" s="91"/>
      <c r="DS20" s="91"/>
      <c r="DT20" s="91"/>
      <c r="DU20" s="91"/>
      <c r="DV20" s="91"/>
      <c r="DW20" s="91"/>
      <c r="DX20" s="91"/>
      <c r="DY20" s="91"/>
      <c r="DZ20" s="91"/>
      <c r="EA20" s="91"/>
      <c r="EB20" s="91"/>
      <c r="EC20" s="91"/>
      <c r="ED20" s="91"/>
      <c r="EE20" s="91"/>
      <c r="EF20" s="91"/>
      <c r="EG20" s="91"/>
      <c r="EH20" s="91"/>
      <c r="EI20" s="91"/>
      <c r="EJ20" s="91"/>
      <c r="EK20" s="91"/>
      <c r="EL20" s="91"/>
      <c r="EM20" s="91"/>
      <c r="EN20" s="91"/>
      <c r="EO20" s="91"/>
      <c r="EP20" s="91"/>
      <c r="EQ20" s="91"/>
      <c r="ER20" s="91"/>
      <c r="ES20" s="91"/>
      <c r="ET20" s="91"/>
      <c r="EU20" s="91"/>
      <c r="EV20" s="91"/>
      <c r="EW20" s="91"/>
      <c r="EX20" s="91"/>
      <c r="EY20" s="91"/>
      <c r="EZ20" s="91"/>
      <c r="FA20" s="91"/>
      <c r="FB20" s="91"/>
      <c r="FC20" s="91"/>
      <c r="FD20" s="91"/>
      <c r="FE20" s="91"/>
      <c r="FF20" s="91"/>
      <c r="FG20" s="91"/>
      <c r="FH20" s="91"/>
      <c r="FI20" s="91"/>
      <c r="FJ20" s="91"/>
      <c r="FK20" s="91"/>
      <c r="FL20" s="91"/>
      <c r="FM20" s="91"/>
      <c r="FN20" s="91"/>
      <c r="FO20" s="91"/>
      <c r="FP20" s="91"/>
      <c r="FQ20" s="91"/>
      <c r="FR20" s="91"/>
      <c r="FS20" s="91"/>
      <c r="FT20" s="91"/>
      <c r="FU20" s="91"/>
      <c r="FV20" s="91"/>
      <c r="FW20" s="91"/>
      <c r="FX20" s="91"/>
      <c r="FY20" s="91"/>
      <c r="FZ20" s="91"/>
      <c r="GA20" s="91"/>
      <c r="GB20" s="91"/>
      <c r="GC20" s="91"/>
      <c r="GD20" s="91"/>
      <c r="GE20" s="91"/>
      <c r="GF20" s="91"/>
      <c r="GG20" s="91"/>
      <c r="GH20" s="91"/>
      <c r="GI20" s="91"/>
      <c r="GJ20" s="91"/>
      <c r="GK20" s="91"/>
      <c r="GL20" s="91"/>
      <c r="GM20" s="91"/>
      <c r="GN20" s="91"/>
      <c r="GO20" s="91"/>
      <c r="GP20" s="91"/>
      <c r="GQ20" s="91"/>
      <c r="GR20" s="91"/>
      <c r="GS20" s="91"/>
      <c r="GT20" s="91"/>
      <c r="GU20" s="91"/>
      <c r="GV20" s="91"/>
      <c r="GW20" s="91"/>
      <c r="GX20" s="91"/>
      <c r="GY20" s="91"/>
      <c r="GZ20" s="91"/>
      <c r="HA20" s="91"/>
      <c r="HB20" s="91"/>
      <c r="HC20" s="91"/>
      <c r="HD20" s="91"/>
      <c r="HE20" s="91"/>
      <c r="HF20" s="91"/>
      <c r="HG20" s="91"/>
      <c r="HH20" s="91"/>
      <c r="HI20" s="91"/>
      <c r="HJ20" s="91"/>
      <c r="HK20" s="91"/>
      <c r="HL20" s="91"/>
      <c r="HM20" s="91"/>
      <c r="HN20" s="91"/>
      <c r="HO20" s="91"/>
      <c r="HP20" s="91"/>
      <c r="HQ20" s="91"/>
      <c r="HR20" s="91"/>
      <c r="HS20" s="91"/>
      <c r="HT20" s="91"/>
      <c r="HU20" s="91"/>
      <c r="HV20" s="91"/>
      <c r="HW20" s="91"/>
      <c r="HX20" s="91"/>
      <c r="HY20" s="91"/>
      <c r="HZ20" s="91"/>
      <c r="IA20" s="91"/>
      <c r="IB20" s="91"/>
      <c r="IC20" s="91"/>
      <c r="ID20" s="91"/>
      <c r="IE20" s="91"/>
      <c r="IF20" s="91"/>
      <c r="IG20" s="91"/>
      <c r="IH20" s="91"/>
      <c r="II20" s="91"/>
      <c r="IJ20" s="91"/>
      <c r="IK20" s="91"/>
      <c r="IL20" s="91"/>
      <c r="IM20" s="91"/>
      <c r="IN20" s="91"/>
      <c r="IO20" s="91"/>
      <c r="IP20" s="91"/>
      <c r="IQ20" s="91"/>
      <c r="IR20" s="91"/>
      <c r="IS20" s="91"/>
      <c r="IT20" s="91"/>
      <c r="IU20" s="91"/>
      <c r="IV20" s="91"/>
      <c r="IW20" s="91"/>
    </row>
    <row r="21" spans="1:257" ht="33.950000000000003" hidden="1" customHeight="1">
      <c r="A21" s="136"/>
      <c r="B21" s="136" t="s">
        <v>120</v>
      </c>
      <c r="C21" s="61" t="s">
        <v>388</v>
      </c>
      <c r="D21" s="151" t="s">
        <v>389</v>
      </c>
      <c r="E21" s="152" t="s">
        <v>89</v>
      </c>
      <c r="F21" s="152">
        <v>13918116199</v>
      </c>
      <c r="G21" s="158" t="s">
        <v>390</v>
      </c>
      <c r="H21" s="152" t="s">
        <v>391</v>
      </c>
      <c r="I21" s="152" t="s">
        <v>156</v>
      </c>
      <c r="J21" s="152" t="s">
        <v>392</v>
      </c>
      <c r="K21" s="152" t="s">
        <v>282</v>
      </c>
      <c r="L21" s="152" t="s">
        <v>352</v>
      </c>
      <c r="M21" s="152">
        <v>10</v>
      </c>
      <c r="N21" s="152" t="s">
        <v>145</v>
      </c>
      <c r="O21" s="152" t="s">
        <v>106</v>
      </c>
      <c r="P21" s="152" t="s">
        <v>353</v>
      </c>
      <c r="Q21" s="152" t="s">
        <v>393</v>
      </c>
      <c r="R21" s="174">
        <v>43817</v>
      </c>
      <c r="S21" s="149">
        <v>1980</v>
      </c>
      <c r="T21" s="136" t="s">
        <v>98</v>
      </c>
      <c r="U21" s="170">
        <v>1980</v>
      </c>
      <c r="V21" s="136">
        <v>0</v>
      </c>
      <c r="W21" s="136" t="s">
        <v>394</v>
      </c>
      <c r="X21" s="164" t="s">
        <v>76</v>
      </c>
      <c r="Y21" s="164" t="s">
        <v>131</v>
      </c>
      <c r="Z21" s="164"/>
      <c r="AA21" s="164" t="s">
        <v>120</v>
      </c>
      <c r="AB21" s="164" t="s">
        <v>100</v>
      </c>
      <c r="AC21" s="89"/>
      <c r="AF21" s="90"/>
      <c r="AG21" s="89"/>
      <c r="AH21" s="90"/>
      <c r="AI21" s="90"/>
      <c r="AJ21" s="90"/>
      <c r="AK21" s="90"/>
      <c r="AL21" s="91"/>
      <c r="AM21" s="89"/>
      <c r="AN21" s="176"/>
      <c r="AO21" s="177"/>
      <c r="AP21" s="177"/>
      <c r="AQ21" s="177"/>
      <c r="AR21" s="177"/>
      <c r="AS21" s="177"/>
      <c r="AT21" s="90"/>
      <c r="AY21" s="142"/>
      <c r="AZ21" s="142"/>
      <c r="BA21" s="91"/>
      <c r="BB21" s="102"/>
      <c r="BC21" s="91"/>
      <c r="BD21" s="91"/>
      <c r="BE21" s="91"/>
      <c r="BF21" s="102"/>
      <c r="BG21" s="91"/>
      <c r="BH21" s="89"/>
      <c r="BI21" s="89"/>
      <c r="BJ21" s="100"/>
      <c r="BK21" s="91"/>
      <c r="BL21" s="89"/>
      <c r="BM21" s="89"/>
      <c r="BN21" s="91"/>
      <c r="BO21" s="91"/>
      <c r="BP21" s="91"/>
      <c r="BQ21" s="91"/>
      <c r="BR21" s="91"/>
      <c r="BS21" s="91"/>
      <c r="BT21" s="91"/>
      <c r="BU21" s="91"/>
      <c r="BV21" s="91"/>
      <c r="BW21" s="91"/>
      <c r="BX21" s="91"/>
      <c r="BY21" s="91"/>
      <c r="BZ21" s="91"/>
      <c r="CA21" s="91"/>
      <c r="CB21" s="91"/>
      <c r="CC21" s="91"/>
      <c r="CD21" s="91"/>
      <c r="CE21" s="91"/>
      <c r="CF21" s="91"/>
      <c r="CG21" s="91"/>
      <c r="CH21" s="91"/>
      <c r="CI21" s="91"/>
      <c r="CJ21" s="91"/>
      <c r="CK21" s="91"/>
      <c r="CL21" s="91"/>
      <c r="CM21" s="91"/>
      <c r="CN21" s="91"/>
      <c r="CO21" s="91"/>
      <c r="CP21" s="91"/>
      <c r="CQ21" s="91"/>
      <c r="CR21" s="91"/>
      <c r="CS21" s="91"/>
      <c r="CT21" s="91"/>
      <c r="CU21" s="91"/>
      <c r="CV21" s="91"/>
      <c r="CW21" s="91"/>
      <c r="CX21" s="91"/>
      <c r="CY21" s="91"/>
      <c r="CZ21" s="91"/>
      <c r="DA21" s="91"/>
      <c r="DB21" s="91"/>
      <c r="DC21" s="91"/>
      <c r="DD21" s="91"/>
      <c r="DE21" s="91"/>
      <c r="DF21" s="91"/>
      <c r="DG21" s="91"/>
      <c r="DH21" s="91"/>
      <c r="DI21" s="91"/>
      <c r="DJ21" s="91"/>
      <c r="DK21" s="91"/>
      <c r="DL21" s="91"/>
      <c r="DM21" s="91"/>
      <c r="DN21" s="91"/>
      <c r="DO21" s="91"/>
      <c r="DP21" s="91"/>
      <c r="DQ21" s="91"/>
      <c r="DR21" s="91"/>
      <c r="DS21" s="91"/>
      <c r="DT21" s="91"/>
      <c r="DU21" s="91"/>
      <c r="DV21" s="91"/>
      <c r="DW21" s="91"/>
      <c r="DX21" s="91"/>
      <c r="DY21" s="91"/>
      <c r="DZ21" s="91"/>
      <c r="EA21" s="91"/>
      <c r="EB21" s="91"/>
      <c r="EC21" s="91"/>
      <c r="ED21" s="91"/>
      <c r="EE21" s="91"/>
      <c r="EF21" s="91"/>
      <c r="EG21" s="91"/>
      <c r="EH21" s="91"/>
      <c r="EI21" s="91"/>
      <c r="EJ21" s="91"/>
      <c r="EK21" s="91"/>
      <c r="EL21" s="91"/>
      <c r="EM21" s="91"/>
      <c r="EN21" s="91"/>
      <c r="EO21" s="91"/>
      <c r="EP21" s="91"/>
      <c r="EQ21" s="91"/>
      <c r="ER21" s="91"/>
      <c r="ES21" s="91"/>
      <c r="ET21" s="91"/>
      <c r="EU21" s="91"/>
      <c r="EV21" s="91"/>
      <c r="EW21" s="91"/>
      <c r="EX21" s="91"/>
      <c r="EY21" s="91"/>
      <c r="EZ21" s="91"/>
      <c r="FA21" s="91"/>
      <c r="FB21" s="91"/>
      <c r="FC21" s="91"/>
      <c r="FD21" s="91"/>
      <c r="FE21" s="91"/>
      <c r="FF21" s="91"/>
      <c r="FG21" s="91"/>
      <c r="FH21" s="91"/>
      <c r="FI21" s="91"/>
      <c r="FJ21" s="91"/>
      <c r="FK21" s="91"/>
      <c r="FL21" s="91"/>
      <c r="FM21" s="91"/>
      <c r="FN21" s="91"/>
      <c r="FO21" s="91"/>
      <c r="FP21" s="91"/>
      <c r="FQ21" s="91"/>
      <c r="FR21" s="91"/>
    </row>
    <row r="22" spans="1:257" ht="66">
      <c r="A22" s="136" t="s">
        <v>213</v>
      </c>
      <c r="B22" s="136" t="s">
        <v>120</v>
      </c>
      <c r="C22" s="61" t="s">
        <v>278</v>
      </c>
      <c r="D22" s="151" t="s">
        <v>82</v>
      </c>
      <c r="E22" s="152" t="s">
        <v>279</v>
      </c>
      <c r="F22" s="69">
        <v>13501720358</v>
      </c>
      <c r="G22" s="158">
        <v>43826.666666666701</v>
      </c>
      <c r="H22" s="152" t="s">
        <v>215</v>
      </c>
      <c r="I22" s="152" t="s">
        <v>280</v>
      </c>
      <c r="J22" s="152" t="s">
        <v>281</v>
      </c>
      <c r="K22" s="152" t="s">
        <v>282</v>
      </c>
      <c r="L22" s="152" t="s">
        <v>283</v>
      </c>
      <c r="M22" s="152" t="s">
        <v>284</v>
      </c>
      <c r="N22" s="152" t="s">
        <v>145</v>
      </c>
      <c r="O22" s="152" t="s">
        <v>146</v>
      </c>
      <c r="P22" s="152" t="s">
        <v>220</v>
      </c>
      <c r="Q22" s="152" t="s">
        <v>285</v>
      </c>
      <c r="R22" s="174">
        <v>43817</v>
      </c>
      <c r="S22" s="149">
        <v>500</v>
      </c>
      <c r="T22" s="136" t="s">
        <v>90</v>
      </c>
      <c r="U22" s="170">
        <v>2980</v>
      </c>
      <c r="V22" s="136">
        <v>2480</v>
      </c>
      <c r="W22" s="136" t="s">
        <v>286</v>
      </c>
      <c r="X22" s="164" t="s">
        <v>76</v>
      </c>
      <c r="Y22" s="164"/>
      <c r="Z22" s="164"/>
      <c r="AA22" s="164" t="s">
        <v>120</v>
      </c>
      <c r="AB22" s="164" t="s">
        <v>99</v>
      </c>
      <c r="AC22" s="90"/>
      <c r="AD22" s="89"/>
      <c r="AE22" s="89"/>
      <c r="AF22" s="91"/>
      <c r="AG22" s="90"/>
      <c r="AH22" s="91"/>
      <c r="AI22" s="91"/>
      <c r="AJ22" s="91"/>
      <c r="AK22" s="91"/>
      <c r="AL22" s="90"/>
      <c r="AM22" s="90"/>
      <c r="AN22" s="176">
        <v>43827</v>
      </c>
      <c r="AO22" s="177" t="s">
        <v>97</v>
      </c>
      <c r="AP22" s="177"/>
      <c r="AQ22" s="177" t="s">
        <v>185</v>
      </c>
      <c r="AR22" s="177"/>
      <c r="AS22" s="177" t="s">
        <v>231</v>
      </c>
      <c r="AT22" s="90"/>
      <c r="AU22" s="76">
        <v>43827</v>
      </c>
      <c r="AV22" s="78">
        <v>2480</v>
      </c>
      <c r="AW22" s="77" t="s">
        <v>98</v>
      </c>
      <c r="AX22" s="78">
        <v>2980</v>
      </c>
      <c r="AY22" s="91"/>
      <c r="AZ22" s="91"/>
      <c r="BA22" s="91"/>
      <c r="BB22" s="102"/>
      <c r="BC22" s="91"/>
      <c r="BD22" s="91"/>
      <c r="BE22" s="91"/>
      <c r="BF22" s="102"/>
      <c r="BG22" s="91"/>
      <c r="BH22" s="89"/>
      <c r="BI22" s="89"/>
      <c r="BJ22" s="102"/>
      <c r="BK22" s="91"/>
      <c r="BL22" s="90"/>
      <c r="BM22" s="90"/>
      <c r="BN22" s="91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</row>
    <row r="23" spans="1:257" ht="78" hidden="1" customHeight="1">
      <c r="A23" s="155" t="s">
        <v>213</v>
      </c>
      <c r="B23" s="136" t="s">
        <v>120</v>
      </c>
      <c r="C23" s="61" t="s">
        <v>263</v>
      </c>
      <c r="D23" s="151" t="s">
        <v>264</v>
      </c>
      <c r="E23" s="152" t="s">
        <v>265</v>
      </c>
      <c r="F23" s="152">
        <v>13816067670</v>
      </c>
      <c r="G23" s="158">
        <v>43825.5625</v>
      </c>
      <c r="H23" s="152" t="s">
        <v>215</v>
      </c>
      <c r="I23" s="152" t="s">
        <v>125</v>
      </c>
      <c r="J23" s="152" t="s">
        <v>266</v>
      </c>
      <c r="K23" s="152" t="s">
        <v>267</v>
      </c>
      <c r="L23" s="152" t="s">
        <v>238</v>
      </c>
      <c r="M23" s="152" t="s">
        <v>268</v>
      </c>
      <c r="N23" s="152" t="s">
        <v>145</v>
      </c>
      <c r="O23" s="152" t="s">
        <v>240</v>
      </c>
      <c r="P23" s="152" t="s">
        <v>220</v>
      </c>
      <c r="Q23" s="152" t="s">
        <v>221</v>
      </c>
      <c r="R23" s="174">
        <v>43818</v>
      </c>
      <c r="S23" s="149">
        <v>3680</v>
      </c>
      <c r="T23" s="136" t="s">
        <v>242</v>
      </c>
      <c r="U23" s="170">
        <v>3680</v>
      </c>
      <c r="V23" s="136">
        <v>0</v>
      </c>
      <c r="W23" s="136" t="s">
        <v>269</v>
      </c>
      <c r="X23" s="169"/>
      <c r="Y23" s="164" t="s">
        <v>242</v>
      </c>
      <c r="Z23" s="164"/>
      <c r="AA23" s="164" t="s">
        <v>120</v>
      </c>
      <c r="AB23" s="164" t="s">
        <v>99</v>
      </c>
      <c r="AC23" s="145"/>
      <c r="AD23" s="143"/>
      <c r="AE23" s="143"/>
      <c r="AF23" s="143"/>
      <c r="AG23" s="145"/>
      <c r="AH23" s="143"/>
      <c r="AI23" s="143"/>
      <c r="AJ23" s="143"/>
      <c r="AK23" s="143"/>
      <c r="AL23" s="143"/>
      <c r="AM23" s="145"/>
      <c r="AN23" s="76">
        <v>43825</v>
      </c>
      <c r="AO23" s="77" t="s">
        <v>107</v>
      </c>
      <c r="AP23" s="114"/>
      <c r="AQ23" s="177">
        <v>10</v>
      </c>
      <c r="AR23" s="114"/>
      <c r="AS23" s="114" t="s">
        <v>109</v>
      </c>
      <c r="AT23" s="90"/>
      <c r="AU23" s="76" t="s">
        <v>73</v>
      </c>
      <c r="AV23" s="78" t="s">
        <v>73</v>
      </c>
      <c r="AW23" s="77" t="s">
        <v>73</v>
      </c>
      <c r="AX23" s="78">
        <v>3680</v>
      </c>
      <c r="AY23" s="91"/>
      <c r="AZ23" s="91"/>
      <c r="BA23" s="143"/>
      <c r="BB23" s="147"/>
      <c r="BC23" s="143"/>
      <c r="BD23" s="143"/>
      <c r="BE23" s="143"/>
      <c r="BF23" s="147"/>
      <c r="BG23" s="143"/>
      <c r="BH23" s="143"/>
      <c r="BI23" s="143"/>
      <c r="BJ23" s="147"/>
      <c r="BK23" s="143"/>
      <c r="BL23" s="143"/>
      <c r="BM23" s="143"/>
      <c r="BN23" s="143"/>
      <c r="BO23" s="143"/>
      <c r="BP23" s="143"/>
      <c r="BQ23" s="143"/>
      <c r="BR23" s="143"/>
      <c r="BS23" s="143"/>
      <c r="BT23" s="143"/>
      <c r="BU23" s="143"/>
      <c r="BV23" s="143"/>
      <c r="BW23" s="143"/>
      <c r="BX23" s="143"/>
      <c r="BY23" s="143"/>
      <c r="BZ23" s="143"/>
      <c r="CA23" s="143"/>
      <c r="CB23" s="143"/>
      <c r="CC23" s="143"/>
      <c r="CD23" s="143"/>
      <c r="CE23" s="143"/>
      <c r="CF23" s="143"/>
      <c r="CG23" s="143"/>
      <c r="CH23" s="143"/>
      <c r="CI23" s="143"/>
      <c r="CJ23" s="143"/>
      <c r="CK23" s="143"/>
      <c r="CL23" s="143"/>
      <c r="CM23" s="143"/>
      <c r="CN23" s="143"/>
      <c r="CO23" s="143"/>
      <c r="CP23" s="143"/>
      <c r="CQ23" s="143"/>
      <c r="CR23" s="143"/>
      <c r="CS23" s="143"/>
      <c r="CT23" s="143"/>
      <c r="CU23" s="143"/>
      <c r="CV23" s="143"/>
      <c r="CW23" s="143"/>
      <c r="CX23" s="143"/>
      <c r="CY23" s="143"/>
      <c r="CZ23" s="143"/>
      <c r="DA23" s="143"/>
      <c r="DB23" s="143"/>
      <c r="DC23" s="143"/>
      <c r="DD23" s="143"/>
      <c r="DE23" s="143"/>
      <c r="DF23" s="143"/>
      <c r="DG23" s="143"/>
      <c r="DH23" s="143"/>
      <c r="DI23" s="143"/>
      <c r="DJ23" s="143"/>
      <c r="DK23" s="143"/>
      <c r="DL23" s="143"/>
      <c r="DM23" s="143"/>
      <c r="DN23" s="143"/>
      <c r="DO23" s="143"/>
      <c r="DP23" s="143"/>
      <c r="DQ23" s="143"/>
      <c r="DR23" s="143"/>
      <c r="DS23" s="143"/>
      <c r="DT23" s="143"/>
      <c r="DU23" s="143"/>
      <c r="DV23" s="143"/>
      <c r="DW23" s="143"/>
      <c r="DX23" s="143"/>
      <c r="DY23" s="143"/>
      <c r="DZ23" s="143"/>
      <c r="EA23" s="143"/>
      <c r="EB23" s="143"/>
      <c r="EC23" s="143"/>
      <c r="ED23" s="143"/>
      <c r="EE23" s="143"/>
      <c r="EF23" s="143"/>
      <c r="EG23" s="143"/>
      <c r="EH23" s="143"/>
      <c r="EI23" s="143"/>
      <c r="EJ23" s="143"/>
      <c r="EK23" s="143"/>
      <c r="EL23" s="143"/>
      <c r="EM23" s="143"/>
      <c r="EN23" s="143"/>
      <c r="EO23" s="143"/>
      <c r="EP23" s="143"/>
      <c r="EQ23" s="143"/>
      <c r="ER23" s="143"/>
      <c r="ES23" s="143"/>
      <c r="ET23" s="143"/>
      <c r="EU23" s="143"/>
      <c r="EV23" s="143"/>
      <c r="EW23" s="143"/>
      <c r="EX23" s="143"/>
      <c r="EY23" s="143"/>
      <c r="EZ23" s="143"/>
      <c r="FA23" s="143"/>
      <c r="FB23" s="143"/>
      <c r="FC23" s="143"/>
      <c r="FD23" s="143"/>
      <c r="FE23" s="143"/>
      <c r="FF23" s="143"/>
      <c r="FG23" s="143"/>
      <c r="FH23" s="143"/>
      <c r="FI23" s="143"/>
      <c r="FJ23" s="143"/>
      <c r="FK23" s="143"/>
      <c r="FL23" s="143"/>
      <c r="FM23" s="143"/>
      <c r="FN23" s="143"/>
      <c r="FO23" s="143"/>
      <c r="FP23" s="143"/>
      <c r="FQ23" s="143"/>
      <c r="FR23" s="143"/>
      <c r="FS23" s="89"/>
      <c r="FT23" s="89"/>
      <c r="FU23" s="89"/>
      <c r="FV23" s="89"/>
      <c r="FW23" s="89"/>
      <c r="FX23" s="89"/>
      <c r="FY23" s="89"/>
      <c r="FZ23" s="89"/>
      <c r="GA23" s="89"/>
      <c r="GB23" s="89"/>
      <c r="GC23" s="89"/>
      <c r="GD23" s="89"/>
      <c r="GE23" s="89"/>
      <c r="GF23" s="89"/>
      <c r="GG23" s="89"/>
      <c r="GH23" s="89"/>
      <c r="GI23" s="89"/>
      <c r="GJ23" s="89"/>
      <c r="GK23" s="89"/>
      <c r="GL23" s="89"/>
      <c r="GM23" s="89"/>
      <c r="GN23" s="89"/>
      <c r="GO23" s="89"/>
      <c r="GP23" s="89"/>
      <c r="GQ23" s="89"/>
      <c r="GR23" s="89"/>
      <c r="GS23" s="89"/>
      <c r="GT23" s="89"/>
      <c r="GU23" s="89"/>
      <c r="GV23" s="89"/>
      <c r="GW23" s="89"/>
      <c r="GX23" s="89"/>
      <c r="GY23" s="89"/>
      <c r="GZ23" s="89"/>
      <c r="HA23" s="89"/>
      <c r="HB23" s="89"/>
      <c r="HC23" s="89"/>
      <c r="HD23" s="89"/>
      <c r="HE23" s="89"/>
      <c r="HF23" s="89"/>
      <c r="HG23" s="89"/>
      <c r="HH23" s="89"/>
      <c r="HI23" s="89"/>
      <c r="HJ23" s="89"/>
      <c r="HK23" s="89"/>
      <c r="HL23" s="89"/>
      <c r="HM23" s="89"/>
      <c r="HN23" s="89"/>
      <c r="HO23" s="89"/>
      <c r="HP23" s="89"/>
      <c r="HQ23" s="89"/>
      <c r="HR23" s="89"/>
      <c r="HS23" s="89"/>
      <c r="HT23" s="89"/>
      <c r="HU23" s="89"/>
      <c r="HV23" s="89"/>
      <c r="HW23" s="89"/>
      <c r="HX23" s="89"/>
      <c r="HY23" s="89"/>
      <c r="HZ23" s="89"/>
      <c r="IA23" s="89"/>
      <c r="IB23" s="89"/>
      <c r="IC23" s="89"/>
      <c r="ID23" s="89"/>
      <c r="IE23" s="89"/>
      <c r="IF23" s="89"/>
      <c r="IG23" s="89"/>
      <c r="IH23" s="89"/>
      <c r="II23" s="89"/>
      <c r="IJ23" s="89"/>
      <c r="IK23" s="89"/>
      <c r="IL23" s="89"/>
      <c r="IM23" s="89"/>
      <c r="IN23" s="89"/>
      <c r="IO23" s="89"/>
      <c r="IP23" s="89"/>
      <c r="IQ23" s="89"/>
      <c r="IR23" s="89"/>
      <c r="IS23" s="89"/>
      <c r="IT23" s="89"/>
      <c r="IU23" s="89"/>
      <c r="IV23" s="89"/>
      <c r="IW23" s="89"/>
    </row>
    <row r="24" spans="1:257" ht="115.5" hidden="1">
      <c r="A24" s="136"/>
      <c r="B24" s="136" t="s">
        <v>120</v>
      </c>
      <c r="C24" s="61" t="s">
        <v>395</v>
      </c>
      <c r="D24" s="151" t="s">
        <v>212</v>
      </c>
      <c r="E24" s="152" t="s">
        <v>396</v>
      </c>
      <c r="F24" s="152">
        <v>13801951105</v>
      </c>
      <c r="G24" s="158" t="s">
        <v>397</v>
      </c>
      <c r="H24" s="152" t="s">
        <v>215</v>
      </c>
      <c r="I24" s="152" t="s">
        <v>125</v>
      </c>
      <c r="J24" s="152" t="s">
        <v>398</v>
      </c>
      <c r="K24" s="152" t="s">
        <v>267</v>
      </c>
      <c r="L24" s="152" t="s">
        <v>238</v>
      </c>
      <c r="M24" s="152" t="s">
        <v>268</v>
      </c>
      <c r="N24" s="152" t="s">
        <v>145</v>
      </c>
      <c r="O24" s="152" t="s">
        <v>240</v>
      </c>
      <c r="P24" s="152" t="s">
        <v>220</v>
      </c>
      <c r="Q24" s="152" t="s">
        <v>399</v>
      </c>
      <c r="R24" s="174">
        <v>43818</v>
      </c>
      <c r="S24" s="149">
        <v>3680</v>
      </c>
      <c r="T24" s="136" t="s">
        <v>242</v>
      </c>
      <c r="U24" s="170">
        <v>3680</v>
      </c>
      <c r="V24" s="136">
        <v>0</v>
      </c>
      <c r="W24" s="136" t="s">
        <v>400</v>
      </c>
      <c r="X24" s="164" t="s">
        <v>76</v>
      </c>
      <c r="Y24" s="164" t="s">
        <v>131</v>
      </c>
      <c r="Z24" s="164"/>
      <c r="AA24" s="164" t="s">
        <v>120</v>
      </c>
      <c r="AB24" s="164" t="s">
        <v>99</v>
      </c>
      <c r="AC24" s="91"/>
      <c r="AD24" s="90"/>
      <c r="AE24" s="90"/>
      <c r="AF24" s="91"/>
      <c r="AG24" s="90"/>
      <c r="AH24" s="91"/>
      <c r="AI24" s="91"/>
      <c r="AJ24" s="91"/>
      <c r="AK24" s="91"/>
      <c r="AL24" s="91"/>
      <c r="AM24" s="90"/>
      <c r="AN24" s="102"/>
      <c r="AO24" s="91"/>
      <c r="AP24" s="91"/>
      <c r="AQ24" s="177"/>
      <c r="AR24" s="91"/>
      <c r="AS24" s="110"/>
      <c r="AT24" s="91"/>
      <c r="AX24" s="77"/>
      <c r="AY24" s="142"/>
      <c r="AZ24" s="142"/>
      <c r="BA24" s="91"/>
      <c r="BB24" s="102"/>
      <c r="BC24" s="91"/>
      <c r="BD24" s="91"/>
      <c r="BE24" s="91"/>
      <c r="BF24" s="102"/>
      <c r="BG24" s="91"/>
      <c r="BH24" s="89"/>
      <c r="BI24" s="89"/>
      <c r="BJ24" s="141"/>
      <c r="BK24" s="91"/>
      <c r="BL24" s="91"/>
      <c r="BM24" s="91"/>
      <c r="BN24" s="91"/>
      <c r="BO24" s="91"/>
      <c r="BP24" s="91"/>
      <c r="BQ24" s="91"/>
      <c r="BR24" s="91"/>
      <c r="BS24" s="91"/>
      <c r="BT24" s="91"/>
      <c r="BU24" s="91"/>
      <c r="BV24" s="91"/>
      <c r="BW24" s="91"/>
      <c r="BX24" s="91"/>
      <c r="BY24" s="91"/>
      <c r="BZ24" s="91"/>
      <c r="CA24" s="91"/>
      <c r="CB24" s="91"/>
      <c r="CC24" s="91"/>
      <c r="CD24" s="91"/>
      <c r="CE24" s="91"/>
      <c r="CF24" s="91"/>
      <c r="CG24" s="91"/>
      <c r="CH24" s="91"/>
      <c r="CI24" s="91"/>
      <c r="CJ24" s="91"/>
      <c r="CK24" s="91"/>
      <c r="CL24" s="91"/>
      <c r="CM24" s="91"/>
      <c r="CN24" s="91"/>
      <c r="CO24" s="91"/>
      <c r="CP24" s="91"/>
      <c r="CQ24" s="91"/>
      <c r="CR24" s="91"/>
      <c r="CS24" s="91"/>
      <c r="CT24" s="91"/>
      <c r="CU24" s="91"/>
      <c r="CV24" s="91"/>
      <c r="CW24" s="91"/>
      <c r="CX24" s="91"/>
      <c r="CY24" s="91"/>
      <c r="CZ24" s="91"/>
      <c r="DA24" s="91"/>
      <c r="DB24" s="91"/>
      <c r="DC24" s="91"/>
      <c r="DD24" s="91"/>
      <c r="DE24" s="91"/>
      <c r="DF24" s="91"/>
      <c r="DG24" s="91"/>
      <c r="DH24" s="91"/>
      <c r="DI24" s="91"/>
      <c r="DJ24" s="91"/>
      <c r="DK24" s="91"/>
      <c r="DL24" s="91"/>
      <c r="DM24" s="91"/>
      <c r="DN24" s="91"/>
      <c r="DO24" s="91"/>
      <c r="DP24" s="91"/>
      <c r="DQ24" s="91"/>
      <c r="DR24" s="91"/>
      <c r="DS24" s="91"/>
      <c r="DT24" s="91"/>
      <c r="DU24" s="91"/>
      <c r="DV24" s="91"/>
      <c r="DW24" s="91"/>
      <c r="DX24" s="91"/>
      <c r="DY24" s="91"/>
      <c r="DZ24" s="91"/>
      <c r="EA24" s="91"/>
      <c r="EB24" s="91"/>
      <c r="EC24" s="91"/>
      <c r="ED24" s="91"/>
      <c r="EE24" s="91"/>
      <c r="EF24" s="91"/>
      <c r="EG24" s="91"/>
      <c r="EH24" s="91"/>
      <c r="EI24" s="91"/>
      <c r="EJ24" s="91"/>
      <c r="EK24" s="91"/>
      <c r="EL24" s="91"/>
      <c r="EM24" s="91"/>
      <c r="EN24" s="91"/>
      <c r="EO24" s="91"/>
      <c r="EP24" s="91"/>
      <c r="EQ24" s="91"/>
      <c r="ER24" s="91"/>
      <c r="ES24" s="91"/>
      <c r="ET24" s="91"/>
      <c r="EU24" s="91"/>
      <c r="EV24" s="91"/>
      <c r="EW24" s="91"/>
      <c r="EX24" s="91"/>
      <c r="EY24" s="91"/>
      <c r="EZ24" s="91"/>
      <c r="FA24" s="91"/>
      <c r="FB24" s="91"/>
      <c r="FC24" s="91"/>
      <c r="FD24" s="91"/>
      <c r="FE24" s="91"/>
      <c r="FF24" s="91"/>
      <c r="FG24" s="91"/>
      <c r="FH24" s="91"/>
      <c r="FI24" s="91"/>
      <c r="FJ24" s="91"/>
      <c r="FK24" s="91"/>
      <c r="FL24" s="91"/>
      <c r="FM24" s="91"/>
      <c r="FN24" s="91"/>
      <c r="FO24" s="91"/>
      <c r="FP24" s="91"/>
      <c r="FQ24" s="91"/>
      <c r="FR24" s="91"/>
      <c r="FS24" s="91"/>
      <c r="FT24" s="91"/>
      <c r="FU24" s="91"/>
      <c r="FV24" s="91"/>
      <c r="FW24" s="91"/>
      <c r="FX24" s="91"/>
      <c r="FY24" s="91"/>
      <c r="FZ24" s="91"/>
      <c r="GA24" s="91"/>
      <c r="GB24" s="91"/>
      <c r="GC24" s="91"/>
      <c r="GD24" s="91"/>
      <c r="GE24" s="91"/>
      <c r="GF24" s="91"/>
      <c r="GG24" s="91"/>
      <c r="GH24" s="91"/>
      <c r="GI24" s="91"/>
      <c r="GJ24" s="91"/>
      <c r="GK24" s="91"/>
      <c r="GL24" s="91"/>
      <c r="GM24" s="91"/>
      <c r="GN24" s="91"/>
      <c r="GO24" s="91"/>
      <c r="GP24" s="91"/>
      <c r="GQ24" s="91"/>
      <c r="GR24" s="91"/>
      <c r="GS24" s="91"/>
      <c r="GT24" s="91"/>
      <c r="GU24" s="91"/>
      <c r="GV24" s="91"/>
      <c r="GW24" s="91"/>
      <c r="GX24" s="91"/>
      <c r="GY24" s="91"/>
      <c r="GZ24" s="91"/>
      <c r="HA24" s="91"/>
      <c r="HB24" s="91"/>
      <c r="HC24" s="91"/>
      <c r="HD24" s="91"/>
      <c r="HE24" s="91"/>
      <c r="HF24" s="91"/>
      <c r="HG24" s="91"/>
      <c r="HH24" s="91"/>
      <c r="HI24" s="91"/>
      <c r="HJ24" s="91"/>
      <c r="HK24" s="91"/>
      <c r="HL24" s="91"/>
      <c r="HM24" s="91"/>
      <c r="HN24" s="91"/>
      <c r="HO24" s="91"/>
      <c r="HP24" s="91"/>
      <c r="HQ24" s="91"/>
      <c r="HR24" s="91"/>
      <c r="HS24" s="91"/>
      <c r="HT24" s="91"/>
      <c r="HU24" s="91"/>
      <c r="HV24" s="91"/>
      <c r="HW24" s="91"/>
      <c r="HX24" s="91"/>
      <c r="HY24" s="91"/>
      <c r="HZ24" s="91"/>
      <c r="IA24" s="91"/>
      <c r="IB24" s="91"/>
      <c r="IC24" s="91"/>
      <c r="ID24" s="91"/>
      <c r="IE24" s="91"/>
      <c r="IF24" s="91"/>
      <c r="IG24" s="91"/>
      <c r="IH24" s="91"/>
      <c r="II24" s="91"/>
      <c r="IJ24" s="91"/>
      <c r="IK24" s="91"/>
      <c r="IL24" s="91"/>
      <c r="IM24" s="91"/>
      <c r="IN24" s="91"/>
      <c r="IO24" s="91"/>
      <c r="IP24" s="91"/>
      <c r="IQ24" s="91"/>
      <c r="IR24" s="91"/>
      <c r="IS24" s="91"/>
      <c r="IT24" s="91"/>
      <c r="IU24" s="91"/>
      <c r="IV24" s="91"/>
      <c r="IW24" s="91"/>
    </row>
    <row r="25" spans="1:257" ht="66" hidden="1">
      <c r="A25" s="136" t="s">
        <v>213</v>
      </c>
      <c r="B25" s="136" t="s">
        <v>120</v>
      </c>
      <c r="C25" s="61" t="s">
        <v>401</v>
      </c>
      <c r="D25" s="151" t="s">
        <v>70</v>
      </c>
      <c r="E25" s="152" t="s">
        <v>73</v>
      </c>
      <c r="F25" s="152">
        <v>18117102052</v>
      </c>
      <c r="G25" s="158">
        <v>44193.416666666701</v>
      </c>
      <c r="H25" s="152" t="s">
        <v>215</v>
      </c>
      <c r="I25" s="152" t="s">
        <v>117</v>
      </c>
      <c r="J25" s="152" t="s">
        <v>402</v>
      </c>
      <c r="K25" s="152" t="s">
        <v>246</v>
      </c>
      <c r="L25" s="152" t="s">
        <v>238</v>
      </c>
      <c r="M25" s="152">
        <v>25</v>
      </c>
      <c r="N25" s="152" t="s">
        <v>145</v>
      </c>
      <c r="O25" s="152" t="s">
        <v>240</v>
      </c>
      <c r="P25" s="152" t="s">
        <v>220</v>
      </c>
      <c r="Q25" s="152" t="s">
        <v>221</v>
      </c>
      <c r="R25" s="173" t="s">
        <v>73</v>
      </c>
      <c r="S25" s="149">
        <v>500</v>
      </c>
      <c r="T25" s="136" t="s">
        <v>90</v>
      </c>
      <c r="U25" s="170">
        <v>3848</v>
      </c>
      <c r="V25" s="136">
        <v>3348</v>
      </c>
      <c r="W25" s="136" t="s">
        <v>403</v>
      </c>
      <c r="X25" s="164" t="s">
        <v>76</v>
      </c>
      <c r="Y25" s="164"/>
      <c r="Z25" s="164"/>
      <c r="AA25" s="164" t="s">
        <v>120</v>
      </c>
      <c r="AB25" s="164" t="s">
        <v>99</v>
      </c>
      <c r="AC25" s="91"/>
      <c r="AD25" s="91"/>
      <c r="AE25" s="91"/>
      <c r="AF25" s="91"/>
      <c r="AG25" s="90"/>
      <c r="AH25" s="90"/>
      <c r="AI25" s="90"/>
      <c r="AJ25" s="90"/>
      <c r="AK25" s="90"/>
      <c r="AL25" s="91"/>
      <c r="AM25" s="90"/>
      <c r="AN25" s="102"/>
      <c r="AO25" s="90"/>
      <c r="AP25" s="90"/>
      <c r="AQ25" s="177"/>
      <c r="AR25" s="90"/>
      <c r="AS25" s="110"/>
      <c r="AT25" s="90"/>
      <c r="AX25" s="77"/>
      <c r="AY25" s="142"/>
      <c r="AZ25" s="142"/>
      <c r="BA25" s="91"/>
      <c r="BB25" s="102"/>
      <c r="BC25" s="91"/>
      <c r="BD25" s="91"/>
      <c r="BE25" s="91"/>
      <c r="BF25" s="102"/>
      <c r="BG25" s="91"/>
      <c r="BH25" s="89"/>
      <c r="BI25" s="89"/>
      <c r="BJ25" s="102"/>
      <c r="BK25" s="91"/>
      <c r="BL25" s="90"/>
      <c r="BM25" s="90"/>
      <c r="BN25" s="91"/>
      <c r="BO25" s="90"/>
      <c r="BP25" s="90"/>
      <c r="BQ25" s="90"/>
      <c r="BR25" s="90"/>
      <c r="BS25" s="90"/>
      <c r="BT25" s="90"/>
      <c r="BU25" s="90"/>
      <c r="BV25" s="90"/>
      <c r="BW25" s="90"/>
      <c r="BX25" s="90"/>
      <c r="BY25" s="90"/>
      <c r="BZ25" s="90"/>
      <c r="CA25" s="90"/>
      <c r="CB25" s="90"/>
      <c r="CC25" s="90"/>
      <c r="CD25" s="90"/>
      <c r="CE25" s="90"/>
      <c r="CF25" s="90"/>
      <c r="CG25" s="90"/>
      <c r="CH25" s="90"/>
      <c r="CI25" s="90"/>
      <c r="CJ25" s="90"/>
      <c r="CK25" s="90"/>
      <c r="CL25" s="90"/>
      <c r="CM25" s="90"/>
      <c r="CN25" s="90"/>
      <c r="CO25" s="90"/>
      <c r="CP25" s="90"/>
      <c r="CQ25" s="90"/>
      <c r="CR25" s="90"/>
      <c r="CS25" s="90"/>
      <c r="CT25" s="90"/>
      <c r="CU25" s="90"/>
      <c r="CV25" s="90"/>
      <c r="CW25" s="90"/>
      <c r="CX25" s="90"/>
      <c r="CY25" s="90"/>
      <c r="CZ25" s="90"/>
      <c r="DA25" s="90"/>
      <c r="DB25" s="90"/>
      <c r="DC25" s="90"/>
      <c r="DD25" s="90"/>
      <c r="DE25" s="90"/>
      <c r="DF25" s="90"/>
      <c r="DG25" s="90"/>
      <c r="DH25" s="90"/>
      <c r="DI25" s="90"/>
      <c r="DJ25" s="90"/>
      <c r="DK25" s="90"/>
      <c r="DL25" s="90"/>
      <c r="DM25" s="90"/>
      <c r="DN25" s="90"/>
      <c r="DO25" s="90"/>
      <c r="DP25" s="90"/>
      <c r="DQ25" s="90"/>
      <c r="DR25" s="90"/>
      <c r="DS25" s="90"/>
      <c r="DT25" s="90"/>
      <c r="DU25" s="90"/>
      <c r="DV25" s="90"/>
      <c r="DW25" s="90"/>
      <c r="DX25" s="90"/>
      <c r="DY25" s="90"/>
      <c r="DZ25" s="90"/>
      <c r="EA25" s="90"/>
      <c r="EB25" s="90"/>
      <c r="EC25" s="90"/>
      <c r="ED25" s="90"/>
      <c r="EE25" s="90"/>
      <c r="EF25" s="90"/>
      <c r="EG25" s="90"/>
      <c r="EH25" s="90"/>
      <c r="EI25" s="90"/>
      <c r="EJ25" s="90"/>
      <c r="EK25" s="90"/>
      <c r="EL25" s="90"/>
      <c r="EM25" s="90"/>
      <c r="EN25" s="90"/>
      <c r="EO25" s="90"/>
      <c r="EP25" s="90"/>
      <c r="EQ25" s="90"/>
      <c r="ER25" s="90"/>
      <c r="ES25" s="90"/>
      <c r="ET25" s="90"/>
      <c r="EU25" s="90"/>
      <c r="EV25" s="90"/>
      <c r="EW25" s="90"/>
      <c r="EX25" s="90"/>
      <c r="EY25" s="90"/>
      <c r="EZ25" s="90"/>
      <c r="FA25" s="90"/>
      <c r="FB25" s="90"/>
      <c r="FC25" s="90"/>
      <c r="FD25" s="90"/>
      <c r="FE25" s="90"/>
      <c r="FF25" s="90"/>
      <c r="FG25" s="90"/>
      <c r="FH25" s="90"/>
      <c r="FI25" s="90"/>
      <c r="FJ25" s="90"/>
      <c r="FK25" s="90"/>
      <c r="FL25" s="90"/>
      <c r="FM25" s="90"/>
      <c r="FN25" s="90"/>
      <c r="FO25" s="90"/>
      <c r="FP25" s="90"/>
      <c r="FQ25" s="90"/>
      <c r="FR25" s="90"/>
    </row>
    <row r="26" spans="1:257" ht="115.5" hidden="1">
      <c r="A26" s="136"/>
      <c r="B26" s="136" t="s">
        <v>120</v>
      </c>
      <c r="C26" s="61" t="s">
        <v>404</v>
      </c>
      <c r="D26" s="151" t="s">
        <v>210</v>
      </c>
      <c r="E26" s="154" t="s">
        <v>211</v>
      </c>
      <c r="F26" s="152">
        <v>13918210550</v>
      </c>
      <c r="G26" s="158" t="s">
        <v>405</v>
      </c>
      <c r="H26" s="152" t="s">
        <v>215</v>
      </c>
      <c r="I26" s="152" t="s">
        <v>190</v>
      </c>
      <c r="J26" s="152" t="s">
        <v>406</v>
      </c>
      <c r="K26" s="152" t="s">
        <v>282</v>
      </c>
      <c r="L26" s="152" t="s">
        <v>344</v>
      </c>
      <c r="M26" s="152" t="s">
        <v>407</v>
      </c>
      <c r="N26" s="152" t="s">
        <v>145</v>
      </c>
      <c r="O26" s="152" t="s">
        <v>408</v>
      </c>
      <c r="P26" s="152" t="s">
        <v>220</v>
      </c>
      <c r="Q26" s="152" t="s">
        <v>221</v>
      </c>
      <c r="R26" s="174">
        <v>43818</v>
      </c>
      <c r="S26" s="149">
        <v>3580</v>
      </c>
      <c r="T26" s="136" t="s">
        <v>242</v>
      </c>
      <c r="U26" s="170">
        <v>3580</v>
      </c>
      <c r="V26" s="136">
        <v>0</v>
      </c>
      <c r="W26" s="136" t="s">
        <v>409</v>
      </c>
      <c r="X26" s="164" t="s">
        <v>76</v>
      </c>
      <c r="Y26" s="164" t="s">
        <v>131</v>
      </c>
      <c r="Z26" s="164"/>
      <c r="AA26" s="164" t="s">
        <v>120</v>
      </c>
      <c r="AB26" s="164" t="s">
        <v>99</v>
      </c>
      <c r="AC26"/>
      <c r="AD26"/>
      <c r="AE26"/>
      <c r="AF26"/>
      <c r="AG26"/>
      <c r="AH26"/>
      <c r="AI26"/>
      <c r="AJ26"/>
      <c r="AK26"/>
      <c r="AL26"/>
      <c r="AM26"/>
      <c r="AN26" s="102"/>
      <c r="AO26" s="90"/>
      <c r="AP26"/>
      <c r="AQ26" s="177"/>
      <c r="AR26"/>
      <c r="AS26" s="110"/>
      <c r="AT26"/>
      <c r="AX26" s="77"/>
      <c r="AY26" s="91"/>
      <c r="AZ26" s="91"/>
      <c r="BA26"/>
      <c r="BB26" s="140"/>
      <c r="BC26"/>
      <c r="BD26"/>
      <c r="BE26"/>
      <c r="BF26" s="140"/>
      <c r="BG26"/>
      <c r="BH26"/>
      <c r="BI26"/>
      <c r="BJ26" s="140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</row>
    <row r="27" spans="1:257" ht="33" hidden="1">
      <c r="A27" s="136" t="s">
        <v>213</v>
      </c>
      <c r="B27" s="136" t="s">
        <v>120</v>
      </c>
      <c r="C27" s="61" t="s">
        <v>214</v>
      </c>
      <c r="D27" s="151" t="s">
        <v>171</v>
      </c>
      <c r="E27" s="152" t="s">
        <v>172</v>
      </c>
      <c r="F27" s="152">
        <v>18516089280</v>
      </c>
      <c r="G27" s="158">
        <v>43819.416666666701</v>
      </c>
      <c r="H27" s="152" t="s">
        <v>215</v>
      </c>
      <c r="I27" s="152" t="s">
        <v>192</v>
      </c>
      <c r="J27" s="152" t="s">
        <v>173</v>
      </c>
      <c r="K27" s="152" t="s">
        <v>216</v>
      </c>
      <c r="L27" s="152" t="s">
        <v>217</v>
      </c>
      <c r="M27" s="152">
        <v>8</v>
      </c>
      <c r="N27" s="152" t="s">
        <v>218</v>
      </c>
      <c r="O27" s="152" t="s">
        <v>219</v>
      </c>
      <c r="P27" s="152" t="s">
        <v>220</v>
      </c>
      <c r="Q27" s="152" t="s">
        <v>221</v>
      </c>
      <c r="R27" s="174">
        <v>43818</v>
      </c>
      <c r="S27" s="149">
        <v>1400</v>
      </c>
      <c r="T27" s="136" t="s">
        <v>90</v>
      </c>
      <c r="U27" s="136">
        <v>1400</v>
      </c>
      <c r="V27" s="136">
        <v>0</v>
      </c>
      <c r="W27" s="136" t="s">
        <v>222</v>
      </c>
      <c r="X27" s="164" t="s">
        <v>76</v>
      </c>
      <c r="Y27" s="164"/>
      <c r="Z27" s="164"/>
      <c r="AA27" s="164" t="s">
        <v>120</v>
      </c>
      <c r="AB27" s="164" t="s">
        <v>102</v>
      </c>
      <c r="AC27" s="143"/>
      <c r="AD27" s="143"/>
      <c r="AE27" s="143"/>
      <c r="AF27" s="143"/>
      <c r="AG27" s="143"/>
      <c r="AH27" s="143"/>
      <c r="AI27" s="143"/>
      <c r="AJ27" s="143"/>
      <c r="AK27" s="143"/>
      <c r="AL27" s="143"/>
      <c r="AM27" s="143"/>
      <c r="AN27" s="110">
        <v>43819</v>
      </c>
      <c r="AO27" s="114" t="s">
        <v>97</v>
      </c>
      <c r="AP27" s="91"/>
      <c r="AQ27" s="177">
        <v>10</v>
      </c>
      <c r="AR27" s="91"/>
      <c r="AS27" s="114" t="s">
        <v>109</v>
      </c>
      <c r="AT27" s="91"/>
      <c r="AU27" s="76" t="s">
        <v>73</v>
      </c>
      <c r="AV27" s="78" t="s">
        <v>73</v>
      </c>
      <c r="AW27" s="77" t="s">
        <v>73</v>
      </c>
      <c r="AX27" s="78">
        <v>1400</v>
      </c>
      <c r="AY27" s="91"/>
      <c r="AZ27" s="91"/>
      <c r="BA27" s="143"/>
      <c r="BB27" s="147"/>
      <c r="BC27" s="143"/>
      <c r="BD27" s="143"/>
      <c r="BE27" s="143"/>
      <c r="BF27" s="141">
        <v>43819</v>
      </c>
      <c r="BG27" s="142">
        <v>1400</v>
      </c>
      <c r="BH27" s="143"/>
      <c r="BI27" s="143"/>
      <c r="BJ27" s="147"/>
      <c r="BK27" s="143"/>
      <c r="BL27" s="143"/>
      <c r="BM27" s="143"/>
      <c r="BN27" s="143"/>
      <c r="BO27" s="143"/>
      <c r="BP27" s="143"/>
      <c r="BQ27" s="143"/>
      <c r="BR27" s="143"/>
      <c r="BS27" s="143"/>
      <c r="BT27" s="143"/>
      <c r="BU27" s="143"/>
      <c r="BV27" s="143"/>
      <c r="BW27" s="143"/>
      <c r="BX27" s="143"/>
      <c r="BY27" s="143"/>
      <c r="BZ27" s="143"/>
      <c r="CA27" s="143"/>
      <c r="CB27" s="143"/>
      <c r="CC27" s="143"/>
      <c r="CD27" s="143"/>
      <c r="CE27" s="143"/>
      <c r="CF27" s="143"/>
      <c r="CG27" s="143"/>
      <c r="CH27" s="143"/>
      <c r="CI27" s="143"/>
      <c r="CJ27" s="143"/>
      <c r="CK27" s="143"/>
      <c r="CL27" s="143"/>
      <c r="CM27" s="143"/>
      <c r="CN27" s="143"/>
      <c r="CO27" s="143"/>
      <c r="CP27" s="143"/>
      <c r="CQ27" s="143"/>
      <c r="CR27" s="143"/>
      <c r="CS27" s="143"/>
      <c r="CT27" s="143"/>
      <c r="CU27" s="143"/>
      <c r="CV27" s="143"/>
      <c r="CW27" s="143"/>
      <c r="CX27" s="143"/>
      <c r="CY27" s="143"/>
      <c r="CZ27" s="143"/>
      <c r="DA27" s="143"/>
      <c r="DB27" s="143"/>
      <c r="DC27" s="143"/>
      <c r="DD27" s="143"/>
      <c r="DE27" s="143"/>
      <c r="DF27" s="143"/>
      <c r="DG27" s="143"/>
      <c r="DH27" s="143"/>
      <c r="DI27" s="143"/>
      <c r="DJ27" s="143"/>
      <c r="DK27" s="143"/>
      <c r="DL27" s="143"/>
      <c r="DM27" s="143"/>
      <c r="DN27" s="143"/>
      <c r="DO27" s="143"/>
      <c r="DP27" s="143"/>
      <c r="DQ27" s="143"/>
      <c r="DR27" s="143"/>
      <c r="DS27" s="143"/>
      <c r="DT27" s="143"/>
      <c r="DU27" s="143"/>
      <c r="DV27" s="143"/>
      <c r="DW27" s="143"/>
      <c r="DX27" s="143"/>
      <c r="DY27" s="143"/>
      <c r="DZ27" s="143"/>
      <c r="EA27" s="143"/>
      <c r="EB27" s="143"/>
      <c r="EC27" s="143"/>
      <c r="ED27" s="143"/>
      <c r="EE27" s="143"/>
      <c r="EF27" s="143"/>
      <c r="EG27" s="143"/>
      <c r="EH27" s="143"/>
      <c r="EI27" s="143"/>
      <c r="EJ27" s="143"/>
      <c r="EK27" s="143"/>
      <c r="EL27" s="143"/>
      <c r="EM27" s="143"/>
      <c r="EN27" s="143"/>
      <c r="EO27" s="143"/>
      <c r="EP27" s="143"/>
      <c r="EQ27" s="143"/>
      <c r="ER27" s="143"/>
      <c r="ES27" s="143"/>
      <c r="ET27" s="143"/>
      <c r="EU27" s="143"/>
      <c r="EV27" s="143"/>
      <c r="EW27" s="143"/>
      <c r="EX27" s="143"/>
      <c r="EY27" s="143"/>
      <c r="EZ27" s="143"/>
      <c r="FA27" s="143"/>
      <c r="FB27" s="143"/>
      <c r="FC27" s="143"/>
      <c r="FD27" s="143"/>
      <c r="FE27" s="143"/>
      <c r="FF27" s="143"/>
      <c r="FG27" s="143"/>
      <c r="FH27" s="143"/>
      <c r="FI27" s="143"/>
      <c r="FJ27" s="143"/>
      <c r="FK27" s="143"/>
      <c r="FL27" s="143"/>
      <c r="FM27" s="143"/>
      <c r="FN27" s="143"/>
      <c r="FO27" s="143"/>
      <c r="FP27" s="143"/>
      <c r="FQ27" s="143"/>
      <c r="FR27" s="143"/>
    </row>
    <row r="28" spans="1:257" ht="66">
      <c r="A28" s="136" t="s">
        <v>213</v>
      </c>
      <c r="B28" s="136" t="s">
        <v>120</v>
      </c>
      <c r="C28" s="61" t="s">
        <v>223</v>
      </c>
      <c r="D28" s="151" t="s">
        <v>224</v>
      </c>
      <c r="E28" s="152" t="s">
        <v>225</v>
      </c>
      <c r="F28" s="152">
        <v>18001783093</v>
      </c>
      <c r="G28" s="158">
        <v>43820.666666666701</v>
      </c>
      <c r="H28" s="152" t="s">
        <v>215</v>
      </c>
      <c r="I28" s="152" t="s">
        <v>192</v>
      </c>
      <c r="J28" s="152" t="s">
        <v>226</v>
      </c>
      <c r="K28" s="152" t="s">
        <v>227</v>
      </c>
      <c r="L28" s="152" t="s">
        <v>217</v>
      </c>
      <c r="M28" s="152" t="s">
        <v>228</v>
      </c>
      <c r="N28" s="152" t="s">
        <v>145</v>
      </c>
      <c r="O28" s="152" t="s">
        <v>106</v>
      </c>
      <c r="P28" s="152" t="s">
        <v>220</v>
      </c>
      <c r="Q28" s="152" t="s">
        <v>221</v>
      </c>
      <c r="R28" s="174">
        <v>43818</v>
      </c>
      <c r="S28" s="149">
        <v>500</v>
      </c>
      <c r="T28" s="136" t="s">
        <v>90</v>
      </c>
      <c r="U28" s="136" t="s">
        <v>229</v>
      </c>
      <c r="V28" s="136">
        <v>1400</v>
      </c>
      <c r="W28" s="136" t="s">
        <v>230</v>
      </c>
      <c r="X28" s="164" t="s">
        <v>63</v>
      </c>
      <c r="Y28" s="164"/>
      <c r="Z28" s="164"/>
      <c r="AA28" s="164" t="s">
        <v>120</v>
      </c>
      <c r="AB28" s="164" t="s">
        <v>102</v>
      </c>
      <c r="AC28" s="144"/>
      <c r="AD28" s="143"/>
      <c r="AE28" s="143"/>
      <c r="AF28" s="143"/>
      <c r="AG28" s="144"/>
      <c r="AH28" s="143"/>
      <c r="AI28" s="143"/>
      <c r="AJ28" s="143"/>
      <c r="AK28" s="143"/>
      <c r="AL28" s="143"/>
      <c r="AM28" s="144"/>
      <c r="AN28" s="110">
        <v>43820</v>
      </c>
      <c r="AO28" s="114" t="s">
        <v>107</v>
      </c>
      <c r="AP28" s="89"/>
      <c r="AQ28" s="177">
        <v>10</v>
      </c>
      <c r="AR28" s="89"/>
      <c r="AS28" s="114" t="s">
        <v>231</v>
      </c>
      <c r="AT28" s="89"/>
      <c r="AU28" s="76">
        <v>43820</v>
      </c>
      <c r="AV28" s="78">
        <v>1400</v>
      </c>
      <c r="AW28" s="77" t="s">
        <v>98</v>
      </c>
      <c r="AX28" s="78">
        <v>1900</v>
      </c>
      <c r="AY28" s="91"/>
      <c r="AZ28" s="91"/>
      <c r="BA28" s="143"/>
      <c r="BB28" s="147"/>
      <c r="BC28" s="143"/>
      <c r="BD28" s="143"/>
      <c r="BE28" s="143"/>
      <c r="BF28" s="147"/>
      <c r="BG28" s="143"/>
      <c r="BH28" s="144"/>
      <c r="BI28" s="144"/>
      <c r="BJ28" s="146"/>
      <c r="BK28" s="143"/>
      <c r="BL28" s="144"/>
      <c r="BM28" s="144"/>
      <c r="BN28" s="145"/>
      <c r="BO28" s="145"/>
      <c r="BP28" s="145"/>
      <c r="BQ28" s="145"/>
      <c r="BR28" s="145"/>
      <c r="BS28" s="145"/>
      <c r="BT28" s="145"/>
      <c r="BU28" s="145"/>
      <c r="BV28" s="145"/>
      <c r="BW28" s="145"/>
      <c r="BX28" s="145"/>
      <c r="BY28" s="145"/>
      <c r="BZ28" s="145"/>
      <c r="CA28" s="145"/>
      <c r="CB28" s="145"/>
      <c r="CC28" s="145"/>
      <c r="CD28" s="145"/>
      <c r="CE28" s="145"/>
      <c r="CF28" s="145"/>
      <c r="CG28" s="145"/>
      <c r="CH28" s="145"/>
      <c r="CI28" s="145"/>
      <c r="CJ28" s="145"/>
      <c r="CK28" s="145"/>
      <c r="CL28" s="145"/>
      <c r="CM28" s="145"/>
      <c r="CN28" s="145"/>
      <c r="CO28" s="145"/>
      <c r="CP28" s="145"/>
      <c r="CQ28" s="145"/>
      <c r="CR28" s="145"/>
      <c r="CS28" s="145"/>
      <c r="CT28" s="145"/>
      <c r="CU28" s="145"/>
      <c r="CV28" s="145"/>
      <c r="CW28" s="145"/>
      <c r="CX28" s="145"/>
      <c r="CY28" s="145"/>
      <c r="CZ28" s="145"/>
      <c r="DA28" s="145"/>
      <c r="DB28" s="145"/>
      <c r="DC28" s="145"/>
      <c r="DD28" s="145"/>
      <c r="DE28" s="145"/>
      <c r="DF28" s="145"/>
      <c r="DG28" s="145"/>
      <c r="DH28" s="145"/>
      <c r="DI28" s="145"/>
      <c r="DJ28" s="145"/>
      <c r="DK28" s="145"/>
      <c r="DL28" s="145"/>
      <c r="DM28" s="145"/>
      <c r="DN28" s="145"/>
      <c r="DO28" s="145"/>
      <c r="DP28" s="145"/>
      <c r="DQ28" s="145"/>
      <c r="DR28" s="145"/>
      <c r="DS28" s="145"/>
      <c r="DT28" s="145"/>
      <c r="DU28" s="145"/>
      <c r="DV28" s="145"/>
      <c r="DW28" s="145"/>
      <c r="DX28" s="145"/>
      <c r="DY28" s="145"/>
      <c r="DZ28" s="145"/>
      <c r="EA28" s="145"/>
      <c r="EB28" s="145"/>
      <c r="EC28" s="145"/>
      <c r="ED28" s="145"/>
      <c r="EE28" s="145"/>
      <c r="EF28" s="145"/>
      <c r="EG28" s="145"/>
      <c r="EH28" s="145"/>
      <c r="EI28" s="145"/>
      <c r="EJ28" s="145"/>
      <c r="EK28" s="145"/>
      <c r="EL28" s="145"/>
      <c r="EM28" s="145"/>
      <c r="EN28" s="145"/>
      <c r="EO28" s="145"/>
      <c r="EP28" s="145"/>
      <c r="EQ28" s="145"/>
      <c r="ER28" s="145"/>
      <c r="ES28" s="145"/>
      <c r="ET28" s="145"/>
      <c r="EU28" s="145"/>
      <c r="EV28" s="145"/>
      <c r="EW28" s="145"/>
      <c r="EX28" s="145"/>
      <c r="EY28" s="145"/>
      <c r="EZ28" s="145"/>
      <c r="FA28" s="145"/>
      <c r="FB28" s="145"/>
      <c r="FC28" s="145"/>
      <c r="FD28" s="145"/>
      <c r="FE28" s="145"/>
      <c r="FF28" s="145"/>
      <c r="FG28" s="145"/>
      <c r="FH28" s="145"/>
      <c r="FI28" s="145"/>
      <c r="FJ28" s="145"/>
      <c r="FK28" s="145"/>
      <c r="FL28" s="145"/>
      <c r="FM28" s="145"/>
      <c r="FN28" s="145"/>
      <c r="FO28" s="145"/>
      <c r="FP28" s="145"/>
      <c r="FQ28" s="145"/>
      <c r="FR28" s="145"/>
    </row>
    <row r="29" spans="1:257" ht="66" hidden="1">
      <c r="A29" s="136" t="s">
        <v>213</v>
      </c>
      <c r="B29" s="136" t="s">
        <v>120</v>
      </c>
      <c r="C29" s="61" t="s">
        <v>410</v>
      </c>
      <c r="D29" s="151" t="s">
        <v>411</v>
      </c>
      <c r="E29" s="152" t="s">
        <v>412</v>
      </c>
      <c r="F29" s="152">
        <v>15800510390</v>
      </c>
      <c r="G29" s="158">
        <v>43841.416666666701</v>
      </c>
      <c r="H29" s="152" t="s">
        <v>215</v>
      </c>
      <c r="I29" s="152" t="s">
        <v>118</v>
      </c>
      <c r="J29" s="152" t="s">
        <v>413</v>
      </c>
      <c r="K29" s="152" t="s">
        <v>227</v>
      </c>
      <c r="L29" s="152" t="s">
        <v>253</v>
      </c>
      <c r="M29" s="152">
        <v>12</v>
      </c>
      <c r="N29" s="152" t="s">
        <v>145</v>
      </c>
      <c r="O29" s="152" t="s">
        <v>255</v>
      </c>
      <c r="P29" s="152" t="s">
        <v>220</v>
      </c>
      <c r="Q29" s="152" t="s">
        <v>221</v>
      </c>
      <c r="R29" s="174">
        <v>43819</v>
      </c>
      <c r="S29" s="149">
        <v>500</v>
      </c>
      <c r="T29" s="136" t="s">
        <v>90</v>
      </c>
      <c r="U29" s="170">
        <v>3000</v>
      </c>
      <c r="V29" s="136">
        <v>2500</v>
      </c>
      <c r="W29" s="136" t="s">
        <v>414</v>
      </c>
      <c r="X29" s="164" t="s">
        <v>73</v>
      </c>
      <c r="Y29" s="164"/>
      <c r="Z29" s="164"/>
      <c r="AA29" s="164" t="s">
        <v>120</v>
      </c>
      <c r="AB29" s="164" t="s">
        <v>100</v>
      </c>
      <c r="AC29" s="89"/>
      <c r="AD29" s="90"/>
      <c r="AE29" s="90"/>
      <c r="AF29" s="91"/>
      <c r="AG29" s="90"/>
      <c r="AH29" s="90"/>
      <c r="AI29" s="90"/>
      <c r="AJ29" s="90"/>
      <c r="AK29" s="90"/>
      <c r="AL29" s="90"/>
      <c r="AM29" s="89"/>
      <c r="AN29" s="102"/>
      <c r="AO29" s="90"/>
      <c r="AP29" s="90"/>
      <c r="AQ29" s="90"/>
      <c r="AR29" s="90"/>
      <c r="AS29" s="91"/>
      <c r="AT29" s="91"/>
      <c r="AW29" s="91"/>
      <c r="AX29" s="90"/>
      <c r="AY29" s="142"/>
      <c r="AZ29" s="142"/>
      <c r="BA29" s="91"/>
      <c r="BB29" s="102"/>
      <c r="BC29" s="91"/>
      <c r="BD29" s="91"/>
      <c r="BE29" s="91"/>
      <c r="BF29" s="102"/>
      <c r="BG29"/>
      <c r="BH29" s="90"/>
      <c r="BI29" s="90"/>
      <c r="BJ29" s="100"/>
      <c r="BK29" s="91"/>
      <c r="BL29" s="90"/>
      <c r="BM29" s="90"/>
      <c r="BN29"/>
      <c r="BO29" s="91"/>
      <c r="BP29" s="91"/>
      <c r="BQ29" s="91"/>
      <c r="BR29" s="91"/>
      <c r="BS29" s="91"/>
      <c r="BT29" s="91"/>
      <c r="BU29" s="91"/>
      <c r="BV29" s="91"/>
      <c r="BW29" s="91"/>
      <c r="BX29" s="91"/>
      <c r="BY29" s="91"/>
      <c r="BZ29" s="91"/>
      <c r="CA29" s="91"/>
      <c r="CB29" s="91"/>
      <c r="CC29" s="91"/>
      <c r="CD29" s="91"/>
      <c r="CE29" s="91"/>
      <c r="CF29" s="91"/>
      <c r="CG29" s="91"/>
      <c r="CH29" s="91"/>
      <c r="CI29" s="91"/>
      <c r="CJ29" s="91"/>
      <c r="CK29" s="91"/>
      <c r="CL29" s="91"/>
      <c r="CM29" s="91"/>
      <c r="CN29" s="91"/>
      <c r="CO29" s="91"/>
      <c r="CP29" s="91"/>
      <c r="CQ29" s="91"/>
      <c r="CR29" s="91"/>
      <c r="CS29" s="91"/>
      <c r="CT29" s="91"/>
      <c r="CU29" s="91"/>
      <c r="CV29" s="91"/>
      <c r="CW29" s="91"/>
      <c r="CX29" s="91"/>
      <c r="CY29" s="91"/>
      <c r="CZ29" s="91"/>
      <c r="DA29" s="91"/>
      <c r="DB29" s="91"/>
      <c r="DC29" s="91"/>
      <c r="DD29" s="91"/>
      <c r="DE29" s="91"/>
      <c r="DF29" s="91"/>
      <c r="DG29" s="91"/>
      <c r="DH29" s="91"/>
      <c r="DI29" s="91"/>
      <c r="DJ29" s="91"/>
      <c r="DK29" s="91"/>
      <c r="DL29" s="91"/>
      <c r="DM29" s="91"/>
      <c r="DN29" s="91"/>
      <c r="DO29" s="91"/>
      <c r="DP29" s="91"/>
      <c r="DQ29" s="91"/>
      <c r="DR29" s="91"/>
      <c r="DS29" s="91"/>
      <c r="DT29" s="91"/>
      <c r="DU29" s="91"/>
      <c r="DV29" s="91"/>
      <c r="DW29" s="91"/>
      <c r="DX29" s="91"/>
      <c r="DY29" s="91"/>
      <c r="DZ29" s="91"/>
      <c r="EA29" s="91"/>
      <c r="EB29" s="91"/>
      <c r="EC29" s="91"/>
      <c r="ED29" s="91"/>
      <c r="EE29" s="91"/>
      <c r="EF29" s="91"/>
      <c r="EG29" s="91"/>
      <c r="EH29" s="91"/>
      <c r="EI29" s="91"/>
      <c r="EJ29" s="91"/>
      <c r="EK29" s="91"/>
      <c r="EL29" s="91"/>
      <c r="EM29" s="91"/>
      <c r="EN29" s="91"/>
      <c r="EO29" s="91"/>
      <c r="EP29" s="91"/>
      <c r="EQ29" s="91"/>
      <c r="ER29" s="91"/>
      <c r="ES29" s="91"/>
      <c r="ET29" s="91"/>
      <c r="EU29" s="91"/>
      <c r="EV29" s="91"/>
      <c r="EW29" s="91"/>
      <c r="EX29" s="91"/>
      <c r="EY29" s="91"/>
      <c r="EZ29" s="91"/>
      <c r="FA29" s="91"/>
      <c r="FB29" s="91"/>
      <c r="FC29" s="91"/>
      <c r="FD29" s="91"/>
      <c r="FE29" s="91"/>
      <c r="FF29" s="91"/>
      <c r="FG29" s="91"/>
      <c r="FH29" s="91"/>
      <c r="FI29" s="91"/>
      <c r="FJ29" s="91"/>
      <c r="FK29" s="91"/>
      <c r="FL29" s="91"/>
      <c r="FM29" s="91"/>
      <c r="FN29" s="91"/>
      <c r="FO29" s="91"/>
      <c r="FP29" s="91"/>
      <c r="FQ29" s="91"/>
      <c r="FR29" s="91"/>
      <c r="FS29" s="91"/>
      <c r="FT29" s="91"/>
      <c r="FU29" s="91"/>
      <c r="FV29" s="91"/>
      <c r="FW29" s="91"/>
      <c r="FX29" s="91"/>
      <c r="FY29" s="91"/>
      <c r="FZ29" s="91"/>
      <c r="GA29" s="91"/>
      <c r="GB29" s="91"/>
      <c r="GC29" s="91"/>
      <c r="GD29" s="91"/>
      <c r="GE29" s="91"/>
      <c r="GF29" s="91"/>
      <c r="GG29" s="91"/>
      <c r="GH29" s="91"/>
      <c r="GI29" s="91"/>
      <c r="GJ29" s="91"/>
      <c r="GK29" s="91"/>
      <c r="GL29" s="91"/>
      <c r="GM29" s="91"/>
      <c r="GN29" s="91"/>
      <c r="GO29" s="91"/>
      <c r="GP29" s="91"/>
      <c r="GQ29" s="91"/>
      <c r="GR29" s="91"/>
      <c r="GS29" s="91"/>
      <c r="GT29" s="91"/>
      <c r="GU29" s="91"/>
      <c r="GV29" s="91"/>
      <c r="GW29" s="91"/>
      <c r="GX29" s="91"/>
      <c r="GY29" s="91"/>
      <c r="GZ29" s="91"/>
      <c r="HA29" s="91"/>
      <c r="HB29" s="91"/>
      <c r="HC29" s="91"/>
      <c r="HD29" s="91"/>
      <c r="HE29" s="91"/>
      <c r="HF29" s="91"/>
      <c r="HG29" s="91"/>
      <c r="HH29" s="91"/>
      <c r="HI29" s="91"/>
      <c r="HJ29" s="91"/>
      <c r="HK29" s="91"/>
      <c r="HL29" s="91"/>
      <c r="HM29" s="91"/>
      <c r="HN29" s="91"/>
      <c r="HO29" s="91"/>
      <c r="HP29" s="91"/>
      <c r="HQ29" s="91"/>
      <c r="HR29" s="91"/>
      <c r="HS29" s="91"/>
      <c r="HT29" s="91"/>
      <c r="HU29" s="91"/>
      <c r="HV29" s="91"/>
      <c r="HW29" s="91"/>
      <c r="HX29" s="91"/>
      <c r="HY29" s="91"/>
      <c r="HZ29" s="91"/>
      <c r="IA29" s="91"/>
      <c r="IB29" s="91"/>
      <c r="IC29" s="91"/>
      <c r="ID29" s="91"/>
      <c r="IE29" s="91"/>
      <c r="IF29" s="91"/>
      <c r="IG29" s="91"/>
      <c r="IH29" s="91"/>
      <c r="II29" s="91"/>
      <c r="IJ29" s="91"/>
      <c r="IK29" s="91"/>
      <c r="IL29" s="91"/>
      <c r="IM29" s="91"/>
      <c r="IN29" s="91"/>
      <c r="IO29" s="91"/>
      <c r="IP29" s="91"/>
      <c r="IQ29" s="91"/>
      <c r="IR29" s="91"/>
      <c r="IS29" s="91"/>
      <c r="IT29" s="91"/>
      <c r="IU29" s="91"/>
      <c r="IV29" s="91"/>
      <c r="IW29" s="91"/>
    </row>
    <row r="30" spans="1:257" ht="66" hidden="1">
      <c r="A30" s="136"/>
      <c r="B30" s="136" t="s">
        <v>120</v>
      </c>
      <c r="C30" s="61" t="s">
        <v>415</v>
      </c>
      <c r="D30" s="151" t="s">
        <v>171</v>
      </c>
      <c r="E30" s="152" t="s">
        <v>172</v>
      </c>
      <c r="F30" s="152">
        <v>18516089280</v>
      </c>
      <c r="G30" s="158" t="s">
        <v>416</v>
      </c>
      <c r="H30" s="152" t="s">
        <v>215</v>
      </c>
      <c r="I30" s="152" t="s">
        <v>122</v>
      </c>
      <c r="J30" s="152" t="s">
        <v>417</v>
      </c>
      <c r="K30" s="152" t="s">
        <v>246</v>
      </c>
      <c r="L30" s="152" t="s">
        <v>253</v>
      </c>
      <c r="M30" s="152">
        <v>16</v>
      </c>
      <c r="N30" s="152" t="s">
        <v>145</v>
      </c>
      <c r="O30" s="152" t="s">
        <v>255</v>
      </c>
      <c r="P30" s="152" t="s">
        <v>220</v>
      </c>
      <c r="Q30" s="152" t="s">
        <v>418</v>
      </c>
      <c r="R30" s="174">
        <v>43819</v>
      </c>
      <c r="S30" s="149">
        <v>1400</v>
      </c>
      <c r="T30" s="136" t="s">
        <v>90</v>
      </c>
      <c r="U30" s="170">
        <v>2480</v>
      </c>
      <c r="V30" s="136">
        <v>1080</v>
      </c>
      <c r="W30" s="136" t="s">
        <v>419</v>
      </c>
      <c r="X30" s="164" t="s">
        <v>76</v>
      </c>
      <c r="Y30" s="164" t="s">
        <v>131</v>
      </c>
      <c r="Z30" s="164"/>
      <c r="AA30" s="164" t="s">
        <v>120</v>
      </c>
      <c r="AB30" s="164" t="s">
        <v>99</v>
      </c>
      <c r="AC30" s="89"/>
      <c r="AD30" s="91"/>
      <c r="AE30" s="91"/>
      <c r="AF30" s="91"/>
      <c r="AG30" s="90"/>
      <c r="AH30" s="90"/>
      <c r="AI30" s="90"/>
      <c r="AJ30" s="90"/>
      <c r="AK30" s="90"/>
      <c r="AL30" s="90"/>
      <c r="AM30" s="89"/>
      <c r="AN30" s="102"/>
      <c r="AO30" s="90"/>
      <c r="AP30" s="90"/>
      <c r="AQ30" s="91"/>
      <c r="AR30" s="89"/>
      <c r="AS30" s="91"/>
      <c r="AT30" s="90"/>
      <c r="AW30" s="91"/>
      <c r="AX30" s="91"/>
      <c r="AY30" s="142"/>
      <c r="AZ30" s="142"/>
      <c r="BA30" s="91"/>
      <c r="BB30" s="102"/>
      <c r="BC30" s="91"/>
      <c r="BD30" s="91"/>
      <c r="BE30" s="91"/>
      <c r="BF30" s="102"/>
      <c r="BG30" s="91"/>
      <c r="BH30" s="89"/>
      <c r="BI30" s="89"/>
      <c r="BJ30" s="102"/>
      <c r="BK30" s="91"/>
      <c r="BL30" s="90"/>
      <c r="BM30" s="90"/>
      <c r="BN30" s="91"/>
      <c r="BO30" s="91"/>
      <c r="BP30" s="91"/>
      <c r="BQ30" s="91"/>
      <c r="BR30" s="91"/>
      <c r="BS30" s="91"/>
      <c r="BT30" s="91"/>
      <c r="BU30" s="91"/>
      <c r="BV30" s="91"/>
      <c r="BW30" s="91"/>
      <c r="BX30" s="91"/>
      <c r="BY30" s="91"/>
      <c r="BZ30" s="91"/>
      <c r="CA30" s="91"/>
      <c r="CB30" s="91"/>
      <c r="CC30" s="91"/>
      <c r="CD30" s="91"/>
      <c r="CE30" s="91"/>
      <c r="CF30" s="91"/>
      <c r="CG30" s="91"/>
      <c r="CH30" s="91"/>
      <c r="CI30" s="91"/>
      <c r="CJ30" s="91"/>
      <c r="CK30" s="91"/>
      <c r="CL30" s="91"/>
      <c r="CM30" s="91"/>
      <c r="CN30" s="91"/>
      <c r="CO30" s="91"/>
      <c r="CP30" s="91"/>
      <c r="CQ30" s="91"/>
      <c r="CR30" s="91"/>
      <c r="CS30" s="91"/>
      <c r="CT30" s="91"/>
      <c r="CU30" s="91"/>
      <c r="CV30" s="91"/>
      <c r="CW30" s="91"/>
      <c r="CX30" s="91"/>
      <c r="CY30" s="91"/>
      <c r="CZ30" s="91"/>
      <c r="DA30" s="91"/>
      <c r="DB30" s="91"/>
      <c r="DC30" s="91"/>
      <c r="DD30" s="91"/>
      <c r="DE30" s="91"/>
      <c r="DF30" s="91"/>
      <c r="DG30" s="91"/>
      <c r="DH30" s="91"/>
      <c r="DI30" s="91"/>
      <c r="DJ30" s="91"/>
      <c r="DK30" s="91"/>
      <c r="DL30" s="91"/>
      <c r="DM30" s="91"/>
      <c r="DN30" s="91"/>
      <c r="DO30" s="91"/>
      <c r="DP30" s="91"/>
      <c r="DQ30" s="91"/>
      <c r="DR30" s="91"/>
      <c r="DS30" s="91"/>
      <c r="DT30" s="91"/>
      <c r="DU30" s="91"/>
      <c r="DV30" s="91"/>
      <c r="DW30" s="91"/>
      <c r="DX30" s="91"/>
      <c r="DY30" s="91"/>
      <c r="DZ30" s="91"/>
      <c r="EA30" s="91"/>
      <c r="EB30" s="91"/>
      <c r="EC30" s="91"/>
      <c r="ED30" s="91"/>
      <c r="EE30" s="91"/>
      <c r="EF30" s="91"/>
      <c r="EG30" s="91"/>
      <c r="EH30" s="91"/>
      <c r="EI30" s="91"/>
      <c r="EJ30" s="91"/>
      <c r="EK30" s="91"/>
      <c r="EL30" s="91"/>
      <c r="EM30" s="91"/>
      <c r="EN30" s="91"/>
      <c r="EO30" s="91"/>
      <c r="EP30" s="91"/>
      <c r="EQ30" s="91"/>
      <c r="ER30" s="91"/>
      <c r="ES30" s="91"/>
      <c r="ET30" s="91"/>
      <c r="EU30" s="91"/>
      <c r="EV30" s="91"/>
      <c r="EW30" s="91"/>
      <c r="EX30" s="91"/>
      <c r="EY30" s="91"/>
      <c r="EZ30" s="91"/>
      <c r="FA30" s="91"/>
      <c r="FB30" s="91"/>
      <c r="FC30" s="91"/>
      <c r="FD30" s="91"/>
      <c r="FE30" s="91"/>
      <c r="FF30" s="91"/>
      <c r="FG30" s="91"/>
      <c r="FH30" s="91"/>
      <c r="FI30" s="91"/>
      <c r="FJ30" s="91"/>
      <c r="FK30" s="91"/>
      <c r="FL30" s="91"/>
      <c r="FM30" s="91"/>
      <c r="FN30" s="91"/>
      <c r="FO30" s="91"/>
      <c r="FP30" s="91"/>
      <c r="FQ30" s="91"/>
      <c r="FR30" s="91"/>
    </row>
    <row r="31" spans="1:257" ht="33">
      <c r="A31" s="136" t="s">
        <v>213</v>
      </c>
      <c r="B31" s="136" t="s">
        <v>120</v>
      </c>
      <c r="C31" s="61" t="s">
        <v>243</v>
      </c>
      <c r="D31" s="151" t="s">
        <v>244</v>
      </c>
      <c r="E31" s="152" t="s">
        <v>244</v>
      </c>
      <c r="F31" s="152">
        <v>18601702120</v>
      </c>
      <c r="G31" s="158">
        <v>43821.416666666701</v>
      </c>
      <c r="H31" s="152" t="s">
        <v>215</v>
      </c>
      <c r="I31" s="152" t="s">
        <v>176</v>
      </c>
      <c r="J31" s="152" t="s">
        <v>245</v>
      </c>
      <c r="K31" s="152" t="s">
        <v>246</v>
      </c>
      <c r="L31" s="152" t="s">
        <v>238</v>
      </c>
      <c r="M31" s="152"/>
      <c r="N31" s="152" t="s">
        <v>145</v>
      </c>
      <c r="O31" s="152" t="s">
        <v>247</v>
      </c>
      <c r="P31" s="152" t="s">
        <v>220</v>
      </c>
      <c r="Q31" s="152" t="s">
        <v>221</v>
      </c>
      <c r="R31" s="174">
        <v>43819</v>
      </c>
      <c r="S31" s="149">
        <v>500</v>
      </c>
      <c r="T31" s="136" t="s">
        <v>90</v>
      </c>
      <c r="U31" s="136">
        <v>3580</v>
      </c>
      <c r="V31" s="136">
        <v>3080</v>
      </c>
      <c r="W31" s="136" t="s">
        <v>73</v>
      </c>
      <c r="X31" s="164" t="s">
        <v>73</v>
      </c>
      <c r="Y31" s="164" t="s">
        <v>242</v>
      </c>
      <c r="Z31" s="164"/>
      <c r="AA31" s="164" t="s">
        <v>120</v>
      </c>
      <c r="AB31" s="164" t="s">
        <v>100</v>
      </c>
      <c r="AC31" s="144"/>
      <c r="AD31" s="143"/>
      <c r="AE31" s="143"/>
      <c r="AF31" s="143"/>
      <c r="AG31" s="144"/>
      <c r="AH31" s="143"/>
      <c r="AI31" s="143"/>
      <c r="AJ31" s="143"/>
      <c r="AK31" s="143"/>
      <c r="AL31" s="144"/>
      <c r="AM31" s="143"/>
      <c r="AN31" s="110">
        <v>43821</v>
      </c>
      <c r="AO31" s="114" t="s">
        <v>97</v>
      </c>
      <c r="AP31" s="90"/>
      <c r="AQ31" s="114" t="s">
        <v>67</v>
      </c>
      <c r="AR31" s="90"/>
      <c r="AS31" s="114" t="s">
        <v>80</v>
      </c>
      <c r="AT31" s="89"/>
      <c r="AU31" s="76">
        <v>43821</v>
      </c>
      <c r="AV31" s="78">
        <v>3080</v>
      </c>
      <c r="AW31" s="114" t="s">
        <v>98</v>
      </c>
      <c r="AX31" s="115">
        <v>3580</v>
      </c>
      <c r="AY31" s="91"/>
      <c r="AZ31" s="91"/>
      <c r="BA31" s="143"/>
      <c r="BB31" s="147"/>
      <c r="BC31" s="143"/>
      <c r="BD31" s="143"/>
      <c r="BE31" s="143"/>
      <c r="BF31" s="141">
        <v>43826</v>
      </c>
      <c r="BG31" s="103">
        <v>3300</v>
      </c>
      <c r="BH31" s="145"/>
      <c r="BI31" s="145"/>
      <c r="BJ31" s="147"/>
      <c r="BK31" s="143"/>
      <c r="BL31" s="143"/>
      <c r="BM31" s="143"/>
      <c r="BN31" s="143"/>
      <c r="BO31" s="145"/>
      <c r="BP31" s="145"/>
      <c r="BQ31" s="145"/>
      <c r="BR31" s="145"/>
      <c r="BS31" s="145"/>
      <c r="BT31" s="145"/>
      <c r="BU31" s="145"/>
      <c r="BV31" s="145"/>
      <c r="BW31" s="145"/>
      <c r="BX31" s="145"/>
      <c r="BY31" s="145"/>
      <c r="BZ31" s="145"/>
      <c r="CA31" s="145"/>
      <c r="CB31" s="145"/>
      <c r="CC31" s="145"/>
      <c r="CD31" s="145"/>
      <c r="CE31" s="145"/>
      <c r="CF31" s="145"/>
      <c r="CG31" s="145"/>
      <c r="CH31" s="145"/>
      <c r="CI31" s="145"/>
      <c r="CJ31" s="145"/>
      <c r="CK31" s="145"/>
      <c r="CL31" s="145"/>
      <c r="CM31" s="145"/>
      <c r="CN31" s="145"/>
      <c r="CO31" s="145"/>
      <c r="CP31" s="145"/>
      <c r="CQ31" s="145"/>
      <c r="CR31" s="145"/>
      <c r="CS31" s="145"/>
      <c r="CT31" s="145"/>
      <c r="CU31" s="145"/>
      <c r="CV31" s="145"/>
      <c r="CW31" s="145"/>
      <c r="CX31" s="145"/>
      <c r="CY31" s="145"/>
      <c r="CZ31" s="145"/>
      <c r="DA31" s="145"/>
      <c r="DB31" s="145"/>
      <c r="DC31" s="145"/>
      <c r="DD31" s="145"/>
      <c r="DE31" s="145"/>
      <c r="DF31" s="145"/>
      <c r="DG31" s="145"/>
      <c r="DH31" s="145"/>
      <c r="DI31" s="145"/>
      <c r="DJ31" s="145"/>
      <c r="DK31" s="145"/>
      <c r="DL31" s="145"/>
      <c r="DM31" s="145"/>
      <c r="DN31" s="145"/>
      <c r="DO31" s="145"/>
      <c r="DP31" s="145"/>
      <c r="DQ31" s="145"/>
      <c r="DR31" s="145"/>
      <c r="DS31" s="145"/>
      <c r="DT31" s="145"/>
      <c r="DU31" s="145"/>
      <c r="DV31" s="145"/>
      <c r="DW31" s="145"/>
      <c r="DX31" s="145"/>
      <c r="DY31" s="145"/>
      <c r="DZ31" s="145"/>
      <c r="EA31" s="145"/>
      <c r="EB31" s="145"/>
      <c r="EC31" s="145"/>
      <c r="ED31" s="145"/>
      <c r="EE31" s="145"/>
      <c r="EF31" s="145"/>
      <c r="EG31" s="145"/>
      <c r="EH31" s="145"/>
      <c r="EI31" s="145"/>
      <c r="EJ31" s="145"/>
      <c r="EK31" s="145"/>
      <c r="EL31" s="145"/>
      <c r="EM31" s="145"/>
      <c r="EN31" s="145"/>
      <c r="EO31" s="145"/>
      <c r="EP31" s="145"/>
      <c r="EQ31" s="145"/>
      <c r="ER31" s="145"/>
      <c r="ES31" s="145"/>
      <c r="ET31" s="145"/>
      <c r="EU31" s="145"/>
      <c r="EV31" s="145"/>
      <c r="EW31" s="145"/>
      <c r="EX31" s="145"/>
      <c r="EY31" s="145"/>
      <c r="EZ31" s="145"/>
      <c r="FA31" s="145"/>
      <c r="FB31" s="145"/>
      <c r="FC31" s="145"/>
      <c r="FD31" s="145"/>
      <c r="FE31" s="145"/>
      <c r="FF31" s="145"/>
      <c r="FG31" s="145"/>
      <c r="FH31" s="145"/>
      <c r="FI31" s="145"/>
      <c r="FJ31" s="145"/>
      <c r="FK31" s="145"/>
      <c r="FL31" s="145"/>
      <c r="FM31" s="145"/>
      <c r="FN31" s="145"/>
      <c r="FO31" s="145"/>
      <c r="FP31" s="145"/>
      <c r="FQ31" s="145"/>
      <c r="FR31" s="145"/>
    </row>
    <row r="32" spans="1:257" ht="66" hidden="1">
      <c r="A32" s="136" t="s">
        <v>213</v>
      </c>
      <c r="B32" s="136" t="s">
        <v>120</v>
      </c>
      <c r="C32" s="61" t="s">
        <v>420</v>
      </c>
      <c r="D32" s="151" t="s">
        <v>421</v>
      </c>
      <c r="E32" s="152" t="s">
        <v>422</v>
      </c>
      <c r="F32" s="154">
        <v>13661662466</v>
      </c>
      <c r="G32" s="158">
        <v>43825.416666666701</v>
      </c>
      <c r="H32" s="152" t="s">
        <v>215</v>
      </c>
      <c r="I32" s="152" t="s">
        <v>280</v>
      </c>
      <c r="J32" s="152" t="s">
        <v>423</v>
      </c>
      <c r="K32" s="152" t="s">
        <v>424</v>
      </c>
      <c r="L32" s="152" t="s">
        <v>253</v>
      </c>
      <c r="M32" s="152" t="s">
        <v>425</v>
      </c>
      <c r="N32" s="152" t="s">
        <v>145</v>
      </c>
      <c r="O32" s="152" t="s">
        <v>255</v>
      </c>
      <c r="P32" s="152" t="s">
        <v>220</v>
      </c>
      <c r="Q32" s="152" t="s">
        <v>426</v>
      </c>
      <c r="R32" s="174">
        <v>43819</v>
      </c>
      <c r="S32" s="149">
        <v>2980</v>
      </c>
      <c r="T32" s="136" t="s">
        <v>242</v>
      </c>
      <c r="U32" s="170">
        <v>3980</v>
      </c>
      <c r="V32" s="136">
        <v>1000</v>
      </c>
      <c r="W32" s="136" t="s">
        <v>427</v>
      </c>
      <c r="X32" s="164" t="s">
        <v>73</v>
      </c>
      <c r="Y32" s="164"/>
      <c r="Z32" s="164"/>
      <c r="AA32" s="164" t="s">
        <v>120</v>
      </c>
      <c r="AB32" s="164" t="s">
        <v>99</v>
      </c>
      <c r="AC32" s="90"/>
      <c r="AD32" s="91"/>
      <c r="AE32" s="91"/>
      <c r="AF32" s="91"/>
      <c r="AG32" s="91"/>
      <c r="AH32" s="90"/>
      <c r="AI32" s="90"/>
      <c r="AJ32" s="90"/>
      <c r="AK32" s="90"/>
      <c r="AL32" s="91"/>
      <c r="AM32" s="90"/>
      <c r="AN32" s="100"/>
      <c r="AO32" s="89"/>
      <c r="AP32" s="114"/>
      <c r="AQ32" s="91"/>
      <c r="AR32" s="114"/>
      <c r="AS32" s="91"/>
      <c r="AT32" s="114"/>
      <c r="AU32" s="100"/>
      <c r="AW32" s="91"/>
      <c r="AX32" s="89"/>
      <c r="AY32" s="142"/>
      <c r="AZ32" s="142"/>
      <c r="BA32" s="90"/>
      <c r="BB32" s="102"/>
      <c r="BC32" s="90"/>
      <c r="BD32" s="90"/>
      <c r="BE32" s="90"/>
      <c r="BF32" s="102"/>
      <c r="BG32" s="90"/>
      <c r="BH32" s="90"/>
      <c r="BI32" s="90"/>
      <c r="BJ32" s="128"/>
      <c r="BK32" s="90"/>
      <c r="BL32" s="129"/>
      <c r="BM32" s="129"/>
      <c r="BN32" s="90"/>
      <c r="BO32" s="90"/>
      <c r="BP32" s="90"/>
      <c r="BQ32" s="90"/>
      <c r="BR32" s="90"/>
      <c r="BS32" s="90"/>
      <c r="BT32" s="90"/>
      <c r="BU32" s="90"/>
      <c r="BV32" s="90"/>
      <c r="BW32" s="90"/>
      <c r="BX32" s="90"/>
      <c r="BY32" s="90"/>
      <c r="BZ32" s="90"/>
      <c r="CA32" s="90"/>
      <c r="CB32" s="90"/>
      <c r="CC32" s="90"/>
      <c r="CD32" s="90"/>
      <c r="CE32" s="90"/>
      <c r="CF32" s="90"/>
      <c r="CG32" s="90"/>
      <c r="CH32" s="90"/>
      <c r="CI32" s="90"/>
      <c r="CJ32" s="90"/>
      <c r="CK32" s="90"/>
      <c r="CL32" s="90"/>
      <c r="CM32" s="90"/>
      <c r="CN32" s="90"/>
      <c r="CO32" s="90"/>
      <c r="CP32" s="90"/>
      <c r="CQ32" s="90"/>
      <c r="CR32" s="90"/>
      <c r="CS32" s="90"/>
      <c r="CT32" s="90"/>
      <c r="CU32" s="90"/>
      <c r="CV32" s="90"/>
      <c r="CW32" s="90"/>
      <c r="CX32" s="90"/>
      <c r="CY32" s="90"/>
      <c r="CZ32" s="90"/>
      <c r="DA32" s="90"/>
      <c r="DB32" s="90"/>
      <c r="DC32" s="90"/>
      <c r="DD32" s="90"/>
      <c r="DE32" s="90"/>
      <c r="DF32" s="90"/>
      <c r="DG32" s="90"/>
      <c r="DH32" s="90"/>
      <c r="DI32" s="90"/>
      <c r="DJ32" s="90"/>
      <c r="DK32" s="90"/>
      <c r="DL32" s="90"/>
      <c r="DM32" s="90"/>
      <c r="DN32" s="90"/>
      <c r="DO32" s="90"/>
      <c r="DP32" s="90"/>
      <c r="DQ32" s="90"/>
      <c r="DR32" s="90"/>
      <c r="DS32" s="90"/>
      <c r="DT32" s="90"/>
      <c r="DU32" s="90"/>
      <c r="DV32" s="90"/>
      <c r="DW32" s="90"/>
      <c r="DX32" s="90"/>
      <c r="DY32" s="90"/>
      <c r="DZ32" s="90"/>
      <c r="EA32" s="90"/>
      <c r="EB32" s="90"/>
      <c r="EC32" s="90"/>
      <c r="ED32" s="90"/>
      <c r="EE32" s="90"/>
      <c r="EF32" s="90"/>
      <c r="EG32" s="90"/>
      <c r="EH32" s="90"/>
      <c r="EI32" s="90"/>
      <c r="EJ32" s="90"/>
      <c r="EK32" s="90"/>
      <c r="EL32" s="90"/>
      <c r="EM32" s="90"/>
      <c r="EN32" s="90"/>
      <c r="EO32" s="90"/>
      <c r="EP32" s="90"/>
      <c r="EQ32" s="90"/>
      <c r="ER32" s="90"/>
      <c r="ES32" s="90"/>
      <c r="ET32" s="90"/>
      <c r="EU32" s="90"/>
      <c r="EV32" s="90"/>
      <c r="EW32" s="90"/>
      <c r="EX32" s="90"/>
      <c r="EY32" s="90"/>
      <c r="EZ32" s="90"/>
      <c r="FA32" s="90"/>
      <c r="FB32" s="90"/>
      <c r="FC32" s="90"/>
      <c r="FD32" s="90"/>
      <c r="FE32" s="90"/>
      <c r="FF32" s="90"/>
      <c r="FG32" s="90"/>
      <c r="FH32" s="90"/>
      <c r="FI32" s="90"/>
      <c r="FJ32" s="90"/>
      <c r="FK32" s="90"/>
      <c r="FL32" s="90"/>
      <c r="FM32" s="90"/>
      <c r="FN32" s="90"/>
      <c r="FO32" s="90"/>
      <c r="FP32" s="90"/>
      <c r="FQ32" s="90"/>
      <c r="FR32" s="90"/>
    </row>
    <row r="33" spans="1:257" ht="82.5" hidden="1">
      <c r="A33" s="136" t="s">
        <v>213</v>
      </c>
      <c r="B33" s="136" t="s">
        <v>120</v>
      </c>
      <c r="C33" s="61" t="s">
        <v>428</v>
      </c>
      <c r="D33" s="159" t="s">
        <v>429</v>
      </c>
      <c r="E33" s="152" t="s">
        <v>430</v>
      </c>
      <c r="F33" s="152">
        <v>13564339618</v>
      </c>
      <c r="G33" s="158">
        <v>43834.5625</v>
      </c>
      <c r="H33" s="152" t="s">
        <v>215</v>
      </c>
      <c r="I33" s="152" t="s">
        <v>118</v>
      </c>
      <c r="J33" s="152" t="s">
        <v>431</v>
      </c>
      <c r="K33" s="152" t="s">
        <v>227</v>
      </c>
      <c r="L33" s="152" t="s">
        <v>253</v>
      </c>
      <c r="M33" s="152" t="s">
        <v>432</v>
      </c>
      <c r="N33" s="152" t="s">
        <v>145</v>
      </c>
      <c r="O33" s="152" t="s">
        <v>433</v>
      </c>
      <c r="P33" s="152" t="s">
        <v>220</v>
      </c>
      <c r="Q33" s="152" t="s">
        <v>221</v>
      </c>
      <c r="R33" s="148">
        <v>43819</v>
      </c>
      <c r="S33" s="149">
        <v>500</v>
      </c>
      <c r="T33" s="136" t="s">
        <v>73</v>
      </c>
      <c r="U33" s="170">
        <v>2880</v>
      </c>
      <c r="V33" s="136">
        <v>2380</v>
      </c>
      <c r="W33" s="136" t="s">
        <v>434</v>
      </c>
      <c r="X33" s="164" t="s">
        <v>73</v>
      </c>
      <c r="Y33" s="164"/>
      <c r="Z33" s="164"/>
      <c r="AA33" s="164" t="s">
        <v>120</v>
      </c>
      <c r="AB33" s="164" t="s">
        <v>100</v>
      </c>
      <c r="AC33" s="90"/>
      <c r="AD33" s="91"/>
      <c r="AE33" s="91"/>
      <c r="AF33" s="91"/>
      <c r="AG33" s="91"/>
      <c r="AH33" s="90"/>
      <c r="AI33" s="90"/>
      <c r="AJ33" s="90"/>
      <c r="AK33" s="90"/>
      <c r="AL33" s="90"/>
      <c r="AM33" s="91"/>
      <c r="AN33" s="100"/>
      <c r="AO33" s="89"/>
      <c r="AP33" s="90"/>
      <c r="AQ33" s="91"/>
      <c r="AR33" s="91"/>
      <c r="AS33" s="91"/>
      <c r="AT33" s="90"/>
      <c r="AU33" s="100"/>
      <c r="AW33" s="91"/>
      <c r="AX33" s="89"/>
      <c r="AY33" s="142"/>
      <c r="AZ33" s="142"/>
      <c r="BA33" s="90"/>
      <c r="BB33" s="102"/>
      <c r="BC33" s="90"/>
      <c r="BD33" s="90"/>
      <c r="BE33" s="90"/>
      <c r="BF33" s="102"/>
      <c r="BG33" s="90"/>
      <c r="BH33" s="90"/>
      <c r="BI33" s="90"/>
      <c r="BJ33" s="102"/>
      <c r="BK33" s="90"/>
      <c r="BL33" s="91"/>
      <c r="BM33" s="91"/>
      <c r="BN33" s="90"/>
      <c r="BO33" s="90"/>
      <c r="BP33" s="90"/>
      <c r="BQ33" s="90"/>
      <c r="BR33" s="90"/>
      <c r="BS33" s="90"/>
      <c r="BT33" s="90"/>
      <c r="BU33" s="90"/>
      <c r="BV33" s="90"/>
      <c r="BW33" s="90"/>
      <c r="BX33" s="90"/>
      <c r="BY33" s="90"/>
      <c r="BZ33" s="90"/>
      <c r="CA33" s="90"/>
      <c r="CB33" s="90"/>
      <c r="CC33" s="90"/>
      <c r="CD33" s="90"/>
      <c r="CE33" s="90"/>
      <c r="CF33" s="90"/>
      <c r="CG33" s="90"/>
      <c r="CH33" s="90"/>
      <c r="CI33" s="90"/>
      <c r="CJ33" s="90"/>
      <c r="CK33" s="90"/>
      <c r="CL33" s="90"/>
      <c r="CM33" s="90"/>
      <c r="CN33" s="90"/>
      <c r="CO33" s="90"/>
      <c r="CP33" s="90"/>
      <c r="CQ33" s="90"/>
      <c r="CR33" s="90"/>
      <c r="CS33" s="90"/>
      <c r="CT33" s="90"/>
      <c r="CU33" s="90"/>
      <c r="CV33" s="90"/>
      <c r="CW33" s="90"/>
      <c r="CX33" s="90"/>
      <c r="CY33" s="90"/>
      <c r="CZ33" s="90"/>
      <c r="DA33" s="90"/>
      <c r="DB33" s="90"/>
      <c r="DC33" s="90"/>
      <c r="DD33" s="90"/>
      <c r="DE33" s="90"/>
      <c r="DF33" s="90"/>
      <c r="DG33" s="90"/>
      <c r="DH33" s="90"/>
      <c r="DI33" s="90"/>
      <c r="DJ33" s="90"/>
      <c r="DK33" s="90"/>
      <c r="DL33" s="90"/>
      <c r="DM33" s="90"/>
      <c r="DN33" s="90"/>
      <c r="DO33" s="90"/>
      <c r="DP33" s="90"/>
      <c r="DQ33" s="90"/>
      <c r="DR33" s="90"/>
      <c r="DS33" s="90"/>
      <c r="DT33" s="90"/>
      <c r="DU33" s="90"/>
      <c r="DV33" s="90"/>
      <c r="DW33" s="90"/>
      <c r="DX33" s="90"/>
      <c r="DY33" s="90"/>
      <c r="DZ33" s="90"/>
      <c r="EA33" s="90"/>
      <c r="EB33" s="90"/>
      <c r="EC33" s="90"/>
      <c r="ED33" s="90"/>
      <c r="EE33" s="90"/>
      <c r="EF33" s="90"/>
      <c r="EG33" s="90"/>
      <c r="EH33" s="90"/>
      <c r="EI33" s="90"/>
      <c r="EJ33" s="90"/>
      <c r="EK33" s="90"/>
      <c r="EL33" s="90"/>
      <c r="EM33" s="90"/>
      <c r="EN33" s="90"/>
      <c r="EO33" s="90"/>
      <c r="EP33" s="90"/>
      <c r="EQ33" s="90"/>
      <c r="ER33" s="90"/>
      <c r="ES33" s="90"/>
      <c r="ET33" s="90"/>
      <c r="EU33" s="90"/>
      <c r="EV33" s="90"/>
      <c r="EW33" s="90"/>
      <c r="EX33" s="90"/>
      <c r="EY33" s="90"/>
      <c r="EZ33" s="90"/>
      <c r="FA33" s="90"/>
      <c r="FB33" s="90"/>
      <c r="FC33" s="90"/>
      <c r="FD33" s="90"/>
      <c r="FE33" s="90"/>
      <c r="FF33" s="90"/>
      <c r="FG33" s="90"/>
      <c r="FH33" s="90"/>
      <c r="FI33" s="90"/>
      <c r="FJ33" s="90"/>
      <c r="FK33" s="90"/>
      <c r="FL33" s="90"/>
      <c r="FM33" s="90"/>
      <c r="FN33" s="90"/>
      <c r="FO33" s="90"/>
      <c r="FP33" s="90"/>
      <c r="FQ33" s="90"/>
      <c r="FR33" s="90"/>
      <c r="FS33" s="91"/>
      <c r="FT33" s="91"/>
      <c r="FU33" s="91"/>
      <c r="FV33" s="91"/>
      <c r="FW33" s="91"/>
      <c r="FX33" s="91"/>
      <c r="FY33" s="91"/>
      <c r="FZ33" s="91"/>
      <c r="GA33" s="91"/>
      <c r="GB33" s="91"/>
      <c r="GC33" s="91"/>
      <c r="GD33" s="91"/>
      <c r="GE33" s="91"/>
      <c r="GF33" s="91"/>
      <c r="GG33" s="91"/>
      <c r="GH33" s="91"/>
      <c r="GI33" s="91"/>
      <c r="GJ33" s="91"/>
      <c r="GK33" s="91"/>
      <c r="GL33" s="91"/>
      <c r="GM33" s="91"/>
      <c r="GN33" s="91"/>
      <c r="GO33" s="91"/>
      <c r="GP33" s="91"/>
      <c r="GQ33" s="91"/>
      <c r="GR33" s="91"/>
      <c r="GS33" s="91"/>
      <c r="GT33" s="91"/>
      <c r="GU33" s="91"/>
      <c r="GV33" s="91"/>
      <c r="GW33" s="91"/>
      <c r="GX33" s="91"/>
      <c r="GY33" s="91"/>
      <c r="GZ33" s="91"/>
      <c r="HA33" s="91"/>
      <c r="HB33" s="91"/>
      <c r="HC33" s="91"/>
      <c r="HD33" s="91"/>
      <c r="HE33" s="91"/>
      <c r="HF33" s="91"/>
      <c r="HG33" s="91"/>
      <c r="HH33" s="91"/>
      <c r="HI33" s="91"/>
      <c r="HJ33" s="91"/>
      <c r="HK33" s="91"/>
      <c r="HL33" s="91"/>
      <c r="HM33" s="91"/>
      <c r="HN33" s="91"/>
      <c r="HO33" s="91"/>
      <c r="HP33" s="91"/>
      <c r="HQ33" s="91"/>
      <c r="HR33" s="91"/>
      <c r="HS33" s="91"/>
      <c r="HT33" s="91"/>
      <c r="HU33" s="91"/>
      <c r="HV33" s="91"/>
      <c r="HW33" s="91"/>
      <c r="HX33" s="91"/>
      <c r="HY33" s="91"/>
      <c r="HZ33" s="91"/>
      <c r="IA33" s="91"/>
      <c r="IB33" s="91"/>
      <c r="IC33" s="91"/>
      <c r="ID33" s="91"/>
      <c r="IE33" s="91"/>
      <c r="IF33" s="91"/>
      <c r="IG33" s="91"/>
      <c r="IH33" s="91"/>
      <c r="II33" s="91"/>
      <c r="IJ33" s="91"/>
      <c r="IK33" s="91"/>
      <c r="IL33" s="91"/>
      <c r="IM33" s="91"/>
      <c r="IN33" s="91"/>
      <c r="IO33" s="91"/>
      <c r="IP33" s="91"/>
      <c r="IQ33" s="91"/>
      <c r="IR33" s="91"/>
      <c r="IS33" s="91"/>
      <c r="IT33" s="91"/>
      <c r="IU33" s="91"/>
      <c r="IV33" s="91"/>
      <c r="IW33" s="91"/>
    </row>
    <row r="34" spans="1:257" ht="49.5" hidden="1">
      <c r="A34" s="136" t="s">
        <v>213</v>
      </c>
      <c r="B34" s="136" t="s">
        <v>120</v>
      </c>
      <c r="C34" s="61" t="s">
        <v>248</v>
      </c>
      <c r="D34" s="151" t="s">
        <v>249</v>
      </c>
      <c r="E34" s="152" t="s">
        <v>250</v>
      </c>
      <c r="F34" s="152">
        <v>15618012875</v>
      </c>
      <c r="G34" s="158">
        <v>43821.5625</v>
      </c>
      <c r="H34" s="152" t="s">
        <v>215</v>
      </c>
      <c r="I34" s="152" t="s">
        <v>122</v>
      </c>
      <c r="J34" s="152" t="s">
        <v>251</v>
      </c>
      <c r="K34" s="152" t="s">
        <v>252</v>
      </c>
      <c r="L34" s="152" t="s">
        <v>253</v>
      </c>
      <c r="M34" s="152" t="s">
        <v>254</v>
      </c>
      <c r="N34" s="152" t="s">
        <v>145</v>
      </c>
      <c r="O34" s="152" t="s">
        <v>255</v>
      </c>
      <c r="P34" s="152" t="s">
        <v>220</v>
      </c>
      <c r="Q34" s="152" t="s">
        <v>221</v>
      </c>
      <c r="R34" s="165">
        <v>43821</v>
      </c>
      <c r="S34" s="149">
        <v>2980</v>
      </c>
      <c r="T34" s="136" t="s">
        <v>242</v>
      </c>
      <c r="U34" s="136">
        <v>2980</v>
      </c>
      <c r="V34" s="136">
        <v>0</v>
      </c>
      <c r="W34" s="136" t="s">
        <v>256</v>
      </c>
      <c r="X34" s="164" t="s">
        <v>242</v>
      </c>
      <c r="Y34" s="164"/>
      <c r="Z34" s="164"/>
      <c r="AA34" s="164" t="s">
        <v>120</v>
      </c>
      <c r="AB34" s="164" t="s">
        <v>99</v>
      </c>
      <c r="AC34" s="144"/>
      <c r="AD34" s="143"/>
      <c r="AE34" s="143"/>
      <c r="AF34" s="143"/>
      <c r="AG34" s="143"/>
      <c r="AH34" s="143"/>
      <c r="AI34" s="143"/>
      <c r="AJ34" s="143"/>
      <c r="AK34" s="143"/>
      <c r="AL34" s="143"/>
      <c r="AM34" s="143"/>
      <c r="AN34" s="110">
        <v>43821</v>
      </c>
      <c r="AO34" s="114" t="s">
        <v>97</v>
      </c>
      <c r="AP34" s="91"/>
      <c r="AQ34" s="77" t="s">
        <v>178</v>
      </c>
      <c r="AR34" s="89"/>
      <c r="AS34" s="114" t="s">
        <v>80</v>
      </c>
      <c r="AT34" s="89"/>
      <c r="AU34" s="76" t="s">
        <v>73</v>
      </c>
      <c r="AV34" s="78" t="s">
        <v>73</v>
      </c>
      <c r="AW34" s="77" t="s">
        <v>73</v>
      </c>
      <c r="AX34" s="115">
        <v>2980</v>
      </c>
      <c r="AY34" s="91"/>
      <c r="AZ34" s="91"/>
      <c r="BA34" s="143"/>
      <c r="BB34" s="147"/>
      <c r="BC34" s="143"/>
      <c r="BD34" s="143"/>
      <c r="BE34" s="143"/>
      <c r="BF34" s="147"/>
      <c r="BG34" s="143"/>
      <c r="BH34" s="143"/>
      <c r="BI34" s="143"/>
      <c r="BJ34" s="147"/>
      <c r="BK34" s="143"/>
      <c r="BL34" s="143"/>
      <c r="BM34" s="143"/>
      <c r="BN34" s="145"/>
      <c r="BO34" s="143"/>
      <c r="BP34" s="143"/>
      <c r="BQ34" s="143"/>
      <c r="BR34" s="143"/>
      <c r="BS34" s="143"/>
      <c r="BT34" s="143"/>
      <c r="BU34" s="143"/>
      <c r="BV34" s="143"/>
      <c r="BW34" s="143"/>
      <c r="BX34" s="143"/>
      <c r="BY34" s="143"/>
      <c r="BZ34" s="143"/>
      <c r="CA34" s="143"/>
      <c r="CB34" s="143"/>
      <c r="CC34" s="143"/>
      <c r="CD34" s="143"/>
      <c r="CE34" s="143"/>
      <c r="CF34" s="143"/>
      <c r="CG34" s="143"/>
      <c r="CH34" s="143"/>
      <c r="CI34" s="143"/>
      <c r="CJ34" s="143"/>
      <c r="CK34" s="143"/>
      <c r="CL34" s="143"/>
      <c r="CM34" s="143"/>
      <c r="CN34" s="143"/>
      <c r="CO34" s="143"/>
      <c r="CP34" s="143"/>
      <c r="CQ34" s="143"/>
      <c r="CR34" s="143"/>
      <c r="CS34" s="143"/>
      <c r="CT34" s="143"/>
      <c r="CU34" s="143"/>
      <c r="CV34" s="143"/>
      <c r="CW34" s="143"/>
      <c r="CX34" s="143"/>
      <c r="CY34" s="143"/>
      <c r="CZ34" s="143"/>
      <c r="DA34" s="143"/>
      <c r="DB34" s="143"/>
      <c r="DC34" s="143"/>
      <c r="DD34" s="143"/>
      <c r="DE34" s="143"/>
      <c r="DF34" s="143"/>
      <c r="DG34" s="143"/>
      <c r="DH34" s="143"/>
      <c r="DI34" s="143"/>
      <c r="DJ34" s="143"/>
      <c r="DK34" s="143"/>
      <c r="DL34" s="143"/>
      <c r="DM34" s="143"/>
      <c r="DN34" s="143"/>
      <c r="DO34" s="143"/>
      <c r="DP34" s="143"/>
      <c r="DQ34" s="143"/>
      <c r="DR34" s="143"/>
      <c r="DS34" s="143"/>
      <c r="DT34" s="143"/>
      <c r="DU34" s="143"/>
      <c r="DV34" s="143"/>
      <c r="DW34" s="143"/>
      <c r="DX34" s="143"/>
      <c r="DY34" s="143"/>
      <c r="DZ34" s="143"/>
      <c r="EA34" s="143"/>
      <c r="EB34" s="143"/>
      <c r="EC34" s="143"/>
      <c r="ED34" s="143"/>
      <c r="EE34" s="143"/>
      <c r="EF34" s="143"/>
      <c r="EG34" s="143"/>
      <c r="EH34" s="143"/>
      <c r="EI34" s="143"/>
      <c r="EJ34" s="143"/>
      <c r="EK34" s="143"/>
      <c r="EL34" s="143"/>
      <c r="EM34" s="143"/>
      <c r="EN34" s="143"/>
      <c r="EO34" s="143"/>
      <c r="EP34" s="143"/>
      <c r="EQ34" s="143"/>
      <c r="ER34" s="143"/>
      <c r="ES34" s="143"/>
      <c r="ET34" s="143"/>
      <c r="EU34" s="143"/>
      <c r="EV34" s="143"/>
      <c r="EW34" s="143"/>
      <c r="EX34" s="143"/>
      <c r="EY34" s="143"/>
      <c r="EZ34" s="143"/>
      <c r="FA34" s="143"/>
      <c r="FB34" s="143"/>
      <c r="FC34" s="143"/>
      <c r="FD34" s="143"/>
      <c r="FE34" s="143"/>
      <c r="FF34" s="143"/>
      <c r="FG34" s="143"/>
      <c r="FH34" s="143"/>
      <c r="FI34" s="143"/>
      <c r="FJ34" s="143"/>
      <c r="FK34" s="143"/>
      <c r="FL34" s="143"/>
      <c r="FM34" s="143"/>
      <c r="FN34" s="143"/>
      <c r="FO34" s="143"/>
      <c r="FP34" s="143"/>
      <c r="FQ34" s="143"/>
      <c r="FR34" s="143"/>
    </row>
    <row r="35" spans="1:257" ht="66" hidden="1">
      <c r="A35" s="136"/>
      <c r="B35" s="136" t="s">
        <v>120</v>
      </c>
      <c r="C35" s="61" t="s">
        <v>435</v>
      </c>
      <c r="D35" s="151" t="s">
        <v>74</v>
      </c>
      <c r="E35" s="152" t="s">
        <v>73</v>
      </c>
      <c r="F35" s="152">
        <v>18018667505</v>
      </c>
      <c r="G35" s="158" t="s">
        <v>436</v>
      </c>
      <c r="H35" s="152" t="s">
        <v>215</v>
      </c>
      <c r="I35" s="152" t="s">
        <v>151</v>
      </c>
      <c r="J35" s="152" t="s">
        <v>437</v>
      </c>
      <c r="K35" s="152" t="s">
        <v>151</v>
      </c>
      <c r="L35" s="152" t="s">
        <v>151</v>
      </c>
      <c r="M35" s="152" t="s">
        <v>151</v>
      </c>
      <c r="N35" s="152" t="s">
        <v>151</v>
      </c>
      <c r="O35" s="152" t="s">
        <v>151</v>
      </c>
      <c r="P35" s="152" t="s">
        <v>220</v>
      </c>
      <c r="Q35" s="152" t="s">
        <v>221</v>
      </c>
      <c r="R35" s="148">
        <v>43821</v>
      </c>
      <c r="S35" s="149">
        <v>500</v>
      </c>
      <c r="T35" s="136" t="s">
        <v>73</v>
      </c>
      <c r="U35" s="170" t="s">
        <v>151</v>
      </c>
      <c r="V35" s="136" t="s">
        <v>73</v>
      </c>
      <c r="W35" s="136" t="s">
        <v>438</v>
      </c>
      <c r="X35" s="164" t="s">
        <v>76</v>
      </c>
      <c r="Y35" s="164"/>
      <c r="Z35" s="164"/>
      <c r="AA35" s="164" t="s">
        <v>120</v>
      </c>
      <c r="AB35" s="164"/>
      <c r="AC35" s="90"/>
      <c r="AD35" s="89"/>
      <c r="AE35" s="89"/>
      <c r="AF35" s="90"/>
      <c r="AG35" s="90"/>
      <c r="AH35" s="90"/>
      <c r="AI35" s="90"/>
      <c r="AJ35" s="90"/>
      <c r="AK35" s="90"/>
      <c r="AL35" s="90"/>
      <c r="AM35" s="90"/>
      <c r="AN35" s="110"/>
      <c r="AO35" s="114"/>
      <c r="AP35" s="91"/>
      <c r="AR35" s="91"/>
      <c r="AS35" s="114"/>
      <c r="AT35" s="90"/>
      <c r="AX35" s="115"/>
      <c r="AY35" s="66"/>
      <c r="AZ35" s="66"/>
      <c r="BA35" s="90"/>
      <c r="BB35" s="102"/>
      <c r="BC35" s="90"/>
      <c r="BD35" s="90"/>
      <c r="BE35" s="90"/>
      <c r="BF35" s="102"/>
      <c r="BG35" s="90"/>
      <c r="BH35" s="89"/>
      <c r="BI35" s="89"/>
      <c r="BJ35" s="102"/>
      <c r="BK35" s="90"/>
      <c r="BL35" s="90"/>
      <c r="BM35" s="90"/>
      <c r="BN35" s="90"/>
      <c r="BO35" s="90"/>
      <c r="BP35" s="90"/>
      <c r="BQ35" s="90"/>
      <c r="BR35" s="90"/>
      <c r="BS35" s="90"/>
      <c r="BT35" s="90"/>
      <c r="BU35" s="90"/>
      <c r="BV35" s="90"/>
      <c r="BW35" s="90"/>
      <c r="BX35" s="90"/>
      <c r="BY35" s="90"/>
      <c r="BZ35" s="90"/>
      <c r="CA35" s="90"/>
      <c r="CB35" s="90"/>
      <c r="CC35" s="90"/>
      <c r="CD35" s="90"/>
      <c r="CE35" s="90"/>
      <c r="CF35" s="90"/>
      <c r="CG35" s="90"/>
      <c r="CH35" s="90"/>
      <c r="CI35" s="90"/>
      <c r="CJ35" s="90"/>
      <c r="CK35" s="90"/>
      <c r="CL35" s="90"/>
      <c r="CM35" s="90"/>
      <c r="CN35" s="90"/>
      <c r="CO35" s="90"/>
      <c r="CP35" s="90"/>
      <c r="CQ35" s="90"/>
      <c r="CR35" s="90"/>
      <c r="CS35" s="90"/>
      <c r="CT35" s="90"/>
      <c r="CU35" s="90"/>
      <c r="CV35" s="90"/>
      <c r="CW35" s="90"/>
      <c r="CX35" s="90"/>
      <c r="CY35" s="90"/>
      <c r="CZ35" s="90"/>
      <c r="DA35" s="90"/>
      <c r="DB35" s="90"/>
      <c r="DC35" s="90"/>
      <c r="DD35" s="90"/>
      <c r="DE35" s="90"/>
      <c r="DF35" s="90"/>
      <c r="DG35" s="90"/>
      <c r="DH35" s="90"/>
      <c r="DI35" s="90"/>
      <c r="DJ35" s="90"/>
      <c r="DK35" s="90"/>
      <c r="DL35" s="90"/>
      <c r="DM35" s="90"/>
      <c r="DN35" s="90"/>
      <c r="DO35" s="90"/>
      <c r="DP35" s="90"/>
      <c r="DQ35" s="90"/>
      <c r="DR35" s="90"/>
      <c r="DS35" s="90"/>
      <c r="DT35" s="90"/>
      <c r="DU35" s="90"/>
      <c r="DV35" s="90"/>
      <c r="DW35" s="90"/>
      <c r="DX35" s="90"/>
      <c r="DY35" s="90"/>
      <c r="DZ35" s="90"/>
      <c r="EA35" s="90"/>
      <c r="EB35" s="90"/>
      <c r="EC35" s="90"/>
      <c r="ED35" s="90"/>
      <c r="EE35" s="90"/>
      <c r="EF35" s="90"/>
      <c r="EG35" s="90"/>
      <c r="EH35" s="90"/>
      <c r="EI35" s="90"/>
      <c r="EJ35" s="90"/>
      <c r="EK35" s="90"/>
      <c r="EL35" s="90"/>
      <c r="EM35" s="90"/>
      <c r="EN35" s="90"/>
      <c r="EO35" s="90"/>
      <c r="EP35" s="90"/>
      <c r="EQ35" s="90"/>
      <c r="ER35" s="90"/>
      <c r="ES35" s="90"/>
      <c r="ET35" s="90"/>
      <c r="EU35" s="90"/>
      <c r="EV35" s="90"/>
      <c r="EW35" s="90"/>
      <c r="EX35" s="90"/>
      <c r="EY35" s="90"/>
      <c r="EZ35" s="90"/>
      <c r="FA35" s="90"/>
      <c r="FB35" s="90"/>
      <c r="FC35" s="90"/>
      <c r="FD35" s="90"/>
      <c r="FE35" s="90"/>
      <c r="FF35" s="90"/>
      <c r="FG35" s="90"/>
      <c r="FH35" s="90"/>
      <c r="FI35" s="90"/>
      <c r="FJ35" s="90"/>
      <c r="FK35" s="90"/>
      <c r="FL35" s="90"/>
      <c r="FM35" s="90"/>
      <c r="FN35" s="90"/>
      <c r="FO35" s="90"/>
      <c r="FP35" s="90"/>
      <c r="FQ35" s="90"/>
      <c r="FR35" s="90"/>
    </row>
    <row r="36" spans="1:257" ht="33" hidden="1">
      <c r="A36" s="136" t="s">
        <v>213</v>
      </c>
      <c r="B36" s="136" t="s">
        <v>120</v>
      </c>
      <c r="C36" s="61" t="s">
        <v>439</v>
      </c>
      <c r="D36" s="151" t="s">
        <v>71</v>
      </c>
      <c r="E36" s="152" t="s">
        <v>73</v>
      </c>
      <c r="F36" s="152">
        <v>15221391157</v>
      </c>
      <c r="G36" s="158">
        <v>43834.395833333299</v>
      </c>
      <c r="H36" s="152" t="s">
        <v>215</v>
      </c>
      <c r="I36" s="152" t="s">
        <v>196</v>
      </c>
      <c r="J36" s="152" t="s">
        <v>440</v>
      </c>
      <c r="K36" s="152" t="s">
        <v>246</v>
      </c>
      <c r="L36" s="152" t="s">
        <v>238</v>
      </c>
      <c r="M36" s="152">
        <v>14</v>
      </c>
      <c r="N36" s="152" t="s">
        <v>145</v>
      </c>
      <c r="O36" s="152" t="s">
        <v>255</v>
      </c>
      <c r="P36" s="152" t="s">
        <v>220</v>
      </c>
      <c r="Q36" s="152" t="s">
        <v>221</v>
      </c>
      <c r="R36" s="148" t="s">
        <v>73</v>
      </c>
      <c r="S36" s="165" t="s">
        <v>73</v>
      </c>
      <c r="T36" s="165" t="s">
        <v>73</v>
      </c>
      <c r="U36" s="170" t="s">
        <v>73</v>
      </c>
      <c r="V36" s="165" t="s">
        <v>73</v>
      </c>
      <c r="W36" s="136" t="s">
        <v>441</v>
      </c>
      <c r="X36" s="164" t="s">
        <v>76</v>
      </c>
      <c r="Y36" s="164"/>
      <c r="Z36" s="164"/>
      <c r="AA36" s="164" t="s">
        <v>120</v>
      </c>
      <c r="AB36" s="164" t="s">
        <v>100</v>
      </c>
      <c r="AC36" s="90"/>
      <c r="AD36" s="101" t="s">
        <v>72</v>
      </c>
      <c r="AE36" s="61" t="s">
        <v>68</v>
      </c>
      <c r="AF36" s="141">
        <v>42746</v>
      </c>
      <c r="AG36" s="90"/>
      <c r="AH36" s="90"/>
      <c r="AI36" s="90"/>
      <c r="AJ36" s="90"/>
      <c r="AK36" s="90"/>
      <c r="AL36" s="91"/>
      <c r="AM36" s="90"/>
      <c r="AN36" s="110"/>
      <c r="AO36" s="114"/>
      <c r="AP36" s="91"/>
      <c r="AR36" s="91"/>
      <c r="AS36" s="114"/>
      <c r="AT36" s="90"/>
      <c r="AX36" s="115"/>
      <c r="AY36" s="66"/>
      <c r="AZ36" s="66"/>
      <c r="BA36" s="90"/>
      <c r="BB36" s="102"/>
      <c r="BC36" s="90"/>
      <c r="BD36" s="90"/>
      <c r="BE36" s="90"/>
      <c r="BF36" s="102"/>
      <c r="BG36" s="90"/>
      <c r="BH36" s="90"/>
      <c r="BI36" s="90"/>
      <c r="BJ36" s="102"/>
      <c r="BK36" s="90"/>
      <c r="BL36" s="90"/>
      <c r="BM36" s="90"/>
      <c r="BN36" s="90"/>
      <c r="BO36" s="90"/>
      <c r="BP36" s="90"/>
      <c r="BQ36" s="90"/>
      <c r="BR36" s="90"/>
      <c r="BS36" s="90"/>
      <c r="BT36" s="90"/>
      <c r="BU36" s="90"/>
      <c r="BV36" s="90"/>
      <c r="BW36" s="90"/>
      <c r="BX36" s="90"/>
      <c r="BY36" s="90"/>
      <c r="BZ36" s="90"/>
      <c r="CA36" s="90"/>
      <c r="CB36" s="90"/>
      <c r="CC36" s="90"/>
      <c r="CD36" s="90"/>
      <c r="CE36" s="90"/>
      <c r="CF36" s="90"/>
      <c r="CG36" s="90"/>
      <c r="CH36" s="90"/>
      <c r="CI36" s="90"/>
      <c r="CJ36" s="90"/>
      <c r="CK36" s="90"/>
      <c r="CL36" s="90"/>
      <c r="CM36" s="90"/>
      <c r="CN36" s="90"/>
      <c r="CO36" s="90"/>
      <c r="CP36" s="90"/>
      <c r="CQ36" s="90"/>
      <c r="CR36" s="90"/>
      <c r="CS36" s="90"/>
      <c r="CT36" s="90"/>
      <c r="CU36" s="90"/>
      <c r="CV36" s="90"/>
      <c r="CW36" s="90"/>
      <c r="CX36" s="90"/>
      <c r="CY36" s="90"/>
      <c r="CZ36" s="90"/>
      <c r="DA36" s="90"/>
      <c r="DB36" s="90"/>
      <c r="DC36" s="90"/>
      <c r="DD36" s="90"/>
      <c r="DE36" s="90"/>
      <c r="DF36" s="90"/>
      <c r="DG36" s="90"/>
      <c r="DH36" s="90"/>
      <c r="DI36" s="90"/>
      <c r="DJ36" s="90"/>
      <c r="DK36" s="90"/>
      <c r="DL36" s="90"/>
      <c r="DM36" s="90"/>
      <c r="DN36" s="90"/>
      <c r="DO36" s="90"/>
      <c r="DP36" s="90"/>
      <c r="DQ36" s="90"/>
      <c r="DR36" s="90"/>
      <c r="DS36" s="90"/>
      <c r="DT36" s="90"/>
      <c r="DU36" s="90"/>
      <c r="DV36" s="90"/>
      <c r="DW36" s="90"/>
      <c r="DX36" s="90"/>
      <c r="DY36" s="90"/>
      <c r="DZ36" s="90"/>
      <c r="EA36" s="90"/>
      <c r="EB36" s="90"/>
      <c r="EC36" s="90"/>
      <c r="ED36" s="90"/>
      <c r="EE36" s="90"/>
      <c r="EF36" s="90"/>
      <c r="EG36" s="90"/>
      <c r="EH36" s="90"/>
      <c r="EI36" s="90"/>
      <c r="EJ36" s="90"/>
      <c r="EK36" s="90"/>
      <c r="EL36" s="90"/>
      <c r="EM36" s="90"/>
      <c r="EN36" s="90"/>
      <c r="EO36" s="90"/>
      <c r="EP36" s="90"/>
      <c r="EQ36" s="90"/>
      <c r="ER36" s="90"/>
      <c r="ES36" s="90"/>
      <c r="ET36" s="90"/>
      <c r="EU36" s="90"/>
      <c r="EV36" s="90"/>
      <c r="EW36" s="90"/>
      <c r="EX36" s="90"/>
      <c r="EY36" s="90"/>
      <c r="EZ36" s="90"/>
      <c r="FA36" s="90"/>
      <c r="FB36" s="90"/>
      <c r="FC36" s="90"/>
      <c r="FD36" s="90"/>
      <c r="FE36" s="90"/>
      <c r="FF36" s="90"/>
      <c r="FG36" s="90"/>
      <c r="FH36" s="90"/>
      <c r="FI36" s="90"/>
      <c r="FJ36" s="90"/>
      <c r="FK36" s="90"/>
      <c r="FL36" s="90"/>
      <c r="FM36" s="90"/>
      <c r="FN36" s="90"/>
      <c r="FO36" s="90"/>
      <c r="FP36" s="90"/>
      <c r="FQ36" s="90"/>
      <c r="FR36" s="90"/>
    </row>
    <row r="37" spans="1:257" ht="49.5" hidden="1">
      <c r="A37" s="136" t="s">
        <v>213</v>
      </c>
      <c r="B37" s="136" t="s">
        <v>120</v>
      </c>
      <c r="C37" s="61" t="s">
        <v>442</v>
      </c>
      <c r="D37" s="151" t="s">
        <v>443</v>
      </c>
      <c r="E37" s="152" t="s">
        <v>443</v>
      </c>
      <c r="F37" s="152">
        <v>15370119812</v>
      </c>
      <c r="G37" s="158">
        <v>43848.416666666701</v>
      </c>
      <c r="H37" s="152" t="s">
        <v>215</v>
      </c>
      <c r="I37" s="152" t="s">
        <v>290</v>
      </c>
      <c r="J37" s="152" t="s">
        <v>444</v>
      </c>
      <c r="K37" s="152" t="s">
        <v>227</v>
      </c>
      <c r="L37" s="152" t="s">
        <v>253</v>
      </c>
      <c r="M37" s="152" t="s">
        <v>292</v>
      </c>
      <c r="N37" s="152" t="s">
        <v>106</v>
      </c>
      <c r="O37" s="152" t="s">
        <v>219</v>
      </c>
      <c r="P37" s="152" t="s">
        <v>220</v>
      </c>
      <c r="Q37" s="152" t="s">
        <v>445</v>
      </c>
      <c r="R37" s="165">
        <v>43821</v>
      </c>
      <c r="S37" s="149">
        <v>500</v>
      </c>
      <c r="T37" s="136" t="s">
        <v>90</v>
      </c>
      <c r="U37" s="170" t="s">
        <v>446</v>
      </c>
      <c r="V37" s="136">
        <v>2020</v>
      </c>
      <c r="W37" s="136" t="s">
        <v>73</v>
      </c>
      <c r="X37" s="164"/>
      <c r="Y37" s="164"/>
      <c r="Z37" s="164"/>
      <c r="AA37" s="164" t="s">
        <v>120</v>
      </c>
      <c r="AB37" s="164" t="s">
        <v>102</v>
      </c>
      <c r="AC37" s="89"/>
      <c r="AD37" s="90"/>
      <c r="AE37" s="90"/>
      <c r="AF37" s="90"/>
      <c r="AG37" s="90"/>
      <c r="AH37" s="90"/>
      <c r="AI37" s="90"/>
      <c r="AJ37" s="90"/>
      <c r="AK37" s="90"/>
      <c r="AL37" s="89"/>
      <c r="AM37" s="90"/>
      <c r="AN37" s="110"/>
      <c r="AO37" s="114"/>
      <c r="AP37" s="91"/>
      <c r="AR37" s="114"/>
      <c r="AS37" s="114"/>
      <c r="AT37" s="91"/>
      <c r="AX37" s="115"/>
      <c r="AY37" s="66"/>
      <c r="AZ37" s="66"/>
      <c r="BA37" s="90"/>
      <c r="BB37" s="102"/>
      <c r="BC37" s="90"/>
      <c r="BD37" s="90"/>
      <c r="BE37" s="90"/>
      <c r="BF37" s="102"/>
      <c r="BG37" s="90"/>
      <c r="BH37" s="90"/>
      <c r="BI37" s="90"/>
      <c r="BJ37" s="102"/>
      <c r="BK37" s="90"/>
      <c r="BL37" s="91"/>
      <c r="BM37" s="91"/>
      <c r="BN37" s="90"/>
      <c r="BO37" s="90"/>
      <c r="BP37" s="90"/>
      <c r="BQ37" s="90"/>
      <c r="BR37" s="90"/>
      <c r="BS37" s="90"/>
      <c r="BT37" s="90"/>
      <c r="BU37" s="90"/>
      <c r="BV37" s="90"/>
      <c r="BW37" s="90"/>
      <c r="BX37" s="90"/>
      <c r="BY37" s="90"/>
      <c r="BZ37" s="90"/>
      <c r="CA37" s="90"/>
      <c r="CB37" s="90"/>
      <c r="CC37" s="90"/>
      <c r="CD37" s="90"/>
      <c r="CE37" s="90"/>
      <c r="CF37" s="90"/>
      <c r="CG37" s="90"/>
      <c r="CH37" s="90"/>
      <c r="CI37" s="90"/>
      <c r="CJ37" s="90"/>
      <c r="CK37" s="90"/>
      <c r="CL37" s="90"/>
      <c r="CM37" s="90"/>
      <c r="CN37" s="90"/>
      <c r="CO37" s="90"/>
      <c r="CP37" s="90"/>
      <c r="CQ37" s="90"/>
      <c r="CR37" s="90"/>
      <c r="CS37" s="90"/>
      <c r="CT37" s="90"/>
      <c r="CU37" s="90"/>
      <c r="CV37" s="90"/>
      <c r="CW37" s="90"/>
      <c r="CX37" s="90"/>
      <c r="CY37" s="90"/>
      <c r="CZ37" s="90"/>
      <c r="DA37" s="90"/>
      <c r="DB37" s="90"/>
      <c r="DC37" s="90"/>
      <c r="DD37" s="90"/>
      <c r="DE37" s="90"/>
      <c r="DF37" s="90"/>
      <c r="DG37" s="90"/>
      <c r="DH37" s="90"/>
      <c r="DI37" s="90"/>
      <c r="DJ37" s="90"/>
      <c r="DK37" s="90"/>
      <c r="DL37" s="90"/>
      <c r="DM37" s="90"/>
      <c r="DN37" s="90"/>
      <c r="DO37" s="90"/>
      <c r="DP37" s="90"/>
      <c r="DQ37" s="90"/>
      <c r="DR37" s="90"/>
      <c r="DS37" s="90"/>
      <c r="DT37" s="90"/>
      <c r="DU37" s="90"/>
      <c r="DV37" s="90"/>
      <c r="DW37" s="90"/>
      <c r="DX37" s="90"/>
      <c r="DY37" s="90"/>
      <c r="DZ37" s="90"/>
      <c r="EA37" s="90"/>
      <c r="EB37" s="90"/>
      <c r="EC37" s="90"/>
      <c r="ED37" s="90"/>
      <c r="EE37" s="90"/>
      <c r="EF37" s="90"/>
      <c r="EG37" s="90"/>
      <c r="EH37" s="90"/>
      <c r="EI37" s="90"/>
      <c r="EJ37" s="90"/>
      <c r="EK37" s="90"/>
      <c r="EL37" s="90"/>
      <c r="EM37" s="90"/>
      <c r="EN37" s="90"/>
      <c r="EO37" s="90"/>
      <c r="EP37" s="90"/>
      <c r="EQ37" s="90"/>
      <c r="ER37" s="90"/>
      <c r="ES37" s="90"/>
      <c r="ET37" s="90"/>
      <c r="EU37" s="90"/>
      <c r="EV37" s="90"/>
      <c r="EW37" s="90"/>
      <c r="EX37" s="90"/>
      <c r="EY37" s="90"/>
      <c r="EZ37" s="90"/>
      <c r="FA37" s="90"/>
      <c r="FB37" s="90"/>
      <c r="FC37" s="90"/>
      <c r="FD37" s="90"/>
      <c r="FE37" s="90"/>
      <c r="FF37" s="90"/>
      <c r="FG37" s="90"/>
      <c r="FH37" s="90"/>
      <c r="FI37" s="90"/>
      <c r="FJ37" s="90"/>
      <c r="FK37" s="90"/>
      <c r="FL37" s="90"/>
      <c r="FM37" s="90"/>
      <c r="FN37" s="90"/>
      <c r="FO37" s="90"/>
      <c r="FP37" s="90"/>
      <c r="FQ37" s="90"/>
      <c r="FR37" s="90"/>
    </row>
    <row r="38" spans="1:257" ht="82.5" hidden="1">
      <c r="A38" s="184"/>
      <c r="B38" s="136" t="s">
        <v>120</v>
      </c>
      <c r="C38" s="61" t="s">
        <v>447</v>
      </c>
      <c r="D38" s="151" t="s">
        <v>207</v>
      </c>
      <c r="E38" s="152" t="s">
        <v>208</v>
      </c>
      <c r="F38" s="152">
        <v>15902145929</v>
      </c>
      <c r="G38" s="153" t="s">
        <v>356</v>
      </c>
      <c r="H38" s="154" t="s">
        <v>215</v>
      </c>
      <c r="I38" s="152" t="s">
        <v>101</v>
      </c>
      <c r="J38" s="152" t="s">
        <v>448</v>
      </c>
      <c r="K38" s="152" t="s">
        <v>227</v>
      </c>
      <c r="L38" s="152" t="s">
        <v>253</v>
      </c>
      <c r="M38" s="152">
        <v>12</v>
      </c>
      <c r="N38" s="152" t="s">
        <v>145</v>
      </c>
      <c r="O38" s="152" t="s">
        <v>255</v>
      </c>
      <c r="P38" s="152" t="s">
        <v>220</v>
      </c>
      <c r="Q38" s="152" t="s">
        <v>221</v>
      </c>
      <c r="R38" s="165">
        <v>43821</v>
      </c>
      <c r="S38" s="149">
        <v>2880</v>
      </c>
      <c r="T38" s="136" t="s">
        <v>194</v>
      </c>
      <c r="U38" s="170">
        <v>2880</v>
      </c>
      <c r="V38" s="136">
        <v>0</v>
      </c>
      <c r="W38" s="136" t="s">
        <v>449</v>
      </c>
      <c r="X38" s="164" t="s">
        <v>76</v>
      </c>
      <c r="Y38" s="169" t="s">
        <v>131</v>
      </c>
      <c r="Z38" s="169"/>
      <c r="AA38" s="164" t="s">
        <v>120</v>
      </c>
      <c r="AB38" s="164" t="s">
        <v>100</v>
      </c>
      <c r="AC38" s="90"/>
      <c r="AD38" s="90"/>
      <c r="AE38" s="90"/>
      <c r="AF38" s="90"/>
      <c r="AG38" s="91"/>
      <c r="AH38" s="90"/>
      <c r="AI38" s="90"/>
      <c r="AJ38" s="90"/>
      <c r="AK38" s="90"/>
      <c r="AL38" s="90"/>
      <c r="AM38" s="90"/>
      <c r="AN38" s="110"/>
      <c r="AO38" s="114"/>
      <c r="AP38" s="91"/>
      <c r="AR38" s="91"/>
      <c r="AS38" s="114"/>
      <c r="AT38" s="91"/>
      <c r="AX38" s="115"/>
      <c r="AY38" s="66"/>
      <c r="AZ38" s="66"/>
      <c r="BA38" s="90"/>
      <c r="BB38" s="102"/>
      <c r="BC38" s="90"/>
      <c r="BD38" s="90"/>
      <c r="BE38" s="90"/>
      <c r="BF38" s="102"/>
      <c r="BG38" s="90"/>
      <c r="BH38" s="90"/>
      <c r="BI38" s="90"/>
      <c r="BJ38" s="102"/>
      <c r="BK38" s="90"/>
      <c r="BL38" s="91"/>
      <c r="BM38" s="91"/>
      <c r="BN38" s="90"/>
      <c r="BO38" s="90"/>
      <c r="BP38" s="90"/>
      <c r="BQ38" s="90"/>
      <c r="BR38" s="90"/>
      <c r="BS38" s="90"/>
      <c r="BT38" s="90"/>
      <c r="BU38" s="90"/>
      <c r="BV38" s="90"/>
      <c r="BW38" s="90"/>
      <c r="BX38" s="90"/>
      <c r="BY38" s="90"/>
      <c r="BZ38" s="90"/>
      <c r="CA38" s="90"/>
      <c r="CB38" s="90"/>
      <c r="CC38" s="90"/>
      <c r="CD38" s="90"/>
      <c r="CE38" s="90"/>
      <c r="CF38" s="90"/>
      <c r="CG38" s="90"/>
      <c r="CH38" s="90"/>
      <c r="CI38" s="90"/>
      <c r="CJ38" s="90"/>
      <c r="CK38" s="90"/>
      <c r="CL38" s="90"/>
      <c r="CM38" s="90"/>
      <c r="CN38" s="90"/>
      <c r="CO38" s="90"/>
      <c r="CP38" s="90"/>
      <c r="CQ38" s="90"/>
      <c r="CR38" s="90"/>
      <c r="CS38" s="90"/>
      <c r="CT38" s="90"/>
      <c r="CU38" s="90"/>
      <c r="CV38" s="90"/>
      <c r="CW38" s="90"/>
      <c r="CX38" s="90"/>
      <c r="CY38" s="90"/>
      <c r="CZ38" s="90"/>
      <c r="DA38" s="90"/>
      <c r="DB38" s="90"/>
      <c r="DC38" s="90"/>
      <c r="DD38" s="90"/>
      <c r="DE38" s="90"/>
      <c r="DF38" s="90"/>
      <c r="DG38" s="90"/>
      <c r="DH38" s="90"/>
      <c r="DI38" s="90"/>
      <c r="DJ38" s="90"/>
      <c r="DK38" s="90"/>
      <c r="DL38" s="90"/>
      <c r="DM38" s="90"/>
      <c r="DN38" s="90"/>
      <c r="DO38" s="90"/>
      <c r="DP38" s="90"/>
      <c r="DQ38" s="90"/>
      <c r="DR38" s="90"/>
      <c r="DS38" s="90"/>
      <c r="DT38" s="90"/>
      <c r="DU38" s="90"/>
      <c r="DV38" s="90"/>
      <c r="DW38" s="90"/>
      <c r="DX38" s="90"/>
      <c r="DY38" s="90"/>
      <c r="DZ38" s="90"/>
      <c r="EA38" s="90"/>
      <c r="EB38" s="90"/>
      <c r="EC38" s="90"/>
      <c r="ED38" s="90"/>
      <c r="EE38" s="90"/>
      <c r="EF38" s="90"/>
      <c r="EG38" s="90"/>
      <c r="EH38" s="90"/>
      <c r="EI38" s="90"/>
      <c r="EJ38" s="90"/>
      <c r="EK38" s="90"/>
      <c r="EL38" s="90"/>
      <c r="EM38" s="90"/>
      <c r="EN38" s="90"/>
      <c r="EO38" s="90"/>
      <c r="EP38" s="90"/>
      <c r="EQ38" s="90"/>
      <c r="ER38" s="90"/>
      <c r="ES38" s="90"/>
      <c r="ET38" s="90"/>
      <c r="EU38" s="90"/>
      <c r="EV38" s="90"/>
      <c r="EW38" s="90"/>
      <c r="EX38" s="90"/>
      <c r="EY38" s="90"/>
      <c r="EZ38" s="90"/>
      <c r="FA38" s="90"/>
      <c r="FB38" s="90"/>
      <c r="FC38" s="90"/>
      <c r="FD38" s="90"/>
      <c r="FE38" s="90"/>
      <c r="FF38" s="90"/>
      <c r="FG38" s="90"/>
      <c r="FH38" s="90"/>
      <c r="FI38" s="90"/>
      <c r="FJ38" s="90"/>
      <c r="FK38" s="90"/>
      <c r="FL38" s="90"/>
      <c r="FM38" s="90"/>
      <c r="FN38" s="90"/>
      <c r="FO38" s="90"/>
      <c r="FP38" s="90"/>
      <c r="FQ38" s="90"/>
      <c r="FR38" s="90"/>
    </row>
    <row r="39" spans="1:257" ht="49.5">
      <c r="A39" s="136" t="s">
        <v>213</v>
      </c>
      <c r="B39" s="136" t="s">
        <v>120</v>
      </c>
      <c r="C39" s="61" t="s">
        <v>287</v>
      </c>
      <c r="D39" s="151" t="s">
        <v>288</v>
      </c>
      <c r="E39" s="152" t="s">
        <v>289</v>
      </c>
      <c r="F39" s="152">
        <v>13524497723</v>
      </c>
      <c r="G39" s="158">
        <v>43827.666666666701</v>
      </c>
      <c r="H39" s="152" t="s">
        <v>215</v>
      </c>
      <c r="I39" s="152" t="s">
        <v>290</v>
      </c>
      <c r="J39" s="152" t="s">
        <v>291</v>
      </c>
      <c r="K39" s="152" t="s">
        <v>227</v>
      </c>
      <c r="L39" s="152" t="s">
        <v>253</v>
      </c>
      <c r="M39" s="152" t="s">
        <v>292</v>
      </c>
      <c r="N39" s="152" t="s">
        <v>106</v>
      </c>
      <c r="O39" s="152" t="s">
        <v>219</v>
      </c>
      <c r="P39" s="152" t="s">
        <v>220</v>
      </c>
      <c r="Q39" s="152" t="s">
        <v>221</v>
      </c>
      <c r="R39" s="148">
        <v>43822</v>
      </c>
      <c r="S39" s="149">
        <v>500</v>
      </c>
      <c r="T39" s="136" t="s">
        <v>90</v>
      </c>
      <c r="U39" s="170">
        <v>2020</v>
      </c>
      <c r="V39" s="136">
        <v>1520</v>
      </c>
      <c r="W39" s="136" t="s">
        <v>293</v>
      </c>
      <c r="X39" s="164" t="s">
        <v>224</v>
      </c>
      <c r="Y39" s="164"/>
      <c r="Z39" s="164"/>
      <c r="AA39" s="164" t="s">
        <v>120</v>
      </c>
      <c r="AB39" s="164" t="s">
        <v>102</v>
      </c>
      <c r="AC39" s="91"/>
      <c r="AD39" s="91"/>
      <c r="AE39" s="91"/>
      <c r="AF39" s="91"/>
      <c r="AG39" s="91"/>
      <c r="AH39" s="91"/>
      <c r="AI39" s="91"/>
      <c r="AJ39" s="91"/>
      <c r="AK39" s="91"/>
      <c r="AL39"/>
      <c r="AM39" s="91"/>
      <c r="AN39" s="110">
        <v>43827</v>
      </c>
      <c r="AO39" s="114" t="s">
        <v>107</v>
      </c>
      <c r="AP39" s="91"/>
      <c r="AQ39" s="77">
        <v>10</v>
      </c>
      <c r="AR39" s="91"/>
      <c r="AS39" s="114" t="s">
        <v>209</v>
      </c>
      <c r="AT39" s="91"/>
      <c r="AU39" s="76">
        <v>43827</v>
      </c>
      <c r="AV39" s="78">
        <v>1520</v>
      </c>
      <c r="AW39" s="77" t="s">
        <v>98</v>
      </c>
      <c r="AX39" s="115">
        <v>2020</v>
      </c>
      <c r="AY39" s="91"/>
      <c r="AZ39" s="91"/>
      <c r="BA39" s="91"/>
      <c r="BB39" s="102"/>
      <c r="BC39" s="91"/>
      <c r="BD39" s="91"/>
      <c r="BE39" s="91"/>
      <c r="BF39" s="102"/>
      <c r="BG39" s="91"/>
      <c r="BH39" s="91"/>
      <c r="BI39" s="91"/>
      <c r="BJ39" s="102"/>
      <c r="BK39" s="91"/>
      <c r="BL39" s="91"/>
      <c r="BM39" s="91"/>
      <c r="BN39" s="91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 s="91"/>
      <c r="FT39" s="91"/>
      <c r="FU39" s="91"/>
      <c r="FV39" s="91"/>
      <c r="FW39" s="91"/>
      <c r="FX39" s="91"/>
      <c r="FY39" s="91"/>
      <c r="FZ39" s="91"/>
      <c r="GA39" s="91"/>
      <c r="GB39" s="91"/>
      <c r="GC39" s="91"/>
      <c r="GD39" s="91"/>
      <c r="GE39" s="91"/>
      <c r="GF39" s="91"/>
      <c r="GG39" s="91"/>
      <c r="GH39" s="91"/>
      <c r="GI39" s="91"/>
      <c r="GJ39" s="91"/>
      <c r="GK39" s="91"/>
      <c r="GL39" s="91"/>
      <c r="GM39" s="91"/>
      <c r="GN39" s="91"/>
      <c r="GO39" s="91"/>
      <c r="GP39" s="91"/>
      <c r="GQ39" s="91"/>
      <c r="GR39" s="91"/>
      <c r="GS39" s="91"/>
      <c r="GT39" s="91"/>
      <c r="GU39" s="91"/>
      <c r="GV39" s="91"/>
      <c r="GW39" s="91"/>
      <c r="GX39" s="91"/>
      <c r="GY39" s="91"/>
      <c r="GZ39" s="91"/>
      <c r="HA39" s="91"/>
      <c r="HB39" s="91"/>
      <c r="HC39" s="91"/>
      <c r="HD39" s="91"/>
      <c r="HE39" s="91"/>
      <c r="HF39" s="91"/>
      <c r="HG39" s="91"/>
      <c r="HH39" s="91"/>
      <c r="HI39" s="91"/>
      <c r="HJ39" s="91"/>
      <c r="HK39" s="91"/>
      <c r="HL39" s="91"/>
      <c r="HM39" s="91"/>
      <c r="HN39" s="91"/>
      <c r="HO39" s="91"/>
      <c r="HP39" s="91"/>
      <c r="HQ39" s="91"/>
      <c r="HR39" s="91"/>
      <c r="HS39" s="91"/>
      <c r="HT39" s="91"/>
      <c r="HU39" s="91"/>
      <c r="HV39" s="91"/>
      <c r="HW39" s="91"/>
      <c r="HX39" s="91"/>
      <c r="HY39" s="91"/>
      <c r="HZ39" s="91"/>
      <c r="IA39" s="91"/>
      <c r="IB39" s="91"/>
      <c r="IC39" s="91"/>
      <c r="ID39" s="91"/>
      <c r="IE39" s="91"/>
      <c r="IF39" s="91"/>
      <c r="IG39" s="91"/>
      <c r="IH39" s="91"/>
      <c r="II39" s="91"/>
      <c r="IJ39" s="91"/>
      <c r="IK39" s="91"/>
      <c r="IL39" s="91"/>
      <c r="IM39" s="91"/>
      <c r="IN39" s="91"/>
      <c r="IO39" s="91"/>
      <c r="IP39" s="91"/>
      <c r="IQ39" s="91"/>
      <c r="IR39" s="91"/>
      <c r="IS39" s="91"/>
      <c r="IT39" s="91"/>
      <c r="IU39" s="91"/>
      <c r="IV39" s="91"/>
      <c r="IW39" s="91"/>
    </row>
    <row r="40" spans="1:257" ht="66" hidden="1">
      <c r="A40" s="136" t="s">
        <v>213</v>
      </c>
      <c r="B40" s="136" t="s">
        <v>120</v>
      </c>
      <c r="C40" s="61" t="s">
        <v>270</v>
      </c>
      <c r="D40" s="159" t="s">
        <v>174</v>
      </c>
      <c r="E40" s="152" t="s">
        <v>174</v>
      </c>
      <c r="F40" s="160">
        <v>19822798256</v>
      </c>
      <c r="G40" s="158">
        <v>43825.416666666701</v>
      </c>
      <c r="H40" s="152" t="s">
        <v>215</v>
      </c>
      <c r="I40" s="152" t="s">
        <v>271</v>
      </c>
      <c r="J40" s="152" t="s">
        <v>272</v>
      </c>
      <c r="K40" s="152" t="s">
        <v>246</v>
      </c>
      <c r="L40" s="152" t="s">
        <v>238</v>
      </c>
      <c r="M40" s="152">
        <v>25</v>
      </c>
      <c r="N40" s="152" t="s">
        <v>145</v>
      </c>
      <c r="O40" s="152" t="s">
        <v>273</v>
      </c>
      <c r="P40" s="152" t="s">
        <v>220</v>
      </c>
      <c r="Q40" s="152" t="s">
        <v>221</v>
      </c>
      <c r="R40" s="165" t="s">
        <v>73</v>
      </c>
      <c r="S40" s="149" t="s">
        <v>73</v>
      </c>
      <c r="T40" s="136" t="s">
        <v>73</v>
      </c>
      <c r="U40" s="170">
        <v>8000</v>
      </c>
      <c r="V40" s="136">
        <v>0</v>
      </c>
      <c r="W40" s="136" t="s">
        <v>274</v>
      </c>
      <c r="X40" s="164" t="s">
        <v>76</v>
      </c>
      <c r="Y40" s="164"/>
      <c r="Z40" s="164"/>
      <c r="AA40" s="164" t="s">
        <v>120</v>
      </c>
      <c r="AB40" s="164" t="s">
        <v>100</v>
      </c>
      <c r="AC40" s="90"/>
      <c r="AD40" s="91"/>
      <c r="AE40" s="91"/>
      <c r="AF40" s="91"/>
      <c r="AG40" s="90"/>
      <c r="AH40" s="91"/>
      <c r="AI40" s="91"/>
      <c r="AJ40" s="91"/>
      <c r="AK40" s="91"/>
      <c r="AL40" s="90"/>
      <c r="AM40" s="91"/>
      <c r="AN40" s="110">
        <v>43825</v>
      </c>
      <c r="AO40" s="114" t="s">
        <v>64</v>
      </c>
      <c r="AP40" s="114"/>
      <c r="AQ40" s="114">
        <v>10</v>
      </c>
      <c r="AR40" s="114"/>
      <c r="AS40" s="114" t="s">
        <v>116</v>
      </c>
      <c r="AT40" s="114"/>
      <c r="AU40" s="76" t="s">
        <v>73</v>
      </c>
      <c r="AV40" s="78" t="s">
        <v>73</v>
      </c>
      <c r="AW40" s="77" t="s">
        <v>73</v>
      </c>
      <c r="AX40" s="115">
        <v>4000</v>
      </c>
      <c r="AY40" s="91"/>
      <c r="AZ40" s="91"/>
      <c r="BA40" s="91"/>
      <c r="BB40" s="102"/>
      <c r="BC40" s="91"/>
      <c r="BD40" s="91"/>
      <c r="BE40" s="91"/>
      <c r="BF40" s="102"/>
      <c r="BG40"/>
      <c r="BH40" s="90"/>
      <c r="BI40" s="90"/>
      <c r="BJ40" s="102"/>
      <c r="BK40" s="91"/>
      <c r="BL40" s="90"/>
      <c r="BM40" s="90"/>
      <c r="BN40"/>
      <c r="BO40" s="90"/>
      <c r="BP40" s="90"/>
      <c r="BQ40" s="90"/>
      <c r="BR40" s="90"/>
      <c r="BS40" s="90"/>
      <c r="BT40" s="90"/>
      <c r="BU40" s="90"/>
      <c r="BV40" s="90"/>
      <c r="BW40" s="90"/>
      <c r="BX40" s="90"/>
      <c r="BY40" s="90"/>
      <c r="BZ40" s="90"/>
      <c r="CA40" s="90"/>
      <c r="CB40" s="90"/>
      <c r="CC40" s="90"/>
      <c r="CD40" s="90"/>
      <c r="CE40" s="90"/>
      <c r="CF40" s="90"/>
      <c r="CG40" s="90"/>
      <c r="CH40" s="90"/>
      <c r="CI40" s="90"/>
      <c r="CJ40" s="90"/>
      <c r="CK40" s="90"/>
      <c r="CL40" s="90"/>
      <c r="CM40" s="90"/>
      <c r="CN40" s="90"/>
      <c r="CO40" s="90"/>
      <c r="CP40" s="90"/>
      <c r="CQ40" s="90"/>
      <c r="CR40" s="90"/>
      <c r="CS40" s="90"/>
      <c r="CT40" s="90"/>
      <c r="CU40" s="90"/>
      <c r="CV40" s="90"/>
      <c r="CW40" s="90"/>
      <c r="CX40" s="90"/>
      <c r="CY40" s="90"/>
      <c r="CZ40" s="90"/>
      <c r="DA40" s="90"/>
      <c r="DB40" s="90"/>
      <c r="DC40" s="90"/>
      <c r="DD40" s="90"/>
      <c r="DE40" s="90"/>
      <c r="DF40" s="90"/>
      <c r="DG40" s="90"/>
      <c r="DH40" s="90"/>
      <c r="DI40" s="90"/>
      <c r="DJ40" s="90"/>
      <c r="DK40" s="90"/>
      <c r="DL40" s="90"/>
      <c r="DM40" s="90"/>
      <c r="DN40" s="90"/>
      <c r="DO40" s="90"/>
      <c r="DP40" s="90"/>
      <c r="DQ40" s="90"/>
      <c r="DR40" s="90"/>
      <c r="DS40" s="90"/>
      <c r="DT40" s="90"/>
      <c r="DU40" s="90"/>
      <c r="DV40" s="90"/>
      <c r="DW40" s="90"/>
      <c r="DX40" s="90"/>
      <c r="DY40" s="90"/>
      <c r="DZ40" s="90"/>
      <c r="EA40" s="90"/>
      <c r="EB40" s="90"/>
      <c r="EC40" s="90"/>
      <c r="ED40" s="90"/>
      <c r="EE40" s="90"/>
      <c r="EF40" s="90"/>
      <c r="EG40" s="90"/>
      <c r="EH40" s="90"/>
      <c r="EI40" s="90"/>
      <c r="EJ40" s="90"/>
      <c r="EK40" s="90"/>
      <c r="EL40" s="90"/>
      <c r="EM40" s="90"/>
      <c r="EN40" s="90"/>
      <c r="EO40" s="90"/>
      <c r="EP40" s="90"/>
      <c r="EQ40" s="90"/>
      <c r="ER40" s="90"/>
      <c r="ES40" s="90"/>
      <c r="ET40" s="90"/>
      <c r="EU40" s="90"/>
      <c r="EV40" s="90"/>
      <c r="EW40" s="90"/>
      <c r="EX40" s="90"/>
      <c r="EY40" s="90"/>
      <c r="EZ40" s="90"/>
      <c r="FA40" s="90"/>
      <c r="FB40" s="90"/>
      <c r="FC40" s="90"/>
      <c r="FD40" s="90"/>
      <c r="FE40" s="90"/>
      <c r="FF40" s="90"/>
      <c r="FG40" s="90"/>
      <c r="FH40" s="90"/>
      <c r="FI40" s="90"/>
      <c r="FJ40" s="90"/>
      <c r="FK40" s="90"/>
      <c r="FL40" s="90"/>
      <c r="FM40" s="90"/>
      <c r="FN40" s="90"/>
      <c r="FO40" s="90"/>
      <c r="FP40" s="90"/>
      <c r="FQ40" s="90"/>
      <c r="FR40" s="90"/>
      <c r="FS40" s="89"/>
      <c r="FT40" s="89"/>
      <c r="FU40" s="89"/>
      <c r="FV40" s="89"/>
      <c r="FW40" s="89"/>
      <c r="FX40" s="89"/>
      <c r="FY40" s="89"/>
      <c r="FZ40" s="89"/>
      <c r="GA40" s="89"/>
      <c r="GB40" s="89"/>
      <c r="GC40" s="89"/>
      <c r="GD40" s="89"/>
      <c r="GE40" s="89"/>
      <c r="GF40" s="89"/>
      <c r="GG40" s="89"/>
      <c r="GH40" s="89"/>
      <c r="GI40" s="89"/>
      <c r="GJ40" s="89"/>
      <c r="GK40" s="89"/>
      <c r="GL40" s="89"/>
      <c r="GM40" s="89"/>
      <c r="GN40" s="89"/>
      <c r="GO40" s="89"/>
      <c r="GP40" s="89"/>
      <c r="GQ40" s="89"/>
      <c r="GR40" s="89"/>
      <c r="GS40" s="89"/>
      <c r="GT40" s="89"/>
      <c r="GU40" s="89"/>
      <c r="GV40" s="89"/>
      <c r="GW40" s="89"/>
      <c r="GX40" s="89"/>
      <c r="GY40" s="89"/>
      <c r="GZ40" s="89"/>
      <c r="HA40" s="89"/>
      <c r="HB40" s="89"/>
      <c r="HC40" s="89"/>
      <c r="HD40" s="89"/>
      <c r="HE40" s="89"/>
      <c r="HF40" s="89"/>
      <c r="HG40" s="89"/>
      <c r="HH40" s="89"/>
      <c r="HI40" s="89"/>
      <c r="HJ40" s="89"/>
      <c r="HK40" s="89"/>
      <c r="HL40" s="89"/>
      <c r="HM40" s="89"/>
      <c r="HN40" s="89"/>
      <c r="HO40" s="89"/>
      <c r="HP40" s="89"/>
      <c r="HQ40" s="89"/>
      <c r="HR40" s="89"/>
      <c r="HS40" s="89"/>
      <c r="HT40" s="89"/>
      <c r="HU40" s="89"/>
      <c r="HV40" s="89"/>
      <c r="HW40" s="89"/>
      <c r="HX40" s="89"/>
      <c r="HY40" s="89"/>
      <c r="HZ40" s="89"/>
      <c r="IA40" s="89"/>
      <c r="IB40" s="89"/>
      <c r="IC40" s="89"/>
      <c r="ID40" s="89"/>
      <c r="IE40" s="89"/>
      <c r="IF40" s="89"/>
      <c r="IG40" s="89"/>
      <c r="IH40" s="89"/>
      <c r="II40" s="89"/>
      <c r="IJ40" s="89"/>
      <c r="IK40" s="89"/>
      <c r="IL40" s="89"/>
      <c r="IM40" s="89"/>
      <c r="IN40" s="89"/>
      <c r="IO40" s="89"/>
      <c r="IP40" s="89"/>
      <c r="IQ40" s="89"/>
      <c r="IR40" s="89"/>
      <c r="IS40" s="89"/>
      <c r="IT40" s="89"/>
      <c r="IU40" s="89"/>
      <c r="IV40" s="89"/>
      <c r="IW40" s="89"/>
    </row>
    <row r="41" spans="1:257" ht="49.5" hidden="1">
      <c r="A41" s="136" t="s">
        <v>213</v>
      </c>
      <c r="B41" s="136" t="s">
        <v>120</v>
      </c>
      <c r="C41" s="61" t="s">
        <v>450</v>
      </c>
      <c r="D41" s="151" t="s">
        <v>451</v>
      </c>
      <c r="E41" s="160" t="s">
        <v>152</v>
      </c>
      <c r="F41" s="160">
        <v>13801686729</v>
      </c>
      <c r="G41" s="158">
        <v>43863.5625</v>
      </c>
      <c r="H41" s="152" t="s">
        <v>215</v>
      </c>
      <c r="I41" s="152" t="s">
        <v>101</v>
      </c>
      <c r="J41" s="152" t="s">
        <v>452</v>
      </c>
      <c r="K41" s="152" t="s">
        <v>227</v>
      </c>
      <c r="L41" s="152" t="s">
        <v>253</v>
      </c>
      <c r="M41" s="152" t="s">
        <v>432</v>
      </c>
      <c r="N41" s="152" t="s">
        <v>145</v>
      </c>
      <c r="O41" s="152" t="s">
        <v>106</v>
      </c>
      <c r="P41" s="152" t="s">
        <v>220</v>
      </c>
      <c r="Q41" s="152" t="s">
        <v>453</v>
      </c>
      <c r="R41" s="148">
        <v>43822</v>
      </c>
      <c r="S41" s="149">
        <v>500</v>
      </c>
      <c r="T41" s="136" t="s">
        <v>90</v>
      </c>
      <c r="U41" s="170">
        <v>2880</v>
      </c>
      <c r="V41" s="136">
        <v>2380</v>
      </c>
      <c r="W41" s="136" t="s">
        <v>454</v>
      </c>
      <c r="X41" s="164" t="s">
        <v>76</v>
      </c>
      <c r="Y41" s="164"/>
      <c r="Z41" s="164"/>
      <c r="AA41" s="164" t="s">
        <v>120</v>
      </c>
      <c r="AB41" s="164" t="s">
        <v>100</v>
      </c>
      <c r="AC41" s="90"/>
      <c r="AD41" s="90"/>
      <c r="AE41" s="90"/>
      <c r="AF41" s="90"/>
      <c r="AG41" s="90"/>
      <c r="AH41" s="90"/>
      <c r="AI41" s="90"/>
      <c r="AJ41" s="90"/>
      <c r="AK41" s="90"/>
      <c r="AL41" s="90"/>
      <c r="AM41" s="90"/>
      <c r="AN41" s="102"/>
      <c r="AO41" s="90"/>
      <c r="AP41" s="90"/>
      <c r="AQ41" s="90"/>
      <c r="AR41" s="90"/>
      <c r="AS41" s="90"/>
      <c r="AT41" s="90"/>
      <c r="AX41" s="115"/>
      <c r="AY41" s="91"/>
      <c r="AZ41" s="91"/>
      <c r="BA41" s="90"/>
      <c r="BB41" s="102"/>
      <c r="BC41" s="90"/>
      <c r="BD41" s="90"/>
      <c r="BE41" s="90"/>
      <c r="BF41" s="102"/>
      <c r="BG41" s="90"/>
      <c r="BH41" s="90"/>
      <c r="BI41" s="90"/>
      <c r="BJ41" s="102"/>
      <c r="BK41" s="90"/>
      <c r="BL41" s="90"/>
      <c r="BM41" s="90"/>
      <c r="BN41" s="90"/>
      <c r="BO41" s="90"/>
      <c r="BP41" s="90"/>
      <c r="BQ41" s="90"/>
      <c r="BR41" s="90"/>
      <c r="BS41" s="90"/>
      <c r="BT41" s="90"/>
      <c r="BU41" s="90"/>
      <c r="BV41" s="90"/>
      <c r="BW41" s="90"/>
      <c r="BX41" s="90"/>
      <c r="BY41" s="90"/>
      <c r="BZ41" s="90"/>
      <c r="CA41" s="90"/>
      <c r="CB41" s="90"/>
      <c r="CC41" s="90"/>
      <c r="CD41" s="90"/>
      <c r="CE41" s="90"/>
      <c r="CF41" s="90"/>
      <c r="CG41" s="90"/>
      <c r="CH41" s="90"/>
      <c r="CI41" s="90"/>
      <c r="CJ41" s="90"/>
      <c r="CK41" s="90"/>
      <c r="CL41" s="90"/>
      <c r="CM41" s="90"/>
      <c r="CN41" s="90"/>
      <c r="CO41" s="90"/>
      <c r="CP41" s="90"/>
      <c r="CQ41" s="90"/>
      <c r="CR41" s="90"/>
      <c r="CS41" s="90"/>
      <c r="CT41" s="90"/>
      <c r="CU41" s="90"/>
      <c r="CV41" s="90"/>
      <c r="CW41" s="90"/>
      <c r="CX41" s="90"/>
      <c r="CY41" s="90"/>
      <c r="CZ41" s="90"/>
      <c r="DA41" s="90"/>
      <c r="DB41" s="90"/>
      <c r="DC41" s="90"/>
      <c r="DD41" s="90"/>
      <c r="DE41" s="90"/>
      <c r="DF41" s="90"/>
      <c r="DG41" s="90"/>
      <c r="DH41" s="90"/>
      <c r="DI41" s="90"/>
      <c r="DJ41" s="90"/>
      <c r="DK41" s="90"/>
      <c r="DL41" s="90"/>
      <c r="DM41" s="90"/>
      <c r="DN41" s="90"/>
      <c r="DO41" s="90"/>
      <c r="DP41" s="90"/>
      <c r="DQ41" s="90"/>
      <c r="DR41" s="90"/>
      <c r="DS41" s="90"/>
      <c r="DT41" s="90"/>
      <c r="DU41" s="90"/>
      <c r="DV41" s="90"/>
      <c r="DW41" s="90"/>
      <c r="DX41" s="90"/>
      <c r="DY41" s="90"/>
      <c r="DZ41" s="90"/>
      <c r="EA41" s="90"/>
      <c r="EB41" s="90"/>
      <c r="EC41" s="90"/>
      <c r="ED41" s="90"/>
      <c r="EE41" s="90"/>
      <c r="EF41" s="90"/>
      <c r="EG41" s="90"/>
      <c r="EH41" s="90"/>
      <c r="EI41" s="90"/>
      <c r="EJ41" s="90"/>
      <c r="EK41" s="90"/>
      <c r="EL41" s="90"/>
      <c r="EM41" s="90"/>
      <c r="EN41" s="90"/>
      <c r="EO41" s="90"/>
      <c r="EP41" s="90"/>
      <c r="EQ41" s="90"/>
      <c r="ER41" s="90"/>
      <c r="ES41" s="90"/>
      <c r="ET41" s="90"/>
      <c r="EU41" s="90"/>
      <c r="EV41" s="90"/>
      <c r="EW41" s="90"/>
      <c r="EX41" s="90"/>
      <c r="EY41" s="90"/>
      <c r="EZ41" s="90"/>
      <c r="FA41" s="90"/>
      <c r="FB41" s="90"/>
      <c r="FC41" s="90"/>
      <c r="FD41" s="90"/>
      <c r="FE41" s="90"/>
      <c r="FF41" s="90"/>
      <c r="FG41" s="90"/>
      <c r="FH41" s="90"/>
      <c r="FI41" s="90"/>
      <c r="FJ41" s="90"/>
      <c r="FK41" s="90"/>
      <c r="FL41" s="90"/>
      <c r="FM41" s="90"/>
      <c r="FN41" s="90"/>
      <c r="FO41" s="90"/>
      <c r="FP41" s="90"/>
      <c r="FQ41" s="90"/>
      <c r="FR41" s="90"/>
      <c r="FS41" s="91"/>
      <c r="FT41" s="91"/>
      <c r="FU41" s="91"/>
      <c r="FV41" s="91"/>
      <c r="FW41" s="91"/>
      <c r="FX41" s="91"/>
      <c r="FY41" s="91"/>
      <c r="FZ41" s="91"/>
      <c r="GA41" s="91"/>
      <c r="GB41" s="91"/>
      <c r="GC41" s="91"/>
      <c r="GD41" s="91"/>
      <c r="GE41" s="91"/>
      <c r="GF41" s="91"/>
      <c r="GG41" s="91"/>
      <c r="GH41" s="91"/>
      <c r="GI41" s="91"/>
      <c r="GJ41" s="91"/>
      <c r="GK41" s="91"/>
      <c r="GL41" s="91"/>
      <c r="GM41" s="91"/>
      <c r="GN41" s="91"/>
      <c r="GO41" s="91"/>
      <c r="GP41" s="91"/>
      <c r="GQ41" s="91"/>
      <c r="GR41" s="91"/>
      <c r="GS41" s="91"/>
      <c r="GT41" s="91"/>
      <c r="GU41" s="91"/>
      <c r="GV41" s="91"/>
      <c r="GW41" s="91"/>
      <c r="GX41" s="91"/>
      <c r="GY41" s="91"/>
      <c r="GZ41" s="91"/>
      <c r="HA41" s="91"/>
      <c r="HB41" s="91"/>
      <c r="HC41" s="91"/>
      <c r="HD41" s="91"/>
      <c r="HE41" s="91"/>
      <c r="HF41" s="91"/>
      <c r="HG41" s="91"/>
      <c r="HH41" s="91"/>
      <c r="HI41" s="91"/>
      <c r="HJ41" s="91"/>
      <c r="HK41" s="91"/>
      <c r="HL41" s="91"/>
      <c r="HM41" s="91"/>
      <c r="HN41" s="91"/>
      <c r="HO41" s="91"/>
      <c r="HP41" s="91"/>
      <c r="HQ41" s="91"/>
      <c r="HR41" s="91"/>
      <c r="HS41" s="91"/>
      <c r="HT41" s="91"/>
      <c r="HU41" s="91"/>
      <c r="HV41" s="91"/>
      <c r="HW41" s="91"/>
      <c r="HX41" s="91"/>
      <c r="HY41" s="91"/>
      <c r="HZ41" s="91"/>
      <c r="IA41" s="91"/>
      <c r="IB41" s="91"/>
      <c r="IC41" s="91"/>
      <c r="ID41" s="91"/>
      <c r="IE41" s="91"/>
      <c r="IF41" s="91"/>
      <c r="IG41" s="91"/>
      <c r="IH41" s="91"/>
      <c r="II41" s="91"/>
      <c r="IJ41" s="91"/>
      <c r="IK41" s="91"/>
      <c r="IL41" s="91"/>
      <c r="IM41" s="91"/>
      <c r="IN41" s="91"/>
      <c r="IO41" s="91"/>
      <c r="IP41" s="91"/>
      <c r="IQ41" s="91"/>
      <c r="IR41" s="91"/>
      <c r="IS41" s="91"/>
      <c r="IT41" s="91"/>
      <c r="IU41" s="91"/>
      <c r="IV41" s="91"/>
      <c r="IW41" s="91"/>
    </row>
    <row r="42" spans="1:257" ht="115.5" hidden="1">
      <c r="A42" s="136"/>
      <c r="B42" s="136" t="s">
        <v>120</v>
      </c>
      <c r="C42" s="61" t="s">
        <v>455</v>
      </c>
      <c r="D42" s="151" t="s">
        <v>155</v>
      </c>
      <c r="E42" s="152" t="s">
        <v>456</v>
      </c>
      <c r="F42" s="152" t="s">
        <v>73</v>
      </c>
      <c r="G42" s="158" t="s">
        <v>457</v>
      </c>
      <c r="H42" s="152" t="s">
        <v>215</v>
      </c>
      <c r="I42" s="152" t="s">
        <v>122</v>
      </c>
      <c r="J42" s="152" t="s">
        <v>458</v>
      </c>
      <c r="K42" s="152" t="s">
        <v>246</v>
      </c>
      <c r="L42" s="152" t="s">
        <v>253</v>
      </c>
      <c r="M42" s="152">
        <v>16</v>
      </c>
      <c r="N42" s="152" t="s">
        <v>145</v>
      </c>
      <c r="O42" s="152" t="s">
        <v>255</v>
      </c>
      <c r="P42" s="152" t="s">
        <v>220</v>
      </c>
      <c r="Q42" s="152" t="s">
        <v>221</v>
      </c>
      <c r="R42" s="165">
        <v>43822</v>
      </c>
      <c r="S42" s="149">
        <v>2480</v>
      </c>
      <c r="T42" s="136" t="s">
        <v>194</v>
      </c>
      <c r="U42" s="170">
        <v>2480</v>
      </c>
      <c r="V42" s="136">
        <v>0</v>
      </c>
      <c r="W42" s="136" t="s">
        <v>459</v>
      </c>
      <c r="X42" s="164" t="s">
        <v>76</v>
      </c>
      <c r="Y42" s="164" t="s">
        <v>131</v>
      </c>
      <c r="Z42" s="164"/>
      <c r="AA42" s="164" t="s">
        <v>120</v>
      </c>
      <c r="AB42" s="164" t="s">
        <v>99</v>
      </c>
      <c r="AC42" s="90"/>
      <c r="AD42" s="90"/>
      <c r="AE42" s="90"/>
      <c r="AF42" s="90"/>
      <c r="AG42" s="91"/>
      <c r="AH42" s="90"/>
      <c r="AI42" s="90"/>
      <c r="AJ42" s="90"/>
      <c r="AK42" s="90"/>
      <c r="AL42" s="91"/>
      <c r="AM42" s="90"/>
      <c r="AN42" s="102"/>
      <c r="AO42" s="90"/>
      <c r="AP42" s="91"/>
      <c r="AQ42" s="90"/>
      <c r="AR42" s="89"/>
      <c r="AS42" s="90"/>
      <c r="AT42" s="91"/>
      <c r="AX42" s="115"/>
      <c r="AY42" s="91"/>
      <c r="AZ42" s="91"/>
      <c r="BA42" s="90"/>
      <c r="BB42" s="102"/>
      <c r="BC42" s="90"/>
      <c r="BD42" s="90"/>
      <c r="BE42" s="90"/>
      <c r="BF42" s="102"/>
      <c r="BG42" s="90"/>
      <c r="BH42" s="90"/>
      <c r="BI42" s="90"/>
      <c r="BJ42" s="100"/>
      <c r="BK42" s="90"/>
      <c r="BL42" s="89"/>
      <c r="BM42" s="89"/>
      <c r="BN42" s="90"/>
      <c r="BO42" s="90"/>
      <c r="BP42" s="90"/>
      <c r="BQ42" s="90"/>
      <c r="BR42" s="90"/>
      <c r="BS42" s="90"/>
      <c r="BT42" s="90"/>
      <c r="BU42" s="90"/>
      <c r="BV42" s="90"/>
      <c r="BW42" s="90"/>
      <c r="BX42" s="90"/>
      <c r="BY42" s="90"/>
      <c r="BZ42" s="90"/>
      <c r="CA42" s="90"/>
      <c r="CB42" s="90"/>
      <c r="CC42" s="90"/>
      <c r="CD42" s="90"/>
      <c r="CE42" s="90"/>
      <c r="CF42" s="90"/>
      <c r="CG42" s="90"/>
      <c r="CH42" s="90"/>
      <c r="CI42" s="90"/>
      <c r="CJ42" s="90"/>
      <c r="CK42" s="90"/>
      <c r="CL42" s="90"/>
      <c r="CM42" s="90"/>
      <c r="CN42" s="90"/>
      <c r="CO42" s="90"/>
      <c r="CP42" s="90"/>
      <c r="CQ42" s="90"/>
      <c r="CR42" s="90"/>
      <c r="CS42" s="90"/>
      <c r="CT42" s="90"/>
      <c r="CU42" s="90"/>
      <c r="CV42" s="90"/>
      <c r="CW42" s="90"/>
      <c r="CX42" s="90"/>
      <c r="CY42" s="90"/>
      <c r="CZ42" s="90"/>
      <c r="DA42" s="90"/>
      <c r="DB42" s="90"/>
      <c r="DC42" s="90"/>
      <c r="DD42" s="90"/>
      <c r="DE42" s="90"/>
      <c r="DF42" s="90"/>
      <c r="DG42" s="90"/>
      <c r="DH42" s="90"/>
      <c r="DI42" s="90"/>
      <c r="DJ42" s="90"/>
      <c r="DK42" s="90"/>
      <c r="DL42" s="90"/>
      <c r="DM42" s="90"/>
      <c r="DN42" s="90"/>
      <c r="DO42" s="90"/>
      <c r="DP42" s="90"/>
      <c r="DQ42" s="90"/>
      <c r="DR42" s="90"/>
      <c r="DS42" s="90"/>
      <c r="DT42" s="90"/>
      <c r="DU42" s="90"/>
      <c r="DV42" s="90"/>
      <c r="DW42" s="90"/>
      <c r="DX42" s="90"/>
      <c r="DY42" s="90"/>
      <c r="DZ42" s="90"/>
      <c r="EA42" s="90"/>
      <c r="EB42" s="90"/>
      <c r="EC42" s="90"/>
      <c r="ED42" s="90"/>
      <c r="EE42" s="90"/>
      <c r="EF42" s="90"/>
      <c r="EG42" s="90"/>
      <c r="EH42" s="90"/>
      <c r="EI42" s="90"/>
      <c r="EJ42" s="90"/>
      <c r="EK42" s="90"/>
      <c r="EL42" s="90"/>
      <c r="EM42" s="90"/>
      <c r="EN42" s="90"/>
      <c r="EO42" s="90"/>
      <c r="EP42" s="90"/>
      <c r="EQ42" s="90"/>
      <c r="ER42" s="90"/>
      <c r="ES42" s="90"/>
      <c r="ET42" s="90"/>
      <c r="EU42" s="90"/>
      <c r="EV42" s="90"/>
      <c r="EW42" s="90"/>
      <c r="EX42" s="90"/>
      <c r="EY42" s="90"/>
      <c r="EZ42" s="90"/>
      <c r="FA42" s="90"/>
      <c r="FB42" s="90"/>
      <c r="FC42" s="90"/>
      <c r="FD42" s="90"/>
      <c r="FE42" s="90"/>
      <c r="FF42" s="90"/>
      <c r="FG42" s="90"/>
      <c r="FH42" s="90"/>
      <c r="FI42" s="90"/>
      <c r="FJ42" s="90"/>
      <c r="FK42" s="90"/>
      <c r="FL42" s="90"/>
      <c r="FM42" s="90"/>
      <c r="FN42" s="90"/>
      <c r="FO42" s="90"/>
      <c r="FP42" s="90"/>
      <c r="FQ42" s="90"/>
      <c r="FR42" s="90"/>
    </row>
    <row r="43" spans="1:257" ht="33" hidden="1">
      <c r="A43" s="136" t="s">
        <v>213</v>
      </c>
      <c r="B43" s="136" t="s">
        <v>120</v>
      </c>
      <c r="C43" s="61" t="s">
        <v>460</v>
      </c>
      <c r="D43" s="156" t="s">
        <v>461</v>
      </c>
      <c r="E43" s="157" t="s">
        <v>462</v>
      </c>
      <c r="F43" s="157">
        <v>15000690018</v>
      </c>
      <c r="G43" s="179">
        <v>43836.416666666701</v>
      </c>
      <c r="H43" s="157" t="s">
        <v>215</v>
      </c>
      <c r="I43" s="157" t="s">
        <v>463</v>
      </c>
      <c r="J43" s="157" t="s">
        <v>464</v>
      </c>
      <c r="K43" s="157" t="s">
        <v>465</v>
      </c>
      <c r="L43" s="157" t="s">
        <v>253</v>
      </c>
      <c r="M43" s="157" t="s">
        <v>466</v>
      </c>
      <c r="N43" s="157" t="s">
        <v>145</v>
      </c>
      <c r="O43" s="157" t="s">
        <v>255</v>
      </c>
      <c r="P43" s="157" t="s">
        <v>220</v>
      </c>
      <c r="Q43" s="157" t="s">
        <v>221</v>
      </c>
      <c r="R43" s="148">
        <v>43823</v>
      </c>
      <c r="S43" s="149">
        <v>2980</v>
      </c>
      <c r="T43" s="136" t="s">
        <v>242</v>
      </c>
      <c r="U43" s="170">
        <v>2980</v>
      </c>
      <c r="V43" s="136">
        <v>0</v>
      </c>
      <c r="W43" s="136" t="s">
        <v>467</v>
      </c>
      <c r="X43" s="164" t="s">
        <v>242</v>
      </c>
      <c r="Y43" s="164" t="s">
        <v>242</v>
      </c>
      <c r="Z43" s="164" t="s">
        <v>73</v>
      </c>
      <c r="AA43" s="164" t="s">
        <v>120</v>
      </c>
      <c r="AB43" s="164" t="s">
        <v>99</v>
      </c>
      <c r="AC43" s="90"/>
      <c r="AD43" s="90"/>
      <c r="AE43" s="89"/>
      <c r="AF43" s="90"/>
      <c r="AG43" s="90"/>
      <c r="AH43" s="90"/>
      <c r="AI43" s="90"/>
      <c r="AJ43" s="90"/>
      <c r="AK43" s="90"/>
      <c r="AL43" s="90"/>
      <c r="AM43" s="90"/>
      <c r="AN43" s="91"/>
      <c r="AO43" s="89"/>
      <c r="AP43" s="90"/>
      <c r="AQ43" s="89"/>
      <c r="AR43" s="90"/>
      <c r="AS43" s="90"/>
      <c r="AT43" s="90"/>
      <c r="AX43" s="115"/>
      <c r="AY43" s="91"/>
      <c r="AZ43" s="91"/>
      <c r="BA43" s="90"/>
      <c r="BB43" s="91"/>
      <c r="BC43" s="90"/>
      <c r="BD43" s="90"/>
      <c r="BE43" s="90"/>
      <c r="BF43" s="91"/>
      <c r="BG43" s="90"/>
      <c r="BH43" s="90"/>
      <c r="BI43" s="90"/>
      <c r="BJ43" s="91"/>
      <c r="BK43" s="90"/>
      <c r="BL43" s="90"/>
      <c r="BM43" s="90"/>
      <c r="BN43" s="90"/>
      <c r="BO43" s="90"/>
      <c r="BP43" s="90"/>
      <c r="BQ43" s="90"/>
      <c r="BR43" s="90"/>
      <c r="BS43" s="90"/>
      <c r="BT43" s="90"/>
      <c r="BU43" s="90"/>
      <c r="BV43" s="90"/>
      <c r="BW43" s="90"/>
      <c r="BX43" s="90"/>
      <c r="BY43" s="90"/>
      <c r="BZ43" s="90"/>
      <c r="CA43" s="90"/>
      <c r="CB43" s="90"/>
      <c r="CC43" s="90"/>
      <c r="CD43" s="90"/>
      <c r="CE43" s="90"/>
      <c r="CF43" s="90"/>
      <c r="CG43" s="90"/>
      <c r="CH43" s="90"/>
      <c r="CI43" s="90"/>
      <c r="CJ43" s="90"/>
      <c r="CK43" s="90"/>
      <c r="CL43" s="90"/>
      <c r="CM43" s="90"/>
      <c r="CN43" s="90"/>
      <c r="CO43" s="90"/>
      <c r="CP43" s="90"/>
      <c r="CQ43" s="90"/>
      <c r="CR43" s="90"/>
      <c r="CS43" s="90"/>
      <c r="CT43" s="90"/>
      <c r="CU43" s="90"/>
      <c r="CV43" s="90"/>
      <c r="CW43" s="90"/>
      <c r="CX43" s="90"/>
      <c r="CY43" s="90"/>
      <c r="CZ43" s="90"/>
      <c r="DA43" s="90"/>
      <c r="DB43" s="90"/>
      <c r="DC43" s="90"/>
      <c r="DD43" s="90"/>
      <c r="DE43" s="90"/>
      <c r="DF43" s="90"/>
      <c r="DG43" s="90"/>
      <c r="DH43" s="90"/>
      <c r="DI43" s="90"/>
      <c r="DJ43" s="90"/>
      <c r="DK43" s="90"/>
      <c r="DL43" s="90"/>
      <c r="DM43" s="90"/>
      <c r="DN43" s="90"/>
      <c r="DO43" s="90"/>
      <c r="DP43" s="90"/>
      <c r="DQ43" s="90"/>
      <c r="DR43" s="90"/>
      <c r="DS43" s="90"/>
      <c r="DT43" s="90"/>
      <c r="DU43" s="90"/>
      <c r="DV43" s="90"/>
      <c r="DW43" s="90"/>
      <c r="DX43" s="90"/>
      <c r="DY43" s="90"/>
      <c r="DZ43" s="90"/>
      <c r="EA43" s="90"/>
      <c r="EB43" s="90"/>
      <c r="EC43" s="90"/>
      <c r="ED43" s="90"/>
      <c r="EE43" s="90"/>
      <c r="EF43" s="90"/>
      <c r="EG43" s="90"/>
      <c r="EH43" s="90"/>
      <c r="EI43" s="90"/>
      <c r="EJ43" s="90"/>
      <c r="EK43" s="90"/>
      <c r="EL43" s="90"/>
      <c r="EM43" s="90"/>
      <c r="EN43" s="90"/>
      <c r="EO43" s="90"/>
      <c r="EP43" s="90"/>
      <c r="EQ43" s="90"/>
      <c r="ER43" s="90"/>
      <c r="ES43" s="90"/>
      <c r="ET43" s="90"/>
      <c r="EU43" s="90"/>
      <c r="EV43" s="90"/>
      <c r="EW43" s="90"/>
      <c r="EX43" s="90"/>
      <c r="EY43" s="90"/>
      <c r="EZ43" s="90"/>
      <c r="FA43" s="90"/>
      <c r="FB43" s="90"/>
      <c r="FC43" s="90"/>
      <c r="FD43" s="90"/>
      <c r="FE43" s="90"/>
      <c r="FF43" s="90"/>
      <c r="FG43" s="90"/>
      <c r="FH43" s="90"/>
      <c r="FI43" s="90"/>
      <c r="FJ43" s="90"/>
      <c r="FK43" s="90"/>
      <c r="FL43" s="90"/>
      <c r="FM43" s="90"/>
      <c r="FN43" s="90"/>
      <c r="FO43" s="90"/>
      <c r="FP43" s="90"/>
      <c r="FQ43" s="90"/>
      <c r="FR43" s="90"/>
    </row>
    <row r="44" spans="1:257" ht="66" hidden="1">
      <c r="A44" s="136"/>
      <c r="B44" s="136" t="s">
        <v>120</v>
      </c>
      <c r="C44" s="61" t="s">
        <v>468</v>
      </c>
      <c r="D44" s="156" t="s">
        <v>469</v>
      </c>
      <c r="E44" s="157" t="s">
        <v>137</v>
      </c>
      <c r="F44" s="157">
        <v>18221033195</v>
      </c>
      <c r="G44" s="179">
        <v>43836.395833333299</v>
      </c>
      <c r="H44" s="157" t="s">
        <v>215</v>
      </c>
      <c r="I44" s="157" t="s">
        <v>463</v>
      </c>
      <c r="J44" s="157" t="s">
        <v>470</v>
      </c>
      <c r="K44" s="157" t="s">
        <v>465</v>
      </c>
      <c r="L44" s="157" t="s">
        <v>253</v>
      </c>
      <c r="M44" s="157" t="s">
        <v>471</v>
      </c>
      <c r="N44" s="157" t="s">
        <v>145</v>
      </c>
      <c r="O44" s="157" t="s">
        <v>472</v>
      </c>
      <c r="P44" s="157" t="s">
        <v>220</v>
      </c>
      <c r="Q44" s="157" t="s">
        <v>473</v>
      </c>
      <c r="R44" s="165">
        <v>43823</v>
      </c>
      <c r="S44" s="149">
        <v>2980</v>
      </c>
      <c r="T44" s="136" t="s">
        <v>242</v>
      </c>
      <c r="U44" s="170">
        <v>2980</v>
      </c>
      <c r="V44" s="136">
        <v>0</v>
      </c>
      <c r="W44" s="136" t="s">
        <v>474</v>
      </c>
      <c r="X44" s="164" t="s">
        <v>76</v>
      </c>
      <c r="Y44" s="164"/>
      <c r="Z44" s="164" t="s">
        <v>73</v>
      </c>
      <c r="AA44" s="164" t="s">
        <v>120</v>
      </c>
      <c r="AB44" s="164" t="s">
        <v>99</v>
      </c>
      <c r="AC44" s="90"/>
      <c r="AD44" s="90"/>
      <c r="AE44" s="90"/>
      <c r="AF44" s="90"/>
      <c r="AG44" s="90"/>
      <c r="AH44" s="90"/>
      <c r="AI44" s="90"/>
      <c r="AJ44" s="90"/>
      <c r="AK44" s="90"/>
      <c r="AL44" s="90"/>
      <c r="AM44" s="90"/>
      <c r="AN44" s="91"/>
      <c r="AO44" s="91"/>
      <c r="AP44" s="90"/>
      <c r="AQ44" s="91"/>
      <c r="AR44" s="90"/>
      <c r="AS44" s="91"/>
      <c r="AT44" s="90"/>
      <c r="AX44" s="115"/>
      <c r="AY44" s="91"/>
      <c r="AZ44" s="91"/>
      <c r="BA44" s="90"/>
      <c r="BB44" s="91"/>
      <c r="BC44" s="90"/>
      <c r="BD44" s="90"/>
      <c r="BE44" s="90"/>
      <c r="BF44" s="91"/>
      <c r="BG44" s="90"/>
      <c r="BH44" s="90"/>
      <c r="BI44" s="90"/>
      <c r="BJ44" s="91"/>
      <c r="BK44" s="90"/>
      <c r="BL44" s="90"/>
      <c r="BM44" s="90"/>
      <c r="BN44" s="90"/>
      <c r="BO44" s="90"/>
      <c r="BP44" s="90"/>
      <c r="BQ44" s="90"/>
      <c r="BR44" s="90"/>
      <c r="BS44" s="90"/>
      <c r="BT44" s="90"/>
      <c r="BU44" s="90"/>
      <c r="BV44" s="90"/>
      <c r="BW44" s="90"/>
      <c r="BX44" s="90"/>
      <c r="BY44" s="90"/>
      <c r="BZ44" s="90"/>
      <c r="CA44" s="90"/>
      <c r="CB44" s="90"/>
      <c r="CC44" s="90"/>
      <c r="CD44" s="90"/>
      <c r="CE44" s="90"/>
      <c r="CF44" s="90"/>
      <c r="CG44" s="90"/>
      <c r="CH44" s="90"/>
      <c r="CI44" s="90"/>
      <c r="CJ44" s="90"/>
      <c r="CK44" s="90"/>
      <c r="CL44" s="90"/>
      <c r="CM44" s="90"/>
      <c r="CN44" s="90"/>
      <c r="CO44" s="90"/>
      <c r="CP44" s="90"/>
      <c r="CQ44" s="90"/>
      <c r="CR44" s="90"/>
      <c r="CS44" s="90"/>
      <c r="CT44" s="90"/>
      <c r="CU44" s="90"/>
      <c r="CV44" s="90"/>
      <c r="CW44" s="90"/>
      <c r="CX44" s="90"/>
      <c r="CY44" s="90"/>
      <c r="CZ44" s="90"/>
      <c r="DA44" s="90"/>
      <c r="DB44" s="90"/>
      <c r="DC44" s="90"/>
      <c r="DD44" s="90"/>
      <c r="DE44" s="90"/>
      <c r="DF44" s="90"/>
      <c r="DG44" s="90"/>
      <c r="DH44" s="90"/>
      <c r="DI44" s="90"/>
      <c r="DJ44" s="90"/>
      <c r="DK44" s="90"/>
      <c r="DL44" s="90"/>
      <c r="DM44" s="90"/>
      <c r="DN44" s="90"/>
      <c r="DO44" s="90"/>
      <c r="DP44" s="90"/>
      <c r="DQ44" s="90"/>
      <c r="DR44" s="90"/>
      <c r="DS44" s="90"/>
      <c r="DT44" s="90"/>
      <c r="DU44" s="90"/>
      <c r="DV44" s="90"/>
      <c r="DW44" s="90"/>
      <c r="DX44" s="90"/>
      <c r="DY44" s="90"/>
      <c r="DZ44" s="90"/>
      <c r="EA44" s="90"/>
      <c r="EB44" s="90"/>
      <c r="EC44" s="90"/>
      <c r="ED44" s="90"/>
      <c r="EE44" s="90"/>
      <c r="EF44" s="90"/>
      <c r="EG44" s="90"/>
      <c r="EH44" s="90"/>
      <c r="EI44" s="90"/>
      <c r="EJ44" s="90"/>
      <c r="EK44" s="90"/>
      <c r="EL44" s="90"/>
      <c r="EM44" s="90"/>
      <c r="EN44" s="90"/>
      <c r="EO44" s="90"/>
      <c r="EP44" s="90"/>
      <c r="EQ44" s="90"/>
      <c r="ER44" s="90"/>
      <c r="ES44" s="90"/>
      <c r="ET44" s="90"/>
      <c r="EU44" s="90"/>
      <c r="EV44" s="90"/>
      <c r="EW44" s="90"/>
      <c r="EX44" s="90"/>
      <c r="EY44" s="90"/>
      <c r="EZ44" s="90"/>
      <c r="FA44" s="90"/>
      <c r="FB44" s="90"/>
      <c r="FC44" s="90"/>
      <c r="FD44" s="90"/>
      <c r="FE44" s="90"/>
      <c r="FF44" s="90"/>
      <c r="FG44" s="90"/>
      <c r="FH44" s="90"/>
      <c r="FI44" s="90"/>
      <c r="FJ44" s="90"/>
      <c r="FK44" s="90"/>
      <c r="FL44" s="90"/>
      <c r="FM44" s="90"/>
      <c r="FN44" s="90"/>
      <c r="FO44" s="90"/>
      <c r="FP44" s="90"/>
      <c r="FQ44" s="90"/>
      <c r="FR44" s="90"/>
      <c r="FS44" s="91"/>
      <c r="FT44" s="91"/>
      <c r="FU44" s="91"/>
      <c r="FV44" s="91"/>
      <c r="FW44" s="91"/>
      <c r="FX44" s="91"/>
      <c r="FY44" s="91"/>
      <c r="FZ44" s="91"/>
      <c r="GA44" s="91"/>
      <c r="GB44" s="91"/>
      <c r="GC44" s="91"/>
      <c r="GD44" s="91"/>
      <c r="GE44" s="91"/>
      <c r="GF44" s="91"/>
      <c r="GG44" s="91"/>
      <c r="GH44" s="91"/>
      <c r="GI44" s="91"/>
      <c r="GJ44" s="91"/>
      <c r="GK44" s="91"/>
      <c r="GL44" s="91"/>
      <c r="GM44" s="91"/>
      <c r="GN44" s="91"/>
      <c r="GO44" s="91"/>
      <c r="GP44" s="91"/>
      <c r="GQ44" s="91"/>
      <c r="GR44" s="91"/>
      <c r="GS44" s="91"/>
      <c r="GT44" s="91"/>
      <c r="GU44" s="91"/>
      <c r="GV44" s="91"/>
      <c r="GW44" s="91"/>
      <c r="GX44" s="91"/>
      <c r="GY44" s="91"/>
      <c r="GZ44" s="91"/>
      <c r="HA44" s="91"/>
      <c r="HB44" s="91"/>
      <c r="HC44" s="91"/>
      <c r="HD44" s="91"/>
      <c r="HE44" s="91"/>
      <c r="HF44" s="91"/>
      <c r="HG44" s="91"/>
      <c r="HH44" s="91"/>
      <c r="HI44" s="91"/>
      <c r="HJ44" s="91"/>
      <c r="HK44" s="91"/>
      <c r="HL44" s="91"/>
      <c r="HM44" s="91"/>
      <c r="HN44" s="91"/>
      <c r="HO44" s="91"/>
      <c r="HP44" s="91"/>
      <c r="HQ44" s="91"/>
      <c r="HR44" s="91"/>
      <c r="HS44" s="91"/>
      <c r="HT44" s="91"/>
      <c r="HU44" s="91"/>
      <c r="HV44" s="91"/>
      <c r="HW44" s="91"/>
      <c r="HX44" s="91"/>
      <c r="HY44" s="91"/>
      <c r="HZ44" s="91"/>
      <c r="IA44" s="91"/>
      <c r="IB44" s="91"/>
      <c r="IC44" s="91"/>
      <c r="ID44" s="91"/>
      <c r="IE44" s="91"/>
      <c r="IF44" s="91"/>
      <c r="IG44" s="91"/>
      <c r="IH44" s="91"/>
      <c r="II44" s="91"/>
      <c r="IJ44" s="91"/>
      <c r="IK44" s="91"/>
      <c r="IL44" s="91"/>
      <c r="IM44" s="91"/>
      <c r="IN44" s="91"/>
      <c r="IO44" s="91"/>
      <c r="IP44" s="91"/>
      <c r="IQ44" s="91"/>
      <c r="IR44" s="91"/>
      <c r="IS44" s="91"/>
      <c r="IT44" s="91"/>
      <c r="IU44" s="91"/>
      <c r="IV44" s="91"/>
      <c r="IW44" s="91"/>
    </row>
    <row r="45" spans="1:257" ht="33" hidden="1">
      <c r="A45" s="136" t="s">
        <v>213</v>
      </c>
      <c r="B45" s="136" t="s">
        <v>120</v>
      </c>
      <c r="C45" s="61" t="s">
        <v>475</v>
      </c>
      <c r="D45" s="156" t="s">
        <v>139</v>
      </c>
      <c r="E45" s="69" t="s">
        <v>140</v>
      </c>
      <c r="F45" s="69">
        <v>13764947805</v>
      </c>
      <c r="G45" s="179">
        <v>43835.416666666701</v>
      </c>
      <c r="H45" s="157" t="s">
        <v>215</v>
      </c>
      <c r="I45" s="157" t="s">
        <v>103</v>
      </c>
      <c r="J45" s="157" t="s">
        <v>476</v>
      </c>
      <c r="K45" s="157" t="s">
        <v>477</v>
      </c>
      <c r="L45" s="157" t="s">
        <v>327</v>
      </c>
      <c r="M45" s="157" t="s">
        <v>478</v>
      </c>
      <c r="N45" s="157" t="s">
        <v>145</v>
      </c>
      <c r="O45" s="157" t="s">
        <v>345</v>
      </c>
      <c r="P45" s="157" t="s">
        <v>220</v>
      </c>
      <c r="Q45" s="157" t="s">
        <v>479</v>
      </c>
      <c r="R45" s="165">
        <v>43823</v>
      </c>
      <c r="S45" s="149">
        <v>3500</v>
      </c>
      <c r="T45" s="136"/>
      <c r="U45" s="170"/>
      <c r="V45" s="136"/>
      <c r="W45" s="136"/>
      <c r="X45" s="164" t="s">
        <v>76</v>
      </c>
      <c r="Y45" s="164"/>
      <c r="Z45" s="164" t="s">
        <v>73</v>
      </c>
      <c r="AA45" s="164" t="s">
        <v>120</v>
      </c>
      <c r="AB45" s="164" t="s">
        <v>99</v>
      </c>
      <c r="AC45" s="90"/>
      <c r="AD45" s="91"/>
      <c r="AE45" s="91"/>
      <c r="AF45" s="91"/>
      <c r="AG45" s="90"/>
      <c r="AH45" s="90"/>
      <c r="AI45" s="90"/>
      <c r="AJ45" s="90"/>
      <c r="AK45" s="90"/>
      <c r="AL45" s="90"/>
      <c r="AM45" s="90"/>
      <c r="AN45" s="91"/>
      <c r="AO45" s="91"/>
      <c r="AP45" s="90"/>
      <c r="AQ45" s="91"/>
      <c r="AR45" s="90"/>
      <c r="AS45" s="91"/>
      <c r="AT45" s="90"/>
      <c r="AX45" s="115"/>
      <c r="AY45" s="91"/>
      <c r="AZ45" s="91"/>
      <c r="BA45" s="90"/>
      <c r="BB45" s="91"/>
      <c r="BC45" s="90"/>
      <c r="BD45" s="90"/>
      <c r="BE45" s="90"/>
      <c r="BF45" s="91"/>
      <c r="BG45" s="90"/>
      <c r="BH45" s="90"/>
      <c r="BI45" s="90"/>
      <c r="BJ45" s="91"/>
      <c r="BK45" s="90"/>
      <c r="BL45" s="90"/>
      <c r="BM45" s="90"/>
      <c r="BN45" s="90"/>
      <c r="BO45" s="90"/>
      <c r="BP45" s="90"/>
      <c r="BQ45" s="90"/>
      <c r="BR45" s="90"/>
      <c r="BS45" s="90"/>
      <c r="BT45" s="90"/>
      <c r="BU45" s="90"/>
      <c r="BV45" s="90"/>
      <c r="BW45" s="90"/>
      <c r="BX45" s="90"/>
      <c r="BY45" s="90"/>
      <c r="BZ45" s="90"/>
      <c r="CA45" s="90"/>
      <c r="CB45" s="90"/>
      <c r="CC45" s="90"/>
      <c r="CD45" s="90"/>
      <c r="CE45" s="90"/>
      <c r="CF45" s="90"/>
      <c r="CG45" s="90"/>
      <c r="CH45" s="90"/>
      <c r="CI45" s="90"/>
      <c r="CJ45" s="90"/>
      <c r="CK45" s="90"/>
      <c r="CL45" s="90"/>
      <c r="CM45" s="90"/>
      <c r="CN45" s="90"/>
      <c r="CO45" s="90"/>
      <c r="CP45" s="90"/>
      <c r="CQ45" s="90"/>
      <c r="CR45" s="90"/>
      <c r="CS45" s="90"/>
      <c r="CT45" s="90"/>
      <c r="CU45" s="90"/>
      <c r="CV45" s="90"/>
      <c r="CW45" s="90"/>
      <c r="CX45" s="90"/>
      <c r="CY45" s="90"/>
      <c r="CZ45" s="90"/>
      <c r="DA45" s="90"/>
      <c r="DB45" s="90"/>
      <c r="DC45" s="90"/>
      <c r="DD45" s="90"/>
      <c r="DE45" s="90"/>
      <c r="DF45" s="90"/>
      <c r="DG45" s="90"/>
      <c r="DH45" s="90"/>
      <c r="DI45" s="90"/>
      <c r="DJ45" s="90"/>
      <c r="DK45" s="90"/>
      <c r="DL45" s="90"/>
      <c r="DM45" s="90"/>
      <c r="DN45" s="90"/>
      <c r="DO45" s="90"/>
      <c r="DP45" s="90"/>
      <c r="DQ45" s="90"/>
      <c r="DR45" s="90"/>
      <c r="DS45" s="90"/>
      <c r="DT45" s="90"/>
      <c r="DU45" s="90"/>
      <c r="DV45" s="90"/>
      <c r="DW45" s="90"/>
      <c r="DX45" s="90"/>
      <c r="DY45" s="90"/>
      <c r="DZ45" s="90"/>
      <c r="EA45" s="90"/>
      <c r="EB45" s="90"/>
      <c r="EC45" s="90"/>
      <c r="ED45" s="90"/>
      <c r="EE45" s="90"/>
      <c r="EF45" s="90"/>
      <c r="EG45" s="90"/>
      <c r="EH45" s="90"/>
      <c r="EI45" s="90"/>
      <c r="EJ45" s="90"/>
      <c r="EK45" s="90"/>
      <c r="EL45" s="90"/>
      <c r="EM45" s="90"/>
      <c r="EN45" s="90"/>
      <c r="EO45" s="90"/>
      <c r="EP45" s="90"/>
      <c r="EQ45" s="90"/>
      <c r="ER45" s="90"/>
      <c r="ES45" s="90"/>
      <c r="ET45" s="90"/>
      <c r="EU45" s="90"/>
      <c r="EV45" s="90"/>
      <c r="EW45" s="90"/>
      <c r="EX45" s="90"/>
      <c r="EY45" s="90"/>
      <c r="EZ45" s="90"/>
      <c r="FA45" s="90"/>
      <c r="FB45" s="90"/>
      <c r="FC45" s="90"/>
      <c r="FD45" s="90"/>
      <c r="FE45" s="90"/>
      <c r="FF45" s="90"/>
      <c r="FG45" s="90"/>
      <c r="FH45" s="90"/>
      <c r="FI45" s="90"/>
      <c r="FJ45" s="90"/>
      <c r="FK45" s="90"/>
      <c r="FL45" s="90"/>
      <c r="FM45" s="90"/>
      <c r="FN45" s="90"/>
      <c r="FO45" s="90"/>
      <c r="FP45" s="90"/>
      <c r="FQ45" s="90"/>
      <c r="FR45" s="90"/>
    </row>
    <row r="46" spans="1:257" ht="49.5" hidden="1">
      <c r="A46" s="136" t="s">
        <v>213</v>
      </c>
      <c r="B46" s="136" t="s">
        <v>120</v>
      </c>
      <c r="C46" s="61" t="s">
        <v>480</v>
      </c>
      <c r="D46" s="156" t="s">
        <v>133</v>
      </c>
      <c r="E46" s="157" t="s">
        <v>134</v>
      </c>
      <c r="F46" s="157">
        <v>13641935971</v>
      </c>
      <c r="G46" s="179">
        <v>43834.5625</v>
      </c>
      <c r="H46" s="157" t="s">
        <v>215</v>
      </c>
      <c r="I46" s="157" t="s">
        <v>324</v>
      </c>
      <c r="J46" s="157" t="s">
        <v>481</v>
      </c>
      <c r="K46" s="157" t="s">
        <v>482</v>
      </c>
      <c r="L46" s="157" t="s">
        <v>327</v>
      </c>
      <c r="M46" s="157" t="s">
        <v>483</v>
      </c>
      <c r="N46" s="157" t="s">
        <v>145</v>
      </c>
      <c r="O46" s="157" t="s">
        <v>347</v>
      </c>
      <c r="P46" s="157" t="s">
        <v>220</v>
      </c>
      <c r="Q46" s="157" t="s">
        <v>221</v>
      </c>
      <c r="R46" s="165">
        <v>43823</v>
      </c>
      <c r="S46" s="149">
        <v>500</v>
      </c>
      <c r="T46" s="136" t="s">
        <v>92</v>
      </c>
      <c r="U46" s="170">
        <v>3312</v>
      </c>
      <c r="V46" s="136">
        <v>2812</v>
      </c>
      <c r="W46" s="136" t="s">
        <v>484</v>
      </c>
      <c r="X46" s="164" t="s">
        <v>76</v>
      </c>
      <c r="Y46" s="164"/>
      <c r="Z46" s="164" t="s">
        <v>73</v>
      </c>
      <c r="AA46" s="164" t="s">
        <v>120</v>
      </c>
      <c r="AB46" s="164" t="s">
        <v>99</v>
      </c>
      <c r="AC46" s="90"/>
      <c r="AD46" s="90"/>
      <c r="AE46" s="90"/>
      <c r="AF46" s="90"/>
      <c r="AG46" s="90"/>
      <c r="AH46" s="90"/>
      <c r="AI46" s="90"/>
      <c r="AJ46" s="90"/>
      <c r="AK46" s="90"/>
      <c r="AL46" s="90"/>
      <c r="AM46" s="90"/>
      <c r="AN46" s="91"/>
      <c r="AO46" s="91"/>
      <c r="AP46" s="90"/>
      <c r="AQ46" s="91"/>
      <c r="AR46" s="91"/>
      <c r="AS46" s="91"/>
      <c r="AT46" s="90"/>
      <c r="AX46" s="115"/>
      <c r="AY46" s="91"/>
      <c r="AZ46" s="91"/>
      <c r="BA46" s="90"/>
      <c r="BB46" s="91"/>
      <c r="BC46" s="90"/>
      <c r="BD46" s="90"/>
      <c r="BE46" s="90"/>
      <c r="BF46" s="91"/>
      <c r="BG46" s="90"/>
      <c r="BH46" s="90"/>
      <c r="BI46" s="90"/>
      <c r="BJ46" s="91"/>
      <c r="BK46" s="90"/>
      <c r="BL46" s="90"/>
      <c r="BM46" s="90"/>
      <c r="BN46" s="90"/>
      <c r="BO46" s="90"/>
      <c r="BP46" s="90"/>
      <c r="BQ46" s="90"/>
      <c r="BR46" s="90"/>
      <c r="BS46" s="90"/>
      <c r="BT46" s="90"/>
      <c r="BU46" s="90"/>
      <c r="BV46" s="90"/>
      <c r="BW46" s="90"/>
      <c r="BX46" s="90"/>
      <c r="BY46" s="90"/>
      <c r="BZ46" s="90"/>
      <c r="CA46" s="90"/>
      <c r="CB46" s="90"/>
      <c r="CC46" s="90"/>
      <c r="CD46" s="90"/>
      <c r="CE46" s="90"/>
      <c r="CF46" s="90"/>
      <c r="CG46" s="90"/>
      <c r="CH46" s="90"/>
      <c r="CI46" s="90"/>
      <c r="CJ46" s="90"/>
      <c r="CK46" s="90"/>
      <c r="CL46" s="90"/>
      <c r="CM46" s="90"/>
      <c r="CN46" s="90"/>
      <c r="CO46" s="90"/>
      <c r="CP46" s="90"/>
      <c r="CQ46" s="90"/>
      <c r="CR46" s="90"/>
      <c r="CS46" s="90"/>
      <c r="CT46" s="90"/>
      <c r="CU46" s="90"/>
      <c r="CV46" s="90"/>
      <c r="CW46" s="90"/>
      <c r="CX46" s="90"/>
      <c r="CY46" s="90"/>
      <c r="CZ46" s="90"/>
      <c r="DA46" s="90"/>
      <c r="DB46" s="90"/>
      <c r="DC46" s="90"/>
      <c r="DD46" s="90"/>
      <c r="DE46" s="90"/>
      <c r="DF46" s="90"/>
      <c r="DG46" s="90"/>
      <c r="DH46" s="90"/>
      <c r="DI46" s="90"/>
      <c r="DJ46" s="90"/>
      <c r="DK46" s="90"/>
      <c r="DL46" s="90"/>
      <c r="DM46" s="90"/>
      <c r="DN46" s="90"/>
      <c r="DO46" s="90"/>
      <c r="DP46" s="90"/>
      <c r="DQ46" s="90"/>
      <c r="DR46" s="90"/>
      <c r="DS46" s="90"/>
      <c r="DT46" s="90"/>
      <c r="DU46" s="90"/>
      <c r="DV46" s="90"/>
      <c r="DW46" s="90"/>
      <c r="DX46" s="90"/>
      <c r="DY46" s="90"/>
      <c r="DZ46" s="90"/>
      <c r="EA46" s="90"/>
      <c r="EB46" s="90"/>
      <c r="EC46" s="90"/>
      <c r="ED46" s="90"/>
      <c r="EE46" s="90"/>
      <c r="EF46" s="90"/>
      <c r="EG46" s="90"/>
      <c r="EH46" s="90"/>
      <c r="EI46" s="90"/>
      <c r="EJ46" s="90"/>
      <c r="EK46" s="90"/>
      <c r="EL46" s="90"/>
      <c r="EM46" s="90"/>
      <c r="EN46" s="90"/>
      <c r="EO46" s="90"/>
      <c r="EP46" s="90"/>
      <c r="EQ46" s="90"/>
      <c r="ER46" s="90"/>
      <c r="ES46" s="90"/>
      <c r="ET46" s="90"/>
      <c r="EU46" s="90"/>
      <c r="EV46" s="90"/>
      <c r="EW46" s="90"/>
      <c r="EX46" s="90"/>
      <c r="EY46" s="90"/>
      <c r="EZ46" s="90"/>
      <c r="FA46" s="90"/>
      <c r="FB46" s="90"/>
      <c r="FC46" s="90"/>
      <c r="FD46" s="90"/>
      <c r="FE46" s="90"/>
      <c r="FF46" s="90"/>
      <c r="FG46" s="90"/>
      <c r="FH46" s="90"/>
      <c r="FI46" s="90"/>
      <c r="FJ46" s="90"/>
      <c r="FK46" s="90"/>
      <c r="FL46" s="90"/>
      <c r="FM46" s="90"/>
      <c r="FN46" s="90"/>
      <c r="FO46" s="90"/>
      <c r="FP46" s="90"/>
      <c r="FQ46" s="90"/>
      <c r="FR46" s="90"/>
      <c r="FS46" s="91"/>
      <c r="FT46" s="91"/>
      <c r="FU46" s="91"/>
      <c r="FV46" s="91"/>
      <c r="FW46" s="91"/>
      <c r="FX46" s="91"/>
      <c r="FY46" s="91"/>
      <c r="FZ46" s="91"/>
      <c r="GA46" s="91"/>
      <c r="GB46" s="91"/>
      <c r="GC46" s="91"/>
      <c r="GD46" s="91"/>
      <c r="GE46" s="91"/>
      <c r="GF46" s="91"/>
      <c r="GG46" s="91"/>
      <c r="GH46" s="91"/>
      <c r="GI46" s="91"/>
      <c r="GJ46" s="91"/>
      <c r="GK46" s="91"/>
      <c r="GL46" s="91"/>
      <c r="GM46" s="91"/>
      <c r="GN46" s="91"/>
      <c r="GO46" s="91"/>
      <c r="GP46" s="91"/>
      <c r="GQ46" s="91"/>
      <c r="GR46" s="91"/>
      <c r="GS46" s="91"/>
      <c r="GT46" s="91"/>
      <c r="GU46" s="91"/>
      <c r="GV46" s="91"/>
      <c r="GW46" s="91"/>
      <c r="GX46" s="91"/>
      <c r="GY46" s="91"/>
      <c r="GZ46" s="91"/>
      <c r="HA46" s="91"/>
      <c r="HB46" s="91"/>
      <c r="HC46" s="91"/>
      <c r="HD46" s="91"/>
      <c r="HE46" s="91"/>
      <c r="HF46" s="91"/>
      <c r="HG46" s="91"/>
      <c r="HH46" s="91"/>
      <c r="HI46" s="91"/>
      <c r="HJ46" s="91"/>
      <c r="HK46" s="91"/>
      <c r="HL46" s="91"/>
      <c r="HM46" s="91"/>
      <c r="HN46" s="91"/>
      <c r="HO46" s="91"/>
      <c r="HP46" s="91"/>
      <c r="HQ46" s="91"/>
      <c r="HR46" s="91"/>
      <c r="HS46" s="91"/>
      <c r="HT46" s="91"/>
      <c r="HU46" s="91"/>
      <c r="HV46" s="91"/>
      <c r="HW46" s="91"/>
      <c r="HX46" s="91"/>
      <c r="HY46" s="91"/>
      <c r="HZ46" s="91"/>
      <c r="IA46" s="91"/>
      <c r="IB46" s="91"/>
      <c r="IC46" s="91"/>
      <c r="ID46" s="91"/>
      <c r="IE46" s="91"/>
      <c r="IF46" s="91"/>
      <c r="IG46" s="91"/>
      <c r="IH46" s="91"/>
      <c r="II46" s="91"/>
      <c r="IJ46" s="91"/>
      <c r="IK46" s="91"/>
      <c r="IL46" s="91"/>
      <c r="IM46" s="91"/>
      <c r="IN46" s="91"/>
      <c r="IO46" s="91"/>
      <c r="IP46" s="91"/>
      <c r="IQ46" s="91"/>
      <c r="IR46" s="91"/>
      <c r="IS46" s="91"/>
      <c r="IT46" s="91"/>
      <c r="IU46" s="91"/>
      <c r="IV46" s="91"/>
      <c r="IW46" s="91"/>
    </row>
    <row r="47" spans="1:257" ht="49.5" hidden="1">
      <c r="A47" s="136" t="s">
        <v>213</v>
      </c>
      <c r="B47" s="136" t="s">
        <v>120</v>
      </c>
      <c r="C47" s="61" t="s">
        <v>485</v>
      </c>
      <c r="D47" s="156" t="s">
        <v>486</v>
      </c>
      <c r="E47" s="178" t="s">
        <v>487</v>
      </c>
      <c r="F47" s="157">
        <v>13564303414</v>
      </c>
      <c r="G47" s="179">
        <v>43883.416666666701</v>
      </c>
      <c r="H47" s="157" t="s">
        <v>215</v>
      </c>
      <c r="I47" s="157" t="s">
        <v>101</v>
      </c>
      <c r="J47" s="157" t="s">
        <v>488</v>
      </c>
      <c r="K47" s="157" t="s">
        <v>482</v>
      </c>
      <c r="L47" s="157" t="s">
        <v>327</v>
      </c>
      <c r="M47" s="157">
        <v>12</v>
      </c>
      <c r="N47" s="157" t="s">
        <v>145</v>
      </c>
      <c r="O47" s="157" t="s">
        <v>255</v>
      </c>
      <c r="P47" s="157" t="s">
        <v>220</v>
      </c>
      <c r="Q47" s="157" t="s">
        <v>221</v>
      </c>
      <c r="R47" s="165">
        <v>43824</v>
      </c>
      <c r="S47" s="149">
        <v>500</v>
      </c>
      <c r="T47" s="136" t="s">
        <v>92</v>
      </c>
      <c r="U47" s="170">
        <v>2880</v>
      </c>
      <c r="V47" s="136">
        <v>2380</v>
      </c>
      <c r="W47" s="175" t="s">
        <v>489</v>
      </c>
      <c r="X47" s="164" t="s">
        <v>64</v>
      </c>
      <c r="Y47" s="164"/>
      <c r="Z47" s="164" t="s">
        <v>73</v>
      </c>
      <c r="AA47" s="164" t="s">
        <v>120</v>
      </c>
      <c r="AB47" s="164" t="s">
        <v>100</v>
      </c>
      <c r="AC47" s="90"/>
      <c r="AD47" s="90"/>
      <c r="AE47" s="90"/>
      <c r="AF47" s="90"/>
      <c r="AG47" s="89"/>
      <c r="AH47" s="90"/>
      <c r="AI47" s="90"/>
      <c r="AJ47" s="90"/>
      <c r="AK47" s="90"/>
      <c r="AL47" s="90"/>
      <c r="AM47" s="90"/>
      <c r="AN47" s="89"/>
      <c r="AO47" s="91"/>
      <c r="AP47" s="89"/>
      <c r="AQ47" s="91"/>
      <c r="AR47" s="89"/>
      <c r="AS47" s="91"/>
      <c r="AT47" s="89"/>
      <c r="AX47" s="115"/>
      <c r="AY47" s="91"/>
      <c r="AZ47" s="91"/>
      <c r="BA47" s="90"/>
      <c r="BB47" s="89"/>
      <c r="BC47" s="90"/>
      <c r="BD47" s="90"/>
      <c r="BE47" s="90"/>
      <c r="BF47" s="89"/>
      <c r="BG47" s="90"/>
      <c r="BH47" s="90"/>
      <c r="BI47" s="90"/>
      <c r="BJ47" s="91"/>
      <c r="BK47" s="90"/>
      <c r="BL47" s="89"/>
      <c r="BM47" s="89"/>
      <c r="BN47" s="90"/>
      <c r="BO47" s="90"/>
      <c r="BP47" s="90"/>
      <c r="BQ47" s="90"/>
      <c r="BR47" s="90"/>
      <c r="BS47" s="90"/>
      <c r="BT47" s="90"/>
      <c r="BU47" s="90"/>
      <c r="BV47" s="90"/>
      <c r="BW47" s="90"/>
      <c r="BX47" s="90"/>
      <c r="BY47" s="90"/>
      <c r="BZ47" s="90"/>
      <c r="CA47" s="90"/>
      <c r="CB47" s="90"/>
      <c r="CC47" s="90"/>
      <c r="CD47" s="90"/>
      <c r="CE47" s="90"/>
      <c r="CF47" s="90"/>
      <c r="CG47" s="90"/>
      <c r="CH47" s="90"/>
      <c r="CI47" s="90"/>
      <c r="CJ47" s="90"/>
      <c r="CK47" s="90"/>
      <c r="CL47" s="90"/>
      <c r="CM47" s="90"/>
      <c r="CN47" s="90"/>
      <c r="CO47" s="90"/>
      <c r="CP47" s="90"/>
      <c r="CQ47" s="90"/>
      <c r="CR47" s="90"/>
      <c r="CS47" s="90"/>
      <c r="CT47" s="90"/>
      <c r="CU47" s="90"/>
      <c r="CV47" s="90"/>
      <c r="CW47" s="90"/>
      <c r="CX47" s="90"/>
      <c r="CY47" s="90"/>
      <c r="CZ47" s="90"/>
      <c r="DA47" s="90"/>
      <c r="DB47" s="90"/>
      <c r="DC47" s="90"/>
      <c r="DD47" s="90"/>
      <c r="DE47" s="90"/>
      <c r="DF47" s="90"/>
      <c r="DG47" s="90"/>
      <c r="DH47" s="90"/>
      <c r="DI47" s="90"/>
      <c r="DJ47" s="90"/>
      <c r="DK47" s="90"/>
      <c r="DL47" s="90"/>
      <c r="DM47" s="90"/>
      <c r="DN47" s="90"/>
      <c r="DO47" s="90"/>
      <c r="DP47" s="90"/>
      <c r="DQ47" s="90"/>
      <c r="DR47" s="90"/>
      <c r="DS47" s="90"/>
      <c r="DT47" s="90"/>
      <c r="DU47" s="90"/>
      <c r="DV47" s="90"/>
      <c r="DW47" s="90"/>
      <c r="DX47" s="90"/>
      <c r="DY47" s="90"/>
      <c r="DZ47" s="90"/>
      <c r="EA47" s="90"/>
      <c r="EB47" s="90"/>
      <c r="EC47" s="90"/>
      <c r="ED47" s="90"/>
      <c r="EE47" s="90"/>
      <c r="EF47" s="90"/>
      <c r="EG47" s="90"/>
      <c r="EH47" s="90"/>
      <c r="EI47" s="90"/>
      <c r="EJ47" s="90"/>
      <c r="EK47" s="90"/>
      <c r="EL47" s="90"/>
      <c r="EM47" s="90"/>
      <c r="EN47" s="90"/>
      <c r="EO47" s="90"/>
      <c r="EP47" s="90"/>
      <c r="EQ47" s="90"/>
      <c r="ER47" s="90"/>
      <c r="ES47" s="90"/>
      <c r="ET47" s="90"/>
      <c r="EU47" s="90"/>
      <c r="EV47" s="90"/>
      <c r="EW47" s="90"/>
      <c r="EX47" s="90"/>
      <c r="EY47" s="90"/>
      <c r="EZ47" s="90"/>
      <c r="FA47" s="90"/>
      <c r="FB47" s="90"/>
      <c r="FC47" s="90"/>
      <c r="FD47" s="90"/>
      <c r="FE47" s="90"/>
      <c r="FF47" s="90"/>
      <c r="FG47" s="90"/>
      <c r="FH47" s="90"/>
      <c r="FI47" s="90"/>
      <c r="FJ47" s="90"/>
      <c r="FK47" s="90"/>
      <c r="FL47" s="90"/>
      <c r="FM47" s="90"/>
      <c r="FN47" s="90"/>
      <c r="FO47" s="90"/>
      <c r="FP47" s="90"/>
      <c r="FQ47" s="90"/>
      <c r="FR47" s="90"/>
      <c r="FS47" s="89"/>
      <c r="FT47" s="89"/>
      <c r="FU47" s="89"/>
      <c r="FV47" s="89"/>
      <c r="FW47" s="89"/>
      <c r="FX47" s="89"/>
      <c r="FY47" s="89"/>
      <c r="FZ47" s="89"/>
      <c r="GA47" s="89"/>
      <c r="GB47" s="89"/>
      <c r="GC47" s="89"/>
      <c r="GD47" s="89"/>
      <c r="GE47" s="89"/>
      <c r="GF47" s="89"/>
      <c r="GG47" s="89"/>
      <c r="GH47" s="89"/>
      <c r="GI47" s="89"/>
      <c r="GJ47" s="89"/>
      <c r="GK47" s="89"/>
      <c r="GL47" s="89"/>
      <c r="GM47" s="89"/>
      <c r="GN47" s="89"/>
      <c r="GO47" s="89"/>
      <c r="GP47" s="89"/>
      <c r="GQ47" s="89"/>
      <c r="GR47" s="89"/>
      <c r="GS47" s="89"/>
      <c r="GT47" s="89"/>
      <c r="GU47" s="89"/>
      <c r="GV47" s="89"/>
      <c r="GW47" s="89"/>
      <c r="GX47" s="89"/>
      <c r="GY47" s="89"/>
      <c r="GZ47" s="89"/>
      <c r="HA47" s="89"/>
      <c r="HB47" s="89"/>
      <c r="HC47" s="89"/>
      <c r="HD47" s="89"/>
      <c r="HE47" s="89"/>
      <c r="HF47" s="89"/>
      <c r="HG47" s="89"/>
      <c r="HH47" s="89"/>
      <c r="HI47" s="89"/>
      <c r="HJ47" s="89"/>
      <c r="HK47" s="89"/>
      <c r="HL47" s="89"/>
      <c r="HM47" s="89"/>
      <c r="HN47" s="89"/>
      <c r="HO47" s="89"/>
      <c r="HP47" s="89"/>
      <c r="HQ47" s="89"/>
      <c r="HR47" s="89"/>
      <c r="HS47" s="89"/>
      <c r="HT47" s="89"/>
      <c r="HU47" s="89"/>
      <c r="HV47" s="89"/>
      <c r="HW47" s="89"/>
      <c r="HX47" s="89"/>
      <c r="HY47" s="89"/>
      <c r="HZ47" s="89"/>
      <c r="IA47" s="89"/>
      <c r="IB47" s="89"/>
      <c r="IC47" s="89"/>
      <c r="ID47" s="89"/>
      <c r="IE47" s="89"/>
      <c r="IF47" s="89"/>
      <c r="IG47" s="89"/>
      <c r="IH47" s="89"/>
      <c r="II47" s="89"/>
      <c r="IJ47" s="89"/>
      <c r="IK47" s="89"/>
      <c r="IL47" s="89"/>
      <c r="IM47" s="89"/>
      <c r="IN47" s="89"/>
      <c r="IO47" s="89"/>
      <c r="IP47" s="89"/>
      <c r="IQ47" s="89"/>
      <c r="IR47" s="89"/>
      <c r="IS47" s="89"/>
      <c r="IT47" s="89"/>
      <c r="IU47" s="89"/>
      <c r="IV47" s="89"/>
      <c r="IW47" s="89"/>
    </row>
    <row r="48" spans="1:257" ht="148.5" hidden="1">
      <c r="A48" s="136" t="s">
        <v>213</v>
      </c>
      <c r="B48" s="136" t="s">
        <v>120</v>
      </c>
      <c r="C48" s="61" t="s">
        <v>490</v>
      </c>
      <c r="D48" s="156" t="s">
        <v>491</v>
      </c>
      <c r="E48" s="178" t="s">
        <v>491</v>
      </c>
      <c r="F48" s="157">
        <v>18616351660</v>
      </c>
      <c r="G48" s="179">
        <v>43832.416666666701</v>
      </c>
      <c r="H48" s="157" t="s">
        <v>215</v>
      </c>
      <c r="I48" s="157" t="s">
        <v>290</v>
      </c>
      <c r="J48" s="157" t="s">
        <v>492</v>
      </c>
      <c r="K48" s="157" t="s">
        <v>227</v>
      </c>
      <c r="L48" s="157" t="s">
        <v>327</v>
      </c>
      <c r="M48" s="157" t="s">
        <v>493</v>
      </c>
      <c r="N48" s="157" t="s">
        <v>106</v>
      </c>
      <c r="O48" s="157" t="s">
        <v>219</v>
      </c>
      <c r="P48" s="157" t="s">
        <v>220</v>
      </c>
      <c r="Q48" s="157" t="s">
        <v>221</v>
      </c>
      <c r="R48" s="165">
        <v>43824</v>
      </c>
      <c r="S48" s="149">
        <v>500</v>
      </c>
      <c r="T48" s="136" t="s">
        <v>90</v>
      </c>
      <c r="U48" s="170">
        <v>4020</v>
      </c>
      <c r="V48" s="136">
        <v>3520</v>
      </c>
      <c r="W48" s="175" t="s">
        <v>494</v>
      </c>
      <c r="X48" s="164" t="s">
        <v>63</v>
      </c>
      <c r="Y48" s="164"/>
      <c r="Z48" s="164" t="s">
        <v>73</v>
      </c>
      <c r="AA48" s="164" t="s">
        <v>120</v>
      </c>
      <c r="AB48" s="164" t="s">
        <v>99</v>
      </c>
      <c r="AC48"/>
      <c r="AD48"/>
      <c r="AE48"/>
      <c r="AF48"/>
      <c r="AG48"/>
      <c r="AH48"/>
      <c r="AI48"/>
      <c r="AJ48"/>
      <c r="AK48"/>
      <c r="AL48"/>
      <c r="AM48"/>
      <c r="AN48"/>
      <c r="AO48"/>
      <c r="AP48" s="139"/>
      <c r="AQ48" s="90"/>
      <c r="AR48"/>
      <c r="AS48" s="90"/>
      <c r="AT48"/>
      <c r="AX48" s="115"/>
      <c r="AY48" s="142"/>
      <c r="AZ48" s="142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</row>
    <row r="49" spans="1:16384" ht="66" hidden="1">
      <c r="A49" s="136" t="s">
        <v>213</v>
      </c>
      <c r="B49" s="136" t="s">
        <v>120</v>
      </c>
      <c r="C49" s="61" t="s">
        <v>495</v>
      </c>
      <c r="D49" s="156" t="s">
        <v>77</v>
      </c>
      <c r="E49" s="157" t="s">
        <v>69</v>
      </c>
      <c r="F49" s="157">
        <v>13816395610</v>
      </c>
      <c r="G49" s="179">
        <v>43835.5625</v>
      </c>
      <c r="H49" s="157" t="s">
        <v>215</v>
      </c>
      <c r="I49" s="157" t="s">
        <v>101</v>
      </c>
      <c r="J49" s="157" t="s">
        <v>496</v>
      </c>
      <c r="K49" s="157" t="s">
        <v>227</v>
      </c>
      <c r="L49" s="157" t="s">
        <v>327</v>
      </c>
      <c r="M49" s="157">
        <v>12</v>
      </c>
      <c r="N49" s="157" t="s">
        <v>145</v>
      </c>
      <c r="O49" s="157" t="s">
        <v>255</v>
      </c>
      <c r="P49" s="157" t="s">
        <v>220</v>
      </c>
      <c r="Q49" s="157" t="s">
        <v>221</v>
      </c>
      <c r="R49" s="165" t="s">
        <v>73</v>
      </c>
      <c r="S49" s="149">
        <v>699</v>
      </c>
      <c r="T49" s="136" t="s">
        <v>73</v>
      </c>
      <c r="U49" s="170">
        <v>2880</v>
      </c>
      <c r="V49" s="136">
        <v>2181</v>
      </c>
      <c r="W49" s="175" t="s">
        <v>497</v>
      </c>
      <c r="X49" s="164" t="s">
        <v>76</v>
      </c>
      <c r="Y49" s="164"/>
      <c r="Z49" s="164" t="s">
        <v>73</v>
      </c>
      <c r="AA49" s="164" t="s">
        <v>120</v>
      </c>
      <c r="AB49" s="164" t="s">
        <v>100</v>
      </c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 s="90"/>
      <c r="AR49"/>
      <c r="AS49" s="90"/>
      <c r="AT49"/>
      <c r="AX49" s="115"/>
      <c r="AY49" s="142"/>
      <c r="AZ49" s="142"/>
      <c r="BA49"/>
      <c r="BB49"/>
      <c r="BC49"/>
      <c r="BD49"/>
      <c r="BE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</row>
    <row r="50" spans="1:16384" ht="49.5" hidden="1">
      <c r="A50" s="136" t="s">
        <v>213</v>
      </c>
      <c r="B50" s="136" t="s">
        <v>120</v>
      </c>
      <c r="C50" s="61" t="s">
        <v>498</v>
      </c>
      <c r="D50" s="156" t="s">
        <v>499</v>
      </c>
      <c r="E50" s="178" t="s">
        <v>500</v>
      </c>
      <c r="F50" s="157">
        <v>15601895753</v>
      </c>
      <c r="G50" s="179">
        <v>43866.520833333299</v>
      </c>
      <c r="H50" s="157" t="s">
        <v>215</v>
      </c>
      <c r="I50" s="157" t="s">
        <v>125</v>
      </c>
      <c r="J50" s="157" t="s">
        <v>501</v>
      </c>
      <c r="K50" s="157" t="s">
        <v>502</v>
      </c>
      <c r="L50" s="157" t="s">
        <v>327</v>
      </c>
      <c r="M50" s="157" t="s">
        <v>268</v>
      </c>
      <c r="N50" s="157" t="s">
        <v>145</v>
      </c>
      <c r="O50" s="157" t="s">
        <v>240</v>
      </c>
      <c r="P50" s="157" t="s">
        <v>220</v>
      </c>
      <c r="Q50" s="157" t="s">
        <v>221</v>
      </c>
      <c r="R50" s="165">
        <v>43824</v>
      </c>
      <c r="S50" s="149">
        <v>3680</v>
      </c>
      <c r="T50" s="136" t="s">
        <v>242</v>
      </c>
      <c r="U50" s="170">
        <v>3680</v>
      </c>
      <c r="V50" s="136">
        <v>0</v>
      </c>
      <c r="W50" s="175" t="s">
        <v>503</v>
      </c>
      <c r="X50" s="164" t="s">
        <v>504</v>
      </c>
      <c r="Y50" s="164" t="s">
        <v>504</v>
      </c>
      <c r="Z50" s="164" t="s">
        <v>73</v>
      </c>
      <c r="AA50" s="164" t="s">
        <v>120</v>
      </c>
      <c r="AB50" s="164" t="s">
        <v>99</v>
      </c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 s="90"/>
      <c r="AR50"/>
      <c r="AS50" s="90"/>
      <c r="AT50"/>
      <c r="AX50" s="115"/>
      <c r="AY50" s="142"/>
      <c r="AZ50" s="142"/>
      <c r="BA50"/>
      <c r="BB50" s="89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</row>
    <row r="51" spans="1:16384" ht="33">
      <c r="A51" s="136"/>
      <c r="B51" s="136" t="s">
        <v>62</v>
      </c>
      <c r="C51" s="61" t="s">
        <v>261</v>
      </c>
      <c r="D51" s="156" t="s">
        <v>84</v>
      </c>
      <c r="E51" s="178" t="s">
        <v>85</v>
      </c>
      <c r="F51" s="157">
        <v>18018671749</v>
      </c>
      <c r="G51" s="179"/>
      <c r="H51" s="157" t="s">
        <v>215</v>
      </c>
      <c r="I51" s="157" t="s">
        <v>103</v>
      </c>
      <c r="J51" s="157"/>
      <c r="K51" s="157"/>
      <c r="L51" s="157"/>
      <c r="M51" s="157"/>
      <c r="N51" s="157"/>
      <c r="O51" s="157"/>
      <c r="P51" s="157"/>
      <c r="Q51" s="157"/>
      <c r="R51" s="165">
        <v>43409</v>
      </c>
      <c r="S51" s="149">
        <v>500</v>
      </c>
      <c r="T51" s="136" t="s">
        <v>92</v>
      </c>
      <c r="U51" s="136"/>
      <c r="V51" s="136">
        <v>2480</v>
      </c>
      <c r="W51" s="186"/>
      <c r="X51" s="164" t="s">
        <v>76</v>
      </c>
      <c r="Y51" s="164"/>
      <c r="Z51" s="164" t="s">
        <v>100</v>
      </c>
      <c r="AA51" s="164"/>
      <c r="AB51" s="164" t="s">
        <v>100</v>
      </c>
      <c r="AC51" s="145"/>
      <c r="AD51" s="142" t="s">
        <v>197</v>
      </c>
      <c r="AE51" s="142" t="s">
        <v>75</v>
      </c>
      <c r="AF51" s="142">
        <v>43008</v>
      </c>
      <c r="AG51" s="90"/>
      <c r="AH51" s="91"/>
      <c r="AI51" s="91"/>
      <c r="AJ51" s="91"/>
      <c r="AK51" s="143"/>
      <c r="AL51" s="90"/>
      <c r="AM51" s="90"/>
      <c r="AN51" s="110">
        <v>43824</v>
      </c>
      <c r="AO51" s="114" t="s">
        <v>64</v>
      </c>
      <c r="AP51" s="114"/>
      <c r="AQ51" s="114">
        <v>10</v>
      </c>
      <c r="AR51" s="114"/>
      <c r="AS51" s="114" t="s">
        <v>130</v>
      </c>
      <c r="AT51" s="114"/>
      <c r="AU51" s="76">
        <v>43824</v>
      </c>
      <c r="AV51" s="78">
        <v>1924.5</v>
      </c>
      <c r="AW51" s="77" t="s">
        <v>262</v>
      </c>
      <c r="AX51" s="115">
        <v>2424.5</v>
      </c>
      <c r="AY51" s="91"/>
      <c r="AZ51" s="91"/>
      <c r="BA51" s="143"/>
      <c r="BB51" s="121"/>
      <c r="BC51" s="143"/>
      <c r="BD51" s="143"/>
      <c r="BE51" s="143"/>
      <c r="BF51" s="143"/>
      <c r="BG51" s="143"/>
      <c r="BH51" s="90"/>
      <c r="BI51" s="90"/>
      <c r="BJ51" s="128"/>
      <c r="BK51" s="143"/>
      <c r="BL51" s="129"/>
      <c r="BM51" s="129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 s="91"/>
      <c r="FT51" s="91"/>
      <c r="FU51" s="91"/>
      <c r="FV51" s="91"/>
      <c r="FW51" s="91"/>
      <c r="FX51" s="91"/>
      <c r="FY51" s="91"/>
      <c r="FZ51" s="91"/>
      <c r="GA51" s="91"/>
      <c r="GB51" s="91"/>
      <c r="GC51" s="91"/>
      <c r="GD51" s="91"/>
      <c r="GE51" s="91"/>
      <c r="GF51" s="91"/>
      <c r="GG51" s="91"/>
      <c r="GH51" s="91"/>
      <c r="GI51" s="91"/>
      <c r="GJ51" s="91"/>
      <c r="GK51" s="91"/>
      <c r="GL51" s="91"/>
      <c r="GM51" s="91"/>
      <c r="GN51" s="91"/>
      <c r="GO51" s="91"/>
      <c r="GP51" s="91"/>
      <c r="GQ51" s="91"/>
      <c r="GR51" s="91"/>
      <c r="GS51" s="91"/>
      <c r="GT51" s="91"/>
      <c r="GU51" s="91"/>
      <c r="GV51" s="91"/>
      <c r="GW51" s="91"/>
      <c r="GX51" s="91"/>
      <c r="GY51" s="91"/>
      <c r="GZ51" s="91"/>
      <c r="HA51" s="91"/>
      <c r="HB51" s="91"/>
      <c r="HC51" s="91"/>
      <c r="HD51" s="91"/>
      <c r="HE51" s="91"/>
      <c r="HF51" s="91"/>
      <c r="HG51" s="91"/>
      <c r="HH51" s="91"/>
      <c r="HI51" s="91"/>
      <c r="HJ51" s="91"/>
      <c r="HK51" s="91"/>
      <c r="HL51" s="91"/>
      <c r="HM51" s="91"/>
      <c r="HN51" s="91"/>
      <c r="HO51" s="91"/>
      <c r="HP51" s="91"/>
      <c r="HQ51" s="91"/>
      <c r="HR51" s="91"/>
      <c r="HS51" s="91"/>
      <c r="HT51" s="91"/>
      <c r="HU51" s="91"/>
      <c r="HV51" s="91"/>
      <c r="HW51" s="91"/>
      <c r="HX51" s="91"/>
      <c r="HY51" s="91"/>
      <c r="HZ51" s="91"/>
      <c r="IA51" s="91"/>
      <c r="IB51" s="91"/>
      <c r="IC51" s="91"/>
      <c r="ID51" s="91"/>
      <c r="IE51" s="91"/>
      <c r="IF51" s="91"/>
      <c r="IG51" s="91"/>
      <c r="IH51" s="91"/>
      <c r="II51" s="91"/>
      <c r="IJ51" s="91"/>
      <c r="IK51" s="91"/>
      <c r="IL51" s="91"/>
      <c r="IM51" s="91"/>
      <c r="IN51" s="91"/>
      <c r="IO51" s="91"/>
      <c r="IP51" s="91"/>
      <c r="IQ51" s="91"/>
      <c r="IR51" s="91"/>
      <c r="IS51" s="91"/>
      <c r="IT51" s="91"/>
      <c r="IU51" s="91"/>
      <c r="IV51" s="91"/>
      <c r="IW51" s="91"/>
    </row>
    <row r="52" spans="1:16384" ht="33" hidden="1">
      <c r="A52" s="136"/>
      <c r="B52" s="136" t="s">
        <v>63</v>
      </c>
      <c r="C52" s="61" t="s">
        <v>505</v>
      </c>
      <c r="D52" s="156" t="s">
        <v>343</v>
      </c>
      <c r="E52" s="178" t="s">
        <v>506</v>
      </c>
      <c r="F52" s="157">
        <v>15800921760</v>
      </c>
      <c r="G52" s="179" t="s">
        <v>151</v>
      </c>
      <c r="H52" s="157" t="s">
        <v>215</v>
      </c>
      <c r="I52" s="157" t="s">
        <v>351</v>
      </c>
      <c r="J52" s="157" t="s">
        <v>507</v>
      </c>
      <c r="K52" s="157" t="s">
        <v>143</v>
      </c>
      <c r="L52" s="157" t="s">
        <v>144</v>
      </c>
      <c r="M52" s="157">
        <v>13</v>
      </c>
      <c r="N52" s="157" t="s">
        <v>145</v>
      </c>
      <c r="O52" s="157" t="s">
        <v>146</v>
      </c>
      <c r="P52" s="157" t="s">
        <v>147</v>
      </c>
      <c r="Q52" s="157"/>
      <c r="R52" s="165">
        <v>43737</v>
      </c>
      <c r="S52" s="149">
        <v>2980</v>
      </c>
      <c r="T52" s="136" t="s">
        <v>132</v>
      </c>
      <c r="U52" s="136"/>
      <c r="V52" s="136" t="s">
        <v>73</v>
      </c>
      <c r="W52" s="175"/>
      <c r="X52" s="164" t="s">
        <v>81</v>
      </c>
      <c r="Y52" s="164" t="s">
        <v>81</v>
      </c>
      <c r="Z52" s="164"/>
      <c r="AA52" s="164" t="s">
        <v>120</v>
      </c>
      <c r="AB52" s="164" t="s">
        <v>99</v>
      </c>
      <c r="AC52" s="103"/>
      <c r="AD52" s="103"/>
      <c r="AE52" s="103"/>
      <c r="AF52" s="103"/>
      <c r="AG52" s="103"/>
      <c r="AH52" s="103"/>
      <c r="AI52" s="103"/>
      <c r="AJ52" s="103"/>
      <c r="AK52" s="103"/>
      <c r="AL52" s="103"/>
      <c r="AM52" s="103"/>
      <c r="AN52" s="187"/>
      <c r="AO52" s="139"/>
      <c r="AP52" s="139"/>
      <c r="AQ52" s="114"/>
      <c r="AR52" s="139"/>
      <c r="AS52" s="114"/>
      <c r="AT52" s="139"/>
      <c r="AX52" s="115"/>
      <c r="AY52" s="142"/>
      <c r="AZ52" s="142"/>
      <c r="BA52" s="135"/>
      <c r="BB52" s="135"/>
      <c r="BC52" s="189"/>
      <c r="BD52" s="135"/>
      <c r="BE52" s="135"/>
      <c r="BF52" s="138"/>
      <c r="BG52" s="134"/>
      <c r="BH52" s="103"/>
      <c r="BI52" s="103"/>
      <c r="BJ52" s="190"/>
      <c r="BK52" s="191"/>
      <c r="BL52" s="192"/>
      <c r="BM52" s="192"/>
      <c r="BN52" s="103"/>
      <c r="BO52" s="103"/>
      <c r="BP52" s="103"/>
      <c r="BQ52" s="103"/>
      <c r="BR52" s="103"/>
      <c r="BS52" s="103"/>
      <c r="BT52" s="103"/>
      <c r="BU52" s="103"/>
      <c r="BV52" s="103"/>
      <c r="BW52" s="103"/>
      <c r="BX52" s="103"/>
      <c r="BY52" s="103"/>
      <c r="BZ52" s="103"/>
      <c r="CA52" s="103"/>
      <c r="CB52" s="103"/>
      <c r="CC52" s="103"/>
      <c r="CD52" s="103"/>
      <c r="CE52" s="103"/>
      <c r="CF52" s="103"/>
      <c r="CG52" s="103"/>
      <c r="CH52" s="103"/>
      <c r="CI52" s="103"/>
      <c r="CJ52" s="103"/>
      <c r="CK52" s="103"/>
      <c r="CL52" s="103"/>
      <c r="CM52" s="103"/>
      <c r="CN52" s="103"/>
      <c r="CO52" s="103"/>
      <c r="CP52" s="103"/>
      <c r="CQ52" s="103"/>
      <c r="CR52" s="103"/>
      <c r="CS52" s="103"/>
      <c r="CT52" s="103"/>
      <c r="CU52" s="103"/>
      <c r="CV52" s="103"/>
      <c r="CW52" s="103"/>
      <c r="CX52" s="103"/>
      <c r="CY52" s="103"/>
      <c r="CZ52" s="103"/>
      <c r="DA52" s="103"/>
      <c r="DB52" s="103"/>
      <c r="DC52" s="103"/>
      <c r="DD52" s="103"/>
      <c r="DE52" s="103"/>
      <c r="DF52" s="103"/>
      <c r="DG52" s="103"/>
      <c r="DH52" s="103"/>
      <c r="DI52" s="103"/>
      <c r="DJ52" s="103"/>
      <c r="DK52" s="103"/>
      <c r="DL52" s="103"/>
      <c r="DM52" s="103"/>
      <c r="DN52" s="103"/>
      <c r="DO52" s="103"/>
      <c r="DP52" s="103"/>
      <c r="DQ52" s="103"/>
      <c r="DR52" s="103"/>
      <c r="DS52" s="103"/>
      <c r="DT52" s="103"/>
      <c r="DU52" s="103"/>
      <c r="DV52" s="103"/>
      <c r="DW52" s="103"/>
      <c r="DX52" s="103"/>
      <c r="DY52" s="103"/>
      <c r="DZ52" s="103"/>
      <c r="EA52" s="103"/>
      <c r="EB52" s="103"/>
      <c r="EC52" s="103"/>
      <c r="ED52" s="103"/>
      <c r="EE52" s="103"/>
      <c r="EF52" s="103"/>
      <c r="EG52" s="103"/>
      <c r="EH52" s="103"/>
      <c r="EI52" s="103"/>
      <c r="EJ52" s="103"/>
      <c r="EK52" s="103"/>
      <c r="EL52" s="103"/>
      <c r="EM52" s="103"/>
      <c r="EN52" s="103"/>
      <c r="EO52" s="103"/>
      <c r="EP52" s="103"/>
      <c r="EQ52" s="103"/>
      <c r="ER52" s="103"/>
      <c r="ES52" s="103"/>
      <c r="ET52" s="103"/>
      <c r="EU52" s="103"/>
      <c r="EV52" s="103"/>
      <c r="EW52" s="103"/>
      <c r="EX52" s="103"/>
      <c r="EY52" s="103"/>
      <c r="EZ52" s="103"/>
      <c r="FA52" s="103"/>
      <c r="FB52" s="103"/>
      <c r="FC52" s="103"/>
      <c r="FD52" s="103"/>
      <c r="FE52" s="103"/>
      <c r="FF52" s="103"/>
      <c r="FG52" s="103"/>
      <c r="FH52" s="103"/>
      <c r="FI52" s="103"/>
      <c r="FJ52" s="103"/>
      <c r="FK52" s="103"/>
      <c r="FL52" s="103"/>
      <c r="FM52" s="103"/>
      <c r="FN52" s="103"/>
      <c r="FO52" s="103"/>
      <c r="FP52" s="103"/>
      <c r="FQ52" s="103"/>
      <c r="FR52" s="103"/>
      <c r="FS52" s="103"/>
      <c r="FT52" s="103"/>
      <c r="FU52" s="103"/>
      <c r="FV52" s="103"/>
      <c r="FW52" s="103"/>
      <c r="FX52" s="103"/>
      <c r="FY52" s="103"/>
      <c r="FZ52" s="103"/>
      <c r="GA52" s="103"/>
      <c r="GB52" s="103"/>
      <c r="GC52" s="103"/>
      <c r="GD52" s="103"/>
      <c r="GE52" s="103"/>
      <c r="GF52" s="103"/>
      <c r="GG52" s="103"/>
      <c r="GH52" s="103"/>
      <c r="GI52" s="103"/>
      <c r="GJ52" s="103"/>
      <c r="GK52" s="103"/>
      <c r="GL52" s="103"/>
      <c r="GM52" s="103"/>
      <c r="GN52" s="103"/>
      <c r="GO52" s="103"/>
      <c r="GP52" s="103"/>
      <c r="GQ52" s="103"/>
      <c r="GR52" s="103"/>
      <c r="GS52" s="103"/>
      <c r="GT52" s="103"/>
      <c r="GU52" s="103"/>
      <c r="GV52" s="103"/>
      <c r="GW52" s="103"/>
      <c r="GX52" s="103"/>
      <c r="GY52" s="103"/>
      <c r="GZ52" s="103"/>
      <c r="HA52" s="103"/>
      <c r="HB52" s="103"/>
      <c r="HC52" s="103"/>
      <c r="HD52" s="103"/>
      <c r="HE52" s="103"/>
      <c r="HF52" s="103"/>
      <c r="HG52" s="103"/>
      <c r="HH52" s="103"/>
      <c r="HI52" s="103"/>
      <c r="HJ52" s="103"/>
      <c r="HK52" s="103"/>
      <c r="HL52" s="103"/>
      <c r="HM52" s="103"/>
      <c r="HN52" s="103"/>
      <c r="HO52" s="103"/>
      <c r="HP52" s="103"/>
      <c r="HQ52" s="103"/>
      <c r="HR52" s="103"/>
      <c r="HS52" s="103"/>
      <c r="HT52" s="103"/>
      <c r="HU52" s="103"/>
      <c r="HV52" s="103"/>
      <c r="HW52" s="103"/>
      <c r="HX52" s="103"/>
      <c r="HY52" s="103"/>
      <c r="HZ52" s="103"/>
      <c r="IA52" s="103"/>
      <c r="IB52" s="103"/>
      <c r="IC52" s="103"/>
      <c r="ID52" s="103"/>
      <c r="IE52" s="103"/>
      <c r="IF52" s="103"/>
      <c r="IG52" s="103"/>
      <c r="IH52" s="103"/>
      <c r="II52" s="103"/>
      <c r="IJ52" s="103"/>
      <c r="IK52" s="103"/>
      <c r="IL52" s="103"/>
      <c r="IM52" s="103"/>
      <c r="IN52" s="103"/>
      <c r="IO52" s="103"/>
      <c r="IP52" s="103"/>
      <c r="IQ52" s="103"/>
      <c r="IR52" s="103"/>
      <c r="IS52" s="103"/>
      <c r="IT52" s="103"/>
      <c r="IU52" s="103"/>
      <c r="IV52" s="103"/>
      <c r="IW52" s="103"/>
      <c r="IX52"/>
      <c r="IY52"/>
      <c r="IZ52"/>
      <c r="JA52"/>
      <c r="JB52"/>
      <c r="JC52"/>
      <c r="JD52"/>
      <c r="JE52"/>
      <c r="JF52"/>
      <c r="JG52"/>
      <c r="JH52"/>
      <c r="JI52"/>
      <c r="JJ52"/>
      <c r="JK52"/>
      <c r="JL52"/>
      <c r="JM52"/>
      <c r="JN52"/>
      <c r="JO52"/>
      <c r="JP52"/>
      <c r="JQ52"/>
      <c r="JR52"/>
      <c r="JS52"/>
      <c r="JT52"/>
      <c r="JU52"/>
      <c r="JV52"/>
      <c r="JW52"/>
      <c r="JX52"/>
      <c r="JY52"/>
      <c r="JZ52"/>
      <c r="KA52"/>
      <c r="KB52"/>
      <c r="KC52"/>
      <c r="KD52"/>
      <c r="KE52"/>
      <c r="KF52"/>
      <c r="KG52"/>
      <c r="KH52"/>
      <c r="KI52"/>
      <c r="KJ52"/>
      <c r="KK52"/>
      <c r="KL52"/>
      <c r="KM52"/>
      <c r="KN52"/>
      <c r="KO52"/>
      <c r="KP52"/>
      <c r="KQ52"/>
      <c r="KR52"/>
      <c r="KS52"/>
      <c r="KT52"/>
      <c r="KU52"/>
      <c r="KV52"/>
      <c r="KW52"/>
      <c r="KX52"/>
      <c r="KY52"/>
      <c r="KZ52"/>
      <c r="LA52"/>
      <c r="LB52"/>
      <c r="LC52"/>
      <c r="LD52"/>
      <c r="LE52"/>
      <c r="LF52"/>
      <c r="LG52"/>
      <c r="LH52"/>
      <c r="LI52"/>
      <c r="LJ52"/>
      <c r="LK52"/>
      <c r="LL52"/>
      <c r="LM52"/>
      <c r="LN52"/>
      <c r="LO52"/>
      <c r="LP52"/>
      <c r="LQ52"/>
      <c r="LR52"/>
      <c r="LS52"/>
      <c r="LT52"/>
      <c r="LU52"/>
      <c r="LV52"/>
      <c r="LW52"/>
      <c r="LX52"/>
      <c r="LY52"/>
      <c r="LZ52"/>
      <c r="MA52"/>
      <c r="MB52"/>
      <c r="MC52"/>
      <c r="MD52"/>
      <c r="ME52"/>
      <c r="MF52"/>
      <c r="MG52"/>
      <c r="MH52"/>
      <c r="MI52"/>
      <c r="MJ52"/>
      <c r="MK52"/>
      <c r="ML52"/>
      <c r="MM52"/>
      <c r="MN52"/>
      <c r="MO52"/>
      <c r="MP52"/>
      <c r="MQ52"/>
      <c r="MR52"/>
      <c r="MS52"/>
      <c r="MT52"/>
      <c r="MU52"/>
      <c r="MV52"/>
      <c r="MW52"/>
      <c r="MX52"/>
      <c r="MY52"/>
      <c r="MZ52"/>
      <c r="NA52"/>
      <c r="NB52"/>
      <c r="NC52"/>
      <c r="ND52"/>
      <c r="NE52"/>
      <c r="NF52"/>
      <c r="NG52"/>
      <c r="NH52"/>
      <c r="NI52"/>
      <c r="NJ52"/>
      <c r="NK52"/>
      <c r="NL52"/>
      <c r="NM52"/>
      <c r="NN52"/>
      <c r="NO52"/>
      <c r="NP52"/>
      <c r="NQ52"/>
      <c r="NR52"/>
      <c r="NS52"/>
      <c r="NT52"/>
      <c r="NU52"/>
      <c r="NV52"/>
      <c r="NW52"/>
      <c r="NX52"/>
      <c r="NY52"/>
      <c r="NZ52"/>
      <c r="OA52"/>
      <c r="OB52"/>
      <c r="OC52"/>
      <c r="OD52"/>
      <c r="OE52"/>
      <c r="OF52"/>
      <c r="OG52"/>
      <c r="OH52"/>
      <c r="OI52"/>
      <c r="OJ52"/>
      <c r="OK52"/>
      <c r="OL52"/>
      <c r="OM52"/>
      <c r="ON52"/>
      <c r="OO52"/>
      <c r="OP52"/>
      <c r="OQ52"/>
      <c r="OR52"/>
      <c r="OS52"/>
      <c r="OT52"/>
      <c r="OU52"/>
      <c r="OV52"/>
      <c r="OW52"/>
      <c r="OX52"/>
      <c r="OY52"/>
      <c r="OZ52"/>
      <c r="PA52"/>
      <c r="PB52"/>
      <c r="PC52"/>
      <c r="PD52"/>
      <c r="PE52"/>
      <c r="PF52"/>
      <c r="PG52"/>
      <c r="PH52"/>
      <c r="PI52"/>
      <c r="PJ52"/>
      <c r="PK52"/>
      <c r="PL52"/>
      <c r="PM52"/>
      <c r="PN52"/>
      <c r="PO52"/>
      <c r="PP52"/>
      <c r="PQ52"/>
      <c r="PR52"/>
      <c r="PS52"/>
      <c r="PT52"/>
      <c r="PU52"/>
      <c r="PV52"/>
      <c r="PW52"/>
      <c r="PX52"/>
      <c r="PY52"/>
      <c r="PZ52"/>
      <c r="QA52"/>
      <c r="QB52"/>
      <c r="QC52"/>
      <c r="QD52"/>
      <c r="QE52"/>
      <c r="QF52"/>
      <c r="QG52"/>
      <c r="QH52"/>
      <c r="QI52"/>
      <c r="QJ52"/>
      <c r="QK52"/>
      <c r="QL52"/>
      <c r="QM52"/>
      <c r="QN52"/>
      <c r="QO52"/>
      <c r="QP52"/>
      <c r="QQ52"/>
      <c r="QR52"/>
      <c r="QS52"/>
      <c r="QT52"/>
      <c r="QU52"/>
      <c r="QV52"/>
      <c r="QW52"/>
      <c r="QX52"/>
      <c r="QY52"/>
      <c r="QZ52"/>
      <c r="RA52"/>
      <c r="RB52"/>
      <c r="RC52"/>
      <c r="RD52"/>
      <c r="RE52"/>
      <c r="RF52"/>
      <c r="RG52"/>
      <c r="RH52"/>
      <c r="RI52"/>
      <c r="RJ52"/>
      <c r="RK52"/>
      <c r="RL52"/>
      <c r="RM52"/>
      <c r="RN52"/>
      <c r="RO52"/>
      <c r="RP52"/>
      <c r="RQ52"/>
      <c r="RR52"/>
      <c r="RS52"/>
      <c r="RT52"/>
      <c r="RU52"/>
      <c r="RV52"/>
      <c r="RW52"/>
      <c r="RX52"/>
      <c r="RY52"/>
      <c r="RZ52"/>
      <c r="SA52"/>
      <c r="SB52"/>
      <c r="SC52"/>
      <c r="SD52"/>
      <c r="SE52"/>
      <c r="SF52"/>
      <c r="SG52"/>
      <c r="SH52"/>
      <c r="SI52"/>
      <c r="SJ52"/>
      <c r="SK52"/>
      <c r="SL52"/>
      <c r="SM52"/>
      <c r="SN52"/>
      <c r="SO52"/>
      <c r="SP52"/>
      <c r="SQ52"/>
      <c r="SR52"/>
      <c r="SS52"/>
      <c r="ST52"/>
      <c r="SU52"/>
      <c r="SV52"/>
      <c r="SW52"/>
      <c r="SX52"/>
      <c r="SY52"/>
      <c r="SZ52"/>
      <c r="TA52"/>
      <c r="TB52"/>
      <c r="TC52"/>
      <c r="TD52"/>
      <c r="TE52"/>
      <c r="TF52"/>
      <c r="TG52"/>
      <c r="TH52"/>
      <c r="TI52"/>
      <c r="TJ52"/>
      <c r="TK52"/>
      <c r="TL52"/>
      <c r="TM52"/>
      <c r="TN52"/>
      <c r="TO52"/>
      <c r="TP52"/>
      <c r="TQ52"/>
      <c r="TR52"/>
      <c r="TS52"/>
      <c r="TT52"/>
      <c r="TU52"/>
      <c r="TV52"/>
      <c r="TW52"/>
      <c r="TX52"/>
      <c r="TY52"/>
      <c r="TZ52"/>
      <c r="UA52"/>
      <c r="UB52"/>
      <c r="UC52"/>
      <c r="UD52"/>
      <c r="UE52"/>
      <c r="UF52"/>
      <c r="UG52"/>
      <c r="UH52"/>
      <c r="UI52"/>
      <c r="UJ52"/>
      <c r="UK52"/>
      <c r="UL52"/>
      <c r="UM52"/>
      <c r="UN52"/>
      <c r="UO52"/>
      <c r="UP52"/>
      <c r="UQ52"/>
      <c r="UR52"/>
      <c r="US52"/>
      <c r="UT52"/>
      <c r="UU52"/>
      <c r="UV52"/>
      <c r="UW52"/>
      <c r="UX52"/>
      <c r="UY52"/>
      <c r="UZ52"/>
      <c r="VA52"/>
      <c r="VB52"/>
      <c r="VC52"/>
      <c r="VD52"/>
      <c r="VE52"/>
      <c r="VF52"/>
      <c r="VG52"/>
      <c r="VH52"/>
      <c r="VI52"/>
      <c r="VJ52"/>
      <c r="VK52"/>
      <c r="VL52"/>
      <c r="VM52"/>
      <c r="VN52"/>
      <c r="VO52"/>
      <c r="VP52"/>
      <c r="VQ52"/>
      <c r="VR52"/>
      <c r="VS52"/>
      <c r="VT52"/>
      <c r="VU52"/>
      <c r="VV52"/>
      <c r="VW52"/>
      <c r="VX52"/>
      <c r="VY52"/>
      <c r="VZ52"/>
      <c r="WA52"/>
      <c r="WB52"/>
      <c r="WC52"/>
      <c r="WD52"/>
      <c r="WE52"/>
      <c r="WF52"/>
      <c r="WG52"/>
      <c r="WH52"/>
      <c r="WI52"/>
      <c r="WJ52"/>
      <c r="WK52"/>
      <c r="WL52"/>
      <c r="WM52"/>
      <c r="WN52"/>
      <c r="WO52"/>
      <c r="WP52"/>
      <c r="WQ52"/>
      <c r="WR52"/>
      <c r="WS52"/>
      <c r="WT52"/>
      <c r="WU52"/>
      <c r="WV52"/>
      <c r="WW52"/>
      <c r="WX52"/>
      <c r="WY52"/>
      <c r="WZ52"/>
      <c r="XA52"/>
      <c r="XB52"/>
      <c r="XC52"/>
      <c r="XD52"/>
      <c r="XE52"/>
      <c r="XF52"/>
      <c r="XG52"/>
      <c r="XH52"/>
      <c r="XI52"/>
      <c r="XJ52"/>
      <c r="XK52"/>
      <c r="XL52"/>
      <c r="XM52"/>
      <c r="XN52"/>
      <c r="XO52"/>
      <c r="XP52"/>
      <c r="XQ52"/>
      <c r="XR52"/>
      <c r="XS52"/>
      <c r="XT52"/>
      <c r="XU52"/>
      <c r="XV52"/>
      <c r="XW52"/>
      <c r="XX52"/>
      <c r="XY52"/>
      <c r="XZ52"/>
      <c r="YA52"/>
      <c r="YB52"/>
      <c r="YC52"/>
      <c r="YD52"/>
      <c r="YE52"/>
      <c r="YF52"/>
      <c r="YG52"/>
      <c r="YH52"/>
      <c r="YI52"/>
      <c r="YJ52"/>
      <c r="YK52"/>
      <c r="YL52"/>
      <c r="YM52"/>
      <c r="YN52"/>
      <c r="YO52"/>
      <c r="YP52"/>
      <c r="YQ52"/>
      <c r="YR52"/>
      <c r="YS52"/>
      <c r="YT52"/>
      <c r="YU52"/>
      <c r="YV52"/>
      <c r="YW52"/>
      <c r="YX52"/>
      <c r="YY52"/>
      <c r="YZ52"/>
      <c r="ZA52"/>
      <c r="ZB52"/>
      <c r="ZC52"/>
      <c r="ZD52"/>
      <c r="ZE52"/>
      <c r="ZF52"/>
      <c r="ZG52"/>
      <c r="ZH52"/>
      <c r="ZI52"/>
      <c r="ZJ52"/>
      <c r="ZK52"/>
      <c r="ZL52"/>
      <c r="ZM52"/>
      <c r="ZN52"/>
      <c r="ZO52"/>
      <c r="ZP52"/>
      <c r="ZQ52"/>
      <c r="ZR52"/>
      <c r="ZS52"/>
      <c r="ZT52"/>
      <c r="ZU52"/>
      <c r="ZV52"/>
      <c r="ZW52"/>
      <c r="ZX52"/>
      <c r="ZY52"/>
      <c r="ZZ52"/>
      <c r="AAA52"/>
      <c r="AAB52"/>
      <c r="AAC52"/>
      <c r="AAD52"/>
      <c r="AAE52"/>
      <c r="AAF52"/>
      <c r="AAG52"/>
      <c r="AAH52"/>
      <c r="AAI52"/>
      <c r="AAJ52"/>
      <c r="AAK52"/>
      <c r="AAL52"/>
      <c r="AAM52"/>
      <c r="AAN52"/>
      <c r="AAO52"/>
      <c r="AAP52"/>
      <c r="AAQ52"/>
      <c r="AAR52"/>
      <c r="AAS52"/>
      <c r="AAT52"/>
      <c r="AAU52"/>
      <c r="AAV52"/>
      <c r="AAW52"/>
      <c r="AAX52"/>
      <c r="AAY52"/>
      <c r="AAZ52"/>
      <c r="ABA52"/>
      <c r="ABB52"/>
      <c r="ABC52"/>
      <c r="ABD52"/>
      <c r="ABE52"/>
      <c r="ABF52"/>
      <c r="ABG52"/>
      <c r="ABH52"/>
      <c r="ABI52"/>
      <c r="ABJ52"/>
      <c r="ABK52"/>
      <c r="ABL52"/>
      <c r="ABM52"/>
      <c r="ABN52"/>
      <c r="ABO52"/>
      <c r="ABP52"/>
      <c r="ABQ52"/>
      <c r="ABR52"/>
      <c r="ABS52"/>
      <c r="ABT52"/>
      <c r="ABU52"/>
      <c r="ABV52"/>
      <c r="ABW52"/>
      <c r="ABX52"/>
      <c r="ABY52"/>
      <c r="ABZ52"/>
      <c r="ACA52"/>
      <c r="ACB52"/>
      <c r="ACC52"/>
      <c r="ACD52"/>
      <c r="ACE52"/>
      <c r="ACF52"/>
      <c r="ACG52"/>
      <c r="ACH52"/>
      <c r="ACI52"/>
      <c r="ACJ52"/>
      <c r="ACK52"/>
      <c r="ACL52"/>
      <c r="ACM52"/>
      <c r="ACN52"/>
      <c r="ACO52"/>
      <c r="ACP52"/>
      <c r="ACQ52"/>
      <c r="ACR52"/>
      <c r="ACS52"/>
      <c r="ACT52"/>
      <c r="ACU52"/>
      <c r="ACV52"/>
      <c r="ACW52"/>
      <c r="ACX52"/>
      <c r="ACY52"/>
      <c r="ACZ52"/>
      <c r="ADA52"/>
      <c r="ADB52"/>
      <c r="ADC52"/>
      <c r="ADD52"/>
      <c r="ADE52"/>
      <c r="ADF52"/>
      <c r="ADG52"/>
      <c r="ADH52"/>
      <c r="ADI52"/>
      <c r="ADJ52"/>
      <c r="ADK52"/>
      <c r="ADL52"/>
      <c r="ADM52"/>
      <c r="ADN52"/>
      <c r="ADO52"/>
      <c r="ADP52"/>
      <c r="ADQ52"/>
      <c r="ADR52"/>
      <c r="ADS52"/>
      <c r="ADT52"/>
      <c r="ADU52"/>
      <c r="ADV52"/>
      <c r="ADW52"/>
      <c r="ADX52"/>
      <c r="ADY52"/>
      <c r="ADZ52"/>
      <c r="AEA52"/>
      <c r="AEB52"/>
      <c r="AEC52"/>
      <c r="AED52"/>
      <c r="AEE52"/>
      <c r="AEF52"/>
      <c r="AEG52"/>
      <c r="AEH52"/>
      <c r="AEI52"/>
      <c r="AEJ52"/>
      <c r="AEK52"/>
      <c r="AEL52"/>
      <c r="AEM52"/>
      <c r="AEN52"/>
      <c r="AEO52"/>
      <c r="AEP52"/>
      <c r="AEQ52"/>
      <c r="AER52"/>
      <c r="AES52"/>
      <c r="AET52"/>
      <c r="AEU52"/>
      <c r="AEV52"/>
      <c r="AEW52"/>
      <c r="AEX52"/>
      <c r="AEY52"/>
      <c r="AEZ52"/>
      <c r="AFA52"/>
      <c r="AFB52"/>
      <c r="AFC52"/>
      <c r="AFD52"/>
      <c r="AFE52"/>
      <c r="AFF52"/>
      <c r="AFG52"/>
      <c r="AFH52"/>
      <c r="AFI52"/>
      <c r="AFJ52"/>
      <c r="AFK52"/>
      <c r="AFL52"/>
      <c r="AFM52"/>
      <c r="AFN52"/>
      <c r="AFO52"/>
      <c r="AFP52"/>
      <c r="AFQ52"/>
      <c r="AFR52"/>
      <c r="AFS52"/>
      <c r="AFT52"/>
      <c r="AFU52"/>
      <c r="AFV52"/>
      <c r="AFW52"/>
      <c r="AFX52"/>
      <c r="AFY52"/>
      <c r="AFZ52"/>
      <c r="AGA52"/>
      <c r="AGB52"/>
      <c r="AGC52"/>
      <c r="AGD52"/>
      <c r="AGE52"/>
      <c r="AGF52"/>
      <c r="AGG52"/>
      <c r="AGH52"/>
      <c r="AGI52"/>
      <c r="AGJ52"/>
      <c r="AGK52"/>
      <c r="AGL52"/>
      <c r="AGM52"/>
      <c r="AGN52"/>
      <c r="AGO52"/>
      <c r="AGP52"/>
      <c r="AGQ52"/>
      <c r="AGR52"/>
      <c r="AGS52"/>
      <c r="AGT52"/>
      <c r="AGU52"/>
      <c r="AGV52"/>
      <c r="AGW52"/>
      <c r="AGX52"/>
      <c r="AGY52"/>
      <c r="AGZ52"/>
      <c r="AHA52"/>
      <c r="AHB52"/>
      <c r="AHC52"/>
      <c r="AHD52"/>
      <c r="AHE52"/>
      <c r="AHF52"/>
      <c r="AHG52"/>
      <c r="AHH52"/>
      <c r="AHI52"/>
      <c r="AHJ52"/>
      <c r="AHK52"/>
      <c r="AHL52"/>
      <c r="AHM52"/>
      <c r="AHN52"/>
      <c r="AHO52"/>
      <c r="AHP52"/>
      <c r="AHQ52"/>
      <c r="AHR52"/>
      <c r="AHS52"/>
      <c r="AHT52"/>
      <c r="AHU52"/>
      <c r="AHV52"/>
      <c r="AHW52"/>
      <c r="AHX52"/>
      <c r="AHY52"/>
      <c r="AHZ52"/>
      <c r="AIA52"/>
      <c r="AIB52"/>
      <c r="AIC52"/>
      <c r="AID52"/>
      <c r="AIE52"/>
      <c r="AIF52"/>
      <c r="AIG52"/>
      <c r="AIH52"/>
      <c r="AII52"/>
      <c r="AIJ52"/>
      <c r="AIK52"/>
      <c r="AIL52"/>
      <c r="AIM52"/>
      <c r="AIN52"/>
      <c r="AIO52"/>
      <c r="AIP52"/>
      <c r="AIQ52"/>
      <c r="AIR52"/>
      <c r="AIS52"/>
      <c r="AIT52"/>
      <c r="AIU52"/>
      <c r="AIV52"/>
      <c r="AIW52"/>
      <c r="AIX52"/>
      <c r="AIY52"/>
      <c r="AIZ52"/>
      <c r="AJA52"/>
      <c r="AJB52"/>
      <c r="AJC52"/>
      <c r="AJD52"/>
      <c r="AJE52"/>
      <c r="AJF52"/>
      <c r="AJG52"/>
      <c r="AJH52"/>
      <c r="AJI52"/>
      <c r="AJJ52"/>
      <c r="AJK52"/>
      <c r="AJL52"/>
      <c r="AJM52"/>
      <c r="AJN52"/>
      <c r="AJO52"/>
      <c r="AJP52"/>
      <c r="AJQ52"/>
      <c r="AJR52"/>
      <c r="AJS52"/>
      <c r="AJT52"/>
      <c r="AJU52"/>
      <c r="AJV52"/>
      <c r="AJW52"/>
      <c r="AJX52"/>
      <c r="AJY52"/>
      <c r="AJZ52"/>
      <c r="AKA52"/>
      <c r="AKB52"/>
      <c r="AKC52"/>
      <c r="AKD52"/>
      <c r="AKE52"/>
      <c r="AKF52"/>
      <c r="AKG52"/>
      <c r="AKH52"/>
      <c r="AKI52"/>
      <c r="AKJ52"/>
      <c r="AKK52"/>
      <c r="AKL52"/>
      <c r="AKM52"/>
      <c r="AKN52"/>
      <c r="AKO52"/>
      <c r="AKP52"/>
      <c r="AKQ52"/>
      <c r="AKR52"/>
      <c r="AKS52"/>
      <c r="AKT52"/>
      <c r="AKU52"/>
      <c r="AKV52"/>
      <c r="AKW52"/>
      <c r="AKX52"/>
      <c r="AKY52"/>
      <c r="AKZ52"/>
      <c r="ALA52"/>
      <c r="ALB52"/>
      <c r="ALC52"/>
      <c r="ALD52"/>
      <c r="ALE52"/>
      <c r="ALF52"/>
      <c r="ALG52"/>
      <c r="ALH52"/>
      <c r="ALI52"/>
      <c r="ALJ52"/>
      <c r="ALK52"/>
      <c r="ALL52"/>
      <c r="ALM52"/>
      <c r="ALN52"/>
      <c r="ALO52"/>
      <c r="ALP52"/>
      <c r="ALQ52"/>
      <c r="ALR52"/>
      <c r="ALS52"/>
      <c r="ALT52"/>
      <c r="ALU52"/>
      <c r="ALV52"/>
      <c r="ALW52"/>
      <c r="ALX52"/>
      <c r="ALY52"/>
      <c r="ALZ52"/>
      <c r="AMA52"/>
      <c r="AMB52"/>
      <c r="AMC52"/>
      <c r="AMD52"/>
      <c r="AME52"/>
      <c r="AMF52"/>
      <c r="AMG52"/>
      <c r="AMH52"/>
      <c r="AMI52"/>
      <c r="AMJ52"/>
      <c r="AMK52"/>
      <c r="AML52"/>
      <c r="AMM52"/>
      <c r="AMN52"/>
      <c r="AMO52"/>
      <c r="AMP52"/>
      <c r="AMQ52"/>
      <c r="AMR52"/>
      <c r="AMS52"/>
      <c r="AMT52"/>
      <c r="AMU52"/>
      <c r="AMV52"/>
      <c r="AMW52"/>
      <c r="AMX52"/>
      <c r="AMY52"/>
      <c r="AMZ52"/>
      <c r="ANA52"/>
      <c r="ANB52"/>
      <c r="ANC52"/>
      <c r="AND52"/>
      <c r="ANE52"/>
      <c r="ANF52"/>
      <c r="ANG52"/>
      <c r="ANH52"/>
      <c r="ANI52"/>
      <c r="ANJ52"/>
      <c r="ANK52"/>
      <c r="ANL52"/>
      <c r="ANM52"/>
      <c r="ANN52"/>
      <c r="ANO52"/>
      <c r="ANP52"/>
      <c r="ANQ52"/>
      <c r="ANR52"/>
      <c r="ANS52"/>
      <c r="ANT52"/>
      <c r="ANU52"/>
      <c r="ANV52"/>
      <c r="ANW52"/>
      <c r="ANX52"/>
      <c r="ANY52"/>
      <c r="ANZ52"/>
      <c r="AOA52"/>
      <c r="AOB52"/>
      <c r="AOC52"/>
      <c r="AOD52"/>
      <c r="AOE52"/>
      <c r="AOF52"/>
      <c r="AOG52"/>
      <c r="AOH52"/>
      <c r="AOI52"/>
      <c r="AOJ52"/>
      <c r="AOK52"/>
      <c r="AOL52"/>
      <c r="AOM52"/>
      <c r="AON52"/>
      <c r="AOO52"/>
      <c r="AOP52"/>
      <c r="AOQ52"/>
      <c r="AOR52"/>
      <c r="AOS52"/>
      <c r="AOT52"/>
      <c r="AOU52"/>
      <c r="AOV52"/>
      <c r="AOW52"/>
      <c r="AOX52"/>
      <c r="AOY52"/>
      <c r="AOZ52"/>
      <c r="APA52"/>
      <c r="APB52"/>
      <c r="APC52"/>
      <c r="APD52"/>
      <c r="APE52"/>
      <c r="APF52"/>
      <c r="APG52"/>
      <c r="APH52"/>
      <c r="API52"/>
      <c r="APJ52"/>
      <c r="APK52"/>
      <c r="APL52"/>
      <c r="APM52"/>
      <c r="APN52"/>
      <c r="APO52"/>
      <c r="APP52"/>
      <c r="APQ52"/>
      <c r="APR52"/>
      <c r="APS52"/>
      <c r="APT52"/>
      <c r="APU52"/>
      <c r="APV52"/>
      <c r="APW52"/>
      <c r="APX52"/>
      <c r="APY52"/>
      <c r="APZ52"/>
      <c r="AQA52"/>
      <c r="AQB52"/>
      <c r="AQC52"/>
      <c r="AQD52"/>
      <c r="AQE52"/>
      <c r="AQF52"/>
      <c r="AQG52"/>
      <c r="AQH52"/>
      <c r="AQI52"/>
      <c r="AQJ52"/>
      <c r="AQK52"/>
      <c r="AQL52"/>
      <c r="AQM52"/>
      <c r="AQN52"/>
      <c r="AQO52"/>
      <c r="AQP52"/>
      <c r="AQQ52"/>
      <c r="AQR52"/>
      <c r="AQS52"/>
      <c r="AQT52"/>
      <c r="AQU52"/>
      <c r="AQV52"/>
      <c r="AQW52"/>
      <c r="AQX52"/>
      <c r="AQY52"/>
      <c r="AQZ52"/>
      <c r="ARA52"/>
      <c r="ARB52"/>
      <c r="ARC52"/>
      <c r="ARD52"/>
      <c r="ARE52"/>
      <c r="ARF52"/>
      <c r="ARG52"/>
      <c r="ARH52"/>
      <c r="ARI52"/>
      <c r="ARJ52"/>
      <c r="ARK52"/>
      <c r="ARL52"/>
      <c r="ARM52"/>
      <c r="ARN52"/>
      <c r="ARO52"/>
      <c r="ARP52"/>
      <c r="ARQ52"/>
      <c r="ARR52"/>
      <c r="ARS52"/>
      <c r="ART52"/>
      <c r="ARU52"/>
      <c r="ARV52"/>
      <c r="ARW52"/>
      <c r="ARX52"/>
      <c r="ARY52"/>
      <c r="ARZ52"/>
      <c r="ASA52"/>
      <c r="ASB52"/>
      <c r="ASC52"/>
      <c r="ASD52"/>
      <c r="ASE52"/>
      <c r="ASF52"/>
      <c r="ASG52"/>
      <c r="ASH52"/>
      <c r="ASI52"/>
      <c r="ASJ52"/>
      <c r="ASK52"/>
      <c r="ASL52"/>
      <c r="ASM52"/>
      <c r="ASN52"/>
      <c r="ASO52"/>
      <c r="ASP52"/>
      <c r="ASQ52"/>
      <c r="ASR52"/>
      <c r="ASS52"/>
      <c r="AST52"/>
      <c r="ASU52"/>
      <c r="ASV52"/>
      <c r="ASW52"/>
      <c r="ASX52"/>
      <c r="ASY52"/>
      <c r="ASZ52"/>
      <c r="ATA52"/>
      <c r="ATB52"/>
      <c r="ATC52"/>
      <c r="ATD52"/>
      <c r="ATE52"/>
      <c r="ATF52"/>
      <c r="ATG52"/>
      <c r="ATH52"/>
      <c r="ATI52"/>
      <c r="ATJ52"/>
      <c r="ATK52"/>
      <c r="ATL52"/>
      <c r="ATM52"/>
      <c r="ATN52"/>
      <c r="ATO52"/>
      <c r="ATP52"/>
      <c r="ATQ52"/>
      <c r="ATR52"/>
      <c r="ATS52"/>
      <c r="ATT52"/>
      <c r="ATU52"/>
      <c r="ATV52"/>
      <c r="ATW52"/>
      <c r="ATX52"/>
      <c r="ATY52"/>
      <c r="ATZ52"/>
      <c r="AUA52"/>
      <c r="AUB52"/>
      <c r="AUC52"/>
      <c r="AUD52"/>
      <c r="AUE52"/>
      <c r="AUF52"/>
      <c r="AUG52"/>
      <c r="AUH52"/>
      <c r="AUI52"/>
      <c r="AUJ52"/>
      <c r="AUK52"/>
      <c r="AUL52"/>
      <c r="AUM52"/>
      <c r="AUN52"/>
      <c r="AUO52"/>
      <c r="AUP52"/>
      <c r="AUQ52"/>
      <c r="AUR52"/>
      <c r="AUS52"/>
      <c r="AUT52"/>
      <c r="AUU52"/>
      <c r="AUV52"/>
      <c r="AUW52"/>
      <c r="AUX52"/>
      <c r="AUY52"/>
      <c r="AUZ52"/>
      <c r="AVA52"/>
      <c r="AVB52"/>
      <c r="AVC52"/>
      <c r="AVD52"/>
      <c r="AVE52"/>
      <c r="AVF52"/>
      <c r="AVG52"/>
      <c r="AVH52"/>
      <c r="AVI52"/>
      <c r="AVJ52"/>
      <c r="AVK52"/>
      <c r="AVL52"/>
      <c r="AVM52"/>
      <c r="AVN52"/>
      <c r="AVO52"/>
      <c r="AVP52"/>
      <c r="AVQ52"/>
      <c r="AVR52"/>
      <c r="AVS52"/>
      <c r="AVT52"/>
      <c r="AVU52"/>
      <c r="AVV52"/>
      <c r="AVW52"/>
      <c r="AVX52"/>
      <c r="AVY52"/>
      <c r="AVZ52"/>
      <c r="AWA52"/>
      <c r="AWB52"/>
      <c r="AWC52"/>
      <c r="AWD52"/>
      <c r="AWE52"/>
      <c r="AWF52"/>
      <c r="AWG52"/>
      <c r="AWH52"/>
      <c r="AWI52"/>
      <c r="AWJ52"/>
      <c r="AWK52"/>
      <c r="AWL52"/>
      <c r="AWM52"/>
      <c r="AWN52"/>
      <c r="AWO52"/>
      <c r="AWP52"/>
      <c r="AWQ52"/>
      <c r="AWR52"/>
      <c r="AWS52"/>
      <c r="AWT52"/>
      <c r="AWU52"/>
      <c r="AWV52"/>
      <c r="AWW52"/>
      <c r="AWX52"/>
      <c r="AWY52"/>
      <c r="AWZ52"/>
      <c r="AXA52"/>
      <c r="AXB52"/>
      <c r="AXC52"/>
      <c r="AXD52"/>
      <c r="AXE52"/>
      <c r="AXF52"/>
      <c r="AXG52"/>
      <c r="AXH52"/>
      <c r="AXI52"/>
      <c r="AXJ52"/>
      <c r="AXK52"/>
      <c r="AXL52"/>
      <c r="AXM52"/>
      <c r="AXN52"/>
      <c r="AXO52"/>
      <c r="AXP52"/>
      <c r="AXQ52"/>
      <c r="AXR52"/>
      <c r="AXS52"/>
      <c r="AXT52"/>
      <c r="AXU52"/>
      <c r="AXV52"/>
      <c r="AXW52"/>
      <c r="AXX52"/>
      <c r="AXY52"/>
      <c r="AXZ52"/>
      <c r="AYA52"/>
      <c r="AYB52"/>
      <c r="AYC52"/>
      <c r="AYD52"/>
      <c r="AYE52"/>
      <c r="AYF52"/>
      <c r="AYG52"/>
      <c r="AYH52"/>
      <c r="AYI52"/>
      <c r="AYJ52"/>
      <c r="AYK52"/>
      <c r="AYL52"/>
      <c r="AYM52"/>
      <c r="AYN52"/>
      <c r="AYO52"/>
      <c r="AYP52"/>
      <c r="AYQ52"/>
      <c r="AYR52"/>
      <c r="AYS52"/>
      <c r="AYT52"/>
      <c r="AYU52"/>
      <c r="AYV52"/>
      <c r="AYW52"/>
      <c r="AYX52"/>
      <c r="AYY52"/>
      <c r="AYZ52"/>
      <c r="AZA52"/>
      <c r="AZB52"/>
      <c r="AZC52"/>
      <c r="AZD52"/>
      <c r="AZE52"/>
      <c r="AZF52"/>
      <c r="AZG52"/>
      <c r="AZH52"/>
      <c r="AZI52"/>
      <c r="AZJ52"/>
      <c r="AZK52"/>
      <c r="AZL52"/>
      <c r="AZM52"/>
      <c r="AZN52"/>
      <c r="AZO52"/>
      <c r="AZP52"/>
      <c r="AZQ52"/>
      <c r="AZR52"/>
      <c r="AZS52"/>
      <c r="AZT52"/>
      <c r="AZU52"/>
      <c r="AZV52"/>
      <c r="AZW52"/>
      <c r="AZX52"/>
      <c r="AZY52"/>
      <c r="AZZ52"/>
      <c r="BAA52"/>
      <c r="BAB52"/>
      <c r="BAC52"/>
      <c r="BAD52"/>
      <c r="BAE52"/>
      <c r="BAF52"/>
      <c r="BAG52"/>
      <c r="BAH52"/>
      <c r="BAI52"/>
      <c r="BAJ52"/>
      <c r="BAK52"/>
      <c r="BAL52"/>
      <c r="BAM52"/>
      <c r="BAN52"/>
      <c r="BAO52"/>
      <c r="BAP52"/>
      <c r="BAQ52"/>
      <c r="BAR52"/>
      <c r="BAS52"/>
      <c r="BAT52"/>
      <c r="BAU52"/>
      <c r="BAV52"/>
      <c r="BAW52"/>
      <c r="BAX52"/>
      <c r="BAY52"/>
      <c r="BAZ52"/>
      <c r="BBA52"/>
      <c r="BBB52"/>
      <c r="BBC52"/>
      <c r="BBD52"/>
      <c r="BBE52"/>
      <c r="BBF52"/>
      <c r="BBG52"/>
      <c r="BBH52"/>
      <c r="BBI52"/>
      <c r="BBJ52"/>
      <c r="BBK52"/>
      <c r="BBL52"/>
      <c r="BBM52"/>
      <c r="BBN52"/>
      <c r="BBO52"/>
      <c r="BBP52"/>
      <c r="BBQ52"/>
      <c r="BBR52"/>
      <c r="BBS52"/>
      <c r="BBT52"/>
      <c r="BBU52"/>
      <c r="BBV52"/>
      <c r="BBW52"/>
      <c r="BBX52"/>
      <c r="BBY52"/>
      <c r="BBZ52"/>
      <c r="BCA52"/>
      <c r="BCB52"/>
      <c r="BCC52"/>
      <c r="BCD52"/>
      <c r="BCE52"/>
      <c r="BCF52"/>
      <c r="BCG52"/>
      <c r="BCH52"/>
      <c r="BCI52"/>
      <c r="BCJ52"/>
      <c r="BCK52"/>
      <c r="BCL52"/>
      <c r="BCM52"/>
      <c r="BCN52"/>
      <c r="BCO52"/>
      <c r="BCP52"/>
      <c r="BCQ52"/>
      <c r="BCR52"/>
      <c r="BCS52"/>
      <c r="BCT52"/>
      <c r="BCU52"/>
      <c r="BCV52"/>
      <c r="BCW52"/>
      <c r="BCX52"/>
      <c r="BCY52"/>
      <c r="BCZ52"/>
      <c r="BDA52"/>
      <c r="BDB52"/>
      <c r="BDC52"/>
      <c r="BDD52"/>
      <c r="BDE52"/>
      <c r="BDF52"/>
      <c r="BDG52"/>
      <c r="BDH52"/>
      <c r="BDI52"/>
      <c r="BDJ52"/>
      <c r="BDK52"/>
      <c r="BDL52"/>
      <c r="BDM52"/>
      <c r="BDN52"/>
      <c r="BDO52"/>
      <c r="BDP52"/>
      <c r="BDQ52"/>
      <c r="BDR52"/>
      <c r="BDS52"/>
      <c r="BDT52"/>
      <c r="BDU52"/>
      <c r="BDV52"/>
      <c r="BDW52"/>
      <c r="BDX52"/>
      <c r="BDY52"/>
      <c r="BDZ52"/>
      <c r="BEA52"/>
      <c r="BEB52"/>
      <c r="BEC52"/>
      <c r="BED52"/>
      <c r="BEE52"/>
      <c r="BEF52"/>
      <c r="BEG52"/>
      <c r="BEH52"/>
      <c r="BEI52"/>
      <c r="BEJ52"/>
      <c r="BEK52"/>
      <c r="BEL52"/>
      <c r="BEM52"/>
      <c r="BEN52"/>
      <c r="BEO52"/>
      <c r="BEP52"/>
      <c r="BEQ52"/>
      <c r="BER52"/>
      <c r="BES52"/>
      <c r="BET52"/>
      <c r="BEU52"/>
      <c r="BEV52"/>
      <c r="BEW52"/>
      <c r="BEX52"/>
      <c r="BEY52"/>
      <c r="BEZ52"/>
      <c r="BFA52"/>
      <c r="BFB52"/>
      <c r="BFC52"/>
      <c r="BFD52"/>
      <c r="BFE52"/>
      <c r="BFF52"/>
      <c r="BFG52"/>
      <c r="BFH52"/>
      <c r="BFI52"/>
      <c r="BFJ52"/>
      <c r="BFK52"/>
      <c r="BFL52"/>
      <c r="BFM52"/>
      <c r="BFN52"/>
      <c r="BFO52"/>
      <c r="BFP52"/>
      <c r="BFQ52"/>
      <c r="BFR52"/>
      <c r="BFS52"/>
      <c r="BFT52"/>
      <c r="BFU52"/>
      <c r="BFV52"/>
      <c r="BFW52"/>
      <c r="BFX52"/>
      <c r="BFY52"/>
      <c r="BFZ52"/>
      <c r="BGA52"/>
      <c r="BGB52"/>
      <c r="BGC52"/>
      <c r="BGD52"/>
      <c r="BGE52"/>
      <c r="BGF52"/>
      <c r="BGG52"/>
      <c r="BGH52"/>
      <c r="BGI52"/>
      <c r="BGJ52"/>
      <c r="BGK52"/>
      <c r="BGL52"/>
      <c r="BGM52"/>
      <c r="BGN52"/>
      <c r="BGO52"/>
      <c r="BGP52"/>
      <c r="BGQ52"/>
      <c r="BGR52"/>
      <c r="BGS52"/>
      <c r="BGT52"/>
      <c r="BGU52"/>
      <c r="BGV52"/>
      <c r="BGW52"/>
      <c r="BGX52"/>
      <c r="BGY52"/>
      <c r="BGZ52"/>
      <c r="BHA52"/>
      <c r="BHB52"/>
      <c r="BHC52"/>
      <c r="BHD52"/>
      <c r="BHE52"/>
      <c r="BHF52"/>
      <c r="BHG52"/>
      <c r="BHH52"/>
      <c r="BHI52"/>
      <c r="BHJ52"/>
      <c r="BHK52"/>
      <c r="BHL52"/>
      <c r="BHM52"/>
      <c r="BHN52"/>
      <c r="BHO52"/>
      <c r="BHP52"/>
      <c r="BHQ52"/>
      <c r="BHR52"/>
      <c r="BHS52"/>
      <c r="BHT52"/>
      <c r="BHU52"/>
      <c r="BHV52"/>
      <c r="BHW52"/>
      <c r="BHX52"/>
      <c r="BHY52"/>
      <c r="BHZ52"/>
      <c r="BIA52"/>
      <c r="BIB52"/>
      <c r="BIC52"/>
      <c r="BID52"/>
      <c r="BIE52"/>
      <c r="BIF52"/>
      <c r="BIG52"/>
      <c r="BIH52"/>
      <c r="BII52"/>
      <c r="BIJ52"/>
      <c r="BIK52"/>
      <c r="BIL52"/>
      <c r="BIM52"/>
      <c r="BIN52"/>
      <c r="BIO52"/>
      <c r="BIP52"/>
      <c r="BIQ52"/>
      <c r="BIR52"/>
      <c r="BIS52"/>
      <c r="BIT52"/>
      <c r="BIU52"/>
      <c r="BIV52"/>
      <c r="BIW52"/>
      <c r="BIX52"/>
      <c r="BIY52"/>
      <c r="BIZ52"/>
      <c r="BJA52"/>
      <c r="BJB52"/>
      <c r="BJC52"/>
      <c r="BJD52"/>
      <c r="BJE52"/>
      <c r="BJF52"/>
      <c r="BJG52"/>
      <c r="BJH52"/>
      <c r="BJI52"/>
      <c r="BJJ52"/>
      <c r="BJK52"/>
      <c r="BJL52"/>
      <c r="BJM52"/>
      <c r="BJN52"/>
      <c r="BJO52"/>
      <c r="BJP52"/>
      <c r="BJQ52"/>
      <c r="BJR52"/>
      <c r="BJS52"/>
      <c r="BJT52"/>
      <c r="BJU52"/>
      <c r="BJV52"/>
      <c r="BJW52"/>
      <c r="BJX52"/>
      <c r="BJY52"/>
      <c r="BJZ52"/>
      <c r="BKA52"/>
      <c r="BKB52"/>
      <c r="BKC52"/>
      <c r="BKD52"/>
      <c r="BKE52"/>
      <c r="BKF52"/>
      <c r="BKG52"/>
      <c r="BKH52"/>
      <c r="BKI52"/>
      <c r="BKJ52"/>
      <c r="BKK52"/>
      <c r="BKL52"/>
      <c r="BKM52"/>
      <c r="BKN52"/>
      <c r="BKO52"/>
      <c r="BKP52"/>
      <c r="BKQ52"/>
      <c r="BKR52"/>
      <c r="BKS52"/>
      <c r="BKT52"/>
      <c r="BKU52"/>
      <c r="BKV52"/>
      <c r="BKW52"/>
      <c r="BKX52"/>
      <c r="BKY52"/>
      <c r="BKZ52"/>
      <c r="BLA52"/>
      <c r="BLB52"/>
      <c r="BLC52"/>
      <c r="BLD52"/>
      <c r="BLE52"/>
      <c r="BLF52"/>
      <c r="BLG52"/>
      <c r="BLH52"/>
      <c r="BLI52"/>
      <c r="BLJ52"/>
      <c r="BLK52"/>
      <c r="BLL52"/>
      <c r="BLM52"/>
      <c r="BLN52"/>
      <c r="BLO52"/>
      <c r="BLP52"/>
      <c r="BLQ52"/>
      <c r="BLR52"/>
      <c r="BLS52"/>
      <c r="BLT52"/>
      <c r="BLU52"/>
      <c r="BLV52"/>
      <c r="BLW52"/>
      <c r="BLX52"/>
      <c r="BLY52"/>
      <c r="BLZ52"/>
      <c r="BMA52"/>
      <c r="BMB52"/>
      <c r="BMC52"/>
      <c r="BMD52"/>
      <c r="BME52"/>
      <c r="BMF52"/>
      <c r="BMG52"/>
      <c r="BMH52"/>
      <c r="BMI52"/>
      <c r="BMJ52"/>
      <c r="BMK52"/>
      <c r="BML52"/>
      <c r="BMM52"/>
      <c r="BMN52"/>
      <c r="BMO52"/>
      <c r="BMP52"/>
      <c r="BMQ52"/>
      <c r="BMR52"/>
      <c r="BMS52"/>
      <c r="BMT52"/>
      <c r="BMU52"/>
      <c r="BMV52"/>
      <c r="BMW52"/>
      <c r="BMX52"/>
      <c r="BMY52"/>
      <c r="BMZ52"/>
      <c r="BNA52"/>
      <c r="BNB52"/>
      <c r="BNC52"/>
      <c r="BND52"/>
      <c r="BNE52"/>
      <c r="BNF52"/>
      <c r="BNG52"/>
      <c r="BNH52"/>
      <c r="BNI52"/>
      <c r="BNJ52"/>
      <c r="BNK52"/>
      <c r="BNL52"/>
      <c r="BNM52"/>
      <c r="BNN52"/>
      <c r="BNO52"/>
      <c r="BNP52"/>
      <c r="BNQ52"/>
      <c r="BNR52"/>
      <c r="BNS52"/>
      <c r="BNT52"/>
      <c r="BNU52"/>
      <c r="BNV52"/>
      <c r="BNW52"/>
      <c r="BNX52"/>
      <c r="BNY52"/>
      <c r="BNZ52"/>
      <c r="BOA52"/>
      <c r="BOB52"/>
      <c r="BOC52"/>
      <c r="BOD52"/>
      <c r="BOE52"/>
      <c r="BOF52"/>
      <c r="BOG52"/>
      <c r="BOH52"/>
      <c r="BOI52"/>
      <c r="BOJ52"/>
      <c r="BOK52"/>
      <c r="BOL52"/>
      <c r="BOM52"/>
      <c r="BON52"/>
      <c r="BOO52"/>
      <c r="BOP52"/>
      <c r="BOQ52"/>
      <c r="BOR52"/>
      <c r="BOS52"/>
      <c r="BOT52"/>
      <c r="BOU52"/>
      <c r="BOV52"/>
      <c r="BOW52"/>
      <c r="BOX52"/>
      <c r="BOY52"/>
      <c r="BOZ52"/>
      <c r="BPA52"/>
      <c r="BPB52"/>
      <c r="BPC52"/>
      <c r="BPD52"/>
      <c r="BPE52"/>
      <c r="BPF52"/>
      <c r="BPG52"/>
      <c r="BPH52"/>
      <c r="BPI52"/>
      <c r="BPJ52"/>
      <c r="BPK52"/>
      <c r="BPL52"/>
      <c r="BPM52"/>
      <c r="BPN52"/>
      <c r="BPO52"/>
      <c r="BPP52"/>
      <c r="BPQ52"/>
      <c r="BPR52"/>
      <c r="BPS52"/>
      <c r="BPT52"/>
      <c r="BPU52"/>
      <c r="BPV52"/>
      <c r="BPW52"/>
      <c r="BPX52"/>
      <c r="BPY52"/>
      <c r="BPZ52"/>
      <c r="BQA52"/>
      <c r="BQB52"/>
      <c r="BQC52"/>
      <c r="BQD52"/>
      <c r="BQE52"/>
      <c r="BQF52"/>
      <c r="BQG52"/>
      <c r="BQH52"/>
      <c r="BQI52"/>
      <c r="BQJ52"/>
      <c r="BQK52"/>
      <c r="BQL52"/>
      <c r="BQM52"/>
      <c r="BQN52"/>
      <c r="BQO52"/>
      <c r="BQP52"/>
      <c r="BQQ52"/>
      <c r="BQR52"/>
      <c r="BQS52"/>
      <c r="BQT52"/>
      <c r="BQU52"/>
      <c r="BQV52"/>
      <c r="BQW52"/>
      <c r="BQX52"/>
      <c r="BQY52"/>
      <c r="BQZ52"/>
      <c r="BRA52"/>
      <c r="BRB52"/>
      <c r="BRC52"/>
      <c r="BRD52"/>
      <c r="BRE52"/>
      <c r="BRF52"/>
      <c r="BRG52"/>
      <c r="BRH52"/>
      <c r="BRI52"/>
      <c r="BRJ52"/>
      <c r="BRK52"/>
      <c r="BRL52"/>
      <c r="BRM52"/>
      <c r="BRN52"/>
      <c r="BRO52"/>
      <c r="BRP52"/>
      <c r="BRQ52"/>
      <c r="BRR52"/>
      <c r="BRS52"/>
      <c r="BRT52"/>
      <c r="BRU52"/>
      <c r="BRV52"/>
      <c r="BRW52"/>
      <c r="BRX52"/>
      <c r="BRY52"/>
      <c r="BRZ52"/>
      <c r="BSA52"/>
      <c r="BSB52"/>
      <c r="BSC52"/>
      <c r="BSD52"/>
      <c r="BSE52"/>
      <c r="BSF52"/>
      <c r="BSG52"/>
      <c r="BSH52"/>
      <c r="BSI52"/>
      <c r="BSJ52"/>
      <c r="BSK52"/>
      <c r="BSL52"/>
      <c r="BSM52"/>
      <c r="BSN52"/>
      <c r="BSO52"/>
      <c r="BSP52"/>
      <c r="BSQ52"/>
      <c r="BSR52"/>
      <c r="BSS52"/>
      <c r="BST52"/>
      <c r="BSU52"/>
      <c r="BSV52"/>
      <c r="BSW52"/>
      <c r="BSX52"/>
      <c r="BSY52"/>
      <c r="BSZ52"/>
      <c r="BTA52"/>
      <c r="BTB52"/>
      <c r="BTC52"/>
      <c r="BTD52"/>
      <c r="BTE52"/>
      <c r="BTF52"/>
      <c r="BTG52"/>
      <c r="BTH52"/>
      <c r="BTI52"/>
      <c r="BTJ52"/>
      <c r="BTK52"/>
      <c r="BTL52"/>
      <c r="BTM52"/>
      <c r="BTN52"/>
      <c r="BTO52"/>
      <c r="BTP52"/>
      <c r="BTQ52"/>
      <c r="BTR52"/>
      <c r="BTS52"/>
      <c r="BTT52"/>
      <c r="BTU52"/>
      <c r="BTV52"/>
      <c r="BTW52"/>
      <c r="BTX52"/>
      <c r="BTY52"/>
      <c r="BTZ52"/>
      <c r="BUA52"/>
      <c r="BUB52"/>
      <c r="BUC52"/>
      <c r="BUD52"/>
      <c r="BUE52"/>
      <c r="BUF52"/>
      <c r="BUG52"/>
      <c r="BUH52"/>
      <c r="BUI52"/>
      <c r="BUJ52"/>
      <c r="BUK52"/>
      <c r="BUL52"/>
      <c r="BUM52"/>
      <c r="BUN52"/>
      <c r="BUO52"/>
      <c r="BUP52"/>
      <c r="BUQ52"/>
      <c r="BUR52"/>
      <c r="BUS52"/>
      <c r="BUT52"/>
      <c r="BUU52"/>
      <c r="BUV52"/>
      <c r="BUW52"/>
      <c r="BUX52"/>
      <c r="BUY52"/>
      <c r="BUZ52"/>
      <c r="BVA52"/>
      <c r="BVB52"/>
      <c r="BVC52"/>
      <c r="BVD52"/>
      <c r="BVE52"/>
      <c r="BVF52"/>
      <c r="BVG52"/>
      <c r="BVH52"/>
      <c r="BVI52"/>
      <c r="BVJ52"/>
      <c r="BVK52"/>
      <c r="BVL52"/>
      <c r="BVM52"/>
      <c r="BVN52"/>
      <c r="BVO52"/>
      <c r="BVP52"/>
      <c r="BVQ52"/>
      <c r="BVR52"/>
      <c r="BVS52"/>
      <c r="BVT52"/>
      <c r="BVU52"/>
      <c r="BVV52"/>
      <c r="BVW52"/>
      <c r="BVX52"/>
      <c r="BVY52"/>
      <c r="BVZ52"/>
      <c r="BWA52"/>
      <c r="BWB52"/>
      <c r="BWC52"/>
      <c r="BWD52"/>
      <c r="BWE52"/>
      <c r="BWF52"/>
      <c r="BWG52"/>
      <c r="BWH52"/>
      <c r="BWI52"/>
      <c r="BWJ52"/>
      <c r="BWK52"/>
      <c r="BWL52"/>
      <c r="BWM52"/>
      <c r="BWN52"/>
      <c r="BWO52"/>
      <c r="BWP52"/>
      <c r="BWQ52"/>
      <c r="BWR52"/>
      <c r="BWS52"/>
      <c r="BWT52"/>
      <c r="BWU52"/>
      <c r="BWV52"/>
      <c r="BWW52"/>
      <c r="BWX52"/>
      <c r="BWY52"/>
      <c r="BWZ52"/>
      <c r="BXA52"/>
      <c r="BXB52"/>
      <c r="BXC52"/>
      <c r="BXD52"/>
      <c r="BXE52"/>
      <c r="BXF52"/>
      <c r="BXG52"/>
      <c r="BXH52"/>
      <c r="BXI52"/>
      <c r="BXJ52"/>
      <c r="BXK52"/>
      <c r="BXL52"/>
      <c r="BXM52"/>
      <c r="BXN52"/>
      <c r="BXO52"/>
      <c r="BXP52"/>
      <c r="BXQ52"/>
      <c r="BXR52"/>
      <c r="BXS52"/>
      <c r="BXT52"/>
      <c r="BXU52"/>
      <c r="BXV52"/>
      <c r="BXW52"/>
      <c r="BXX52"/>
      <c r="BXY52"/>
      <c r="BXZ52"/>
      <c r="BYA52"/>
      <c r="BYB52"/>
      <c r="BYC52"/>
      <c r="BYD52"/>
      <c r="BYE52"/>
      <c r="BYF52"/>
      <c r="BYG52"/>
      <c r="BYH52"/>
      <c r="BYI52"/>
      <c r="BYJ52"/>
      <c r="BYK52"/>
      <c r="BYL52"/>
      <c r="BYM52"/>
      <c r="BYN52"/>
      <c r="BYO52"/>
      <c r="BYP52"/>
      <c r="BYQ52"/>
      <c r="BYR52"/>
      <c r="BYS52"/>
      <c r="BYT52"/>
      <c r="BYU52"/>
      <c r="BYV52"/>
      <c r="BYW52"/>
      <c r="BYX52"/>
      <c r="BYY52"/>
      <c r="BYZ52"/>
      <c r="BZA52"/>
      <c r="BZB52"/>
      <c r="BZC52"/>
      <c r="BZD52"/>
      <c r="BZE52"/>
      <c r="BZF52"/>
      <c r="BZG52"/>
      <c r="BZH52"/>
      <c r="BZI52"/>
      <c r="BZJ52"/>
      <c r="BZK52"/>
      <c r="BZL52"/>
      <c r="BZM52"/>
      <c r="BZN52"/>
      <c r="BZO52"/>
      <c r="BZP52"/>
      <c r="BZQ52"/>
      <c r="BZR52"/>
      <c r="BZS52"/>
      <c r="BZT52"/>
      <c r="BZU52"/>
      <c r="BZV52"/>
      <c r="BZW52"/>
      <c r="BZX52"/>
      <c r="BZY52"/>
      <c r="BZZ52"/>
      <c r="CAA52"/>
      <c r="CAB52"/>
      <c r="CAC52"/>
      <c r="CAD52"/>
      <c r="CAE52"/>
      <c r="CAF52"/>
      <c r="CAG52"/>
      <c r="CAH52"/>
      <c r="CAI52"/>
      <c r="CAJ52"/>
      <c r="CAK52"/>
      <c r="CAL52"/>
      <c r="CAM52"/>
      <c r="CAN52"/>
      <c r="CAO52"/>
      <c r="CAP52"/>
      <c r="CAQ52"/>
      <c r="CAR52"/>
      <c r="CAS52"/>
      <c r="CAT52"/>
      <c r="CAU52"/>
      <c r="CAV52"/>
      <c r="CAW52"/>
      <c r="CAX52"/>
      <c r="CAY52"/>
      <c r="CAZ52"/>
      <c r="CBA52"/>
      <c r="CBB52"/>
      <c r="CBC52"/>
      <c r="CBD52"/>
      <c r="CBE52"/>
      <c r="CBF52"/>
      <c r="CBG52"/>
      <c r="CBH52"/>
      <c r="CBI52"/>
      <c r="CBJ52"/>
      <c r="CBK52"/>
      <c r="CBL52"/>
      <c r="CBM52"/>
      <c r="CBN52"/>
      <c r="CBO52"/>
      <c r="CBP52"/>
      <c r="CBQ52"/>
      <c r="CBR52"/>
      <c r="CBS52"/>
      <c r="CBT52"/>
      <c r="CBU52"/>
      <c r="CBV52"/>
      <c r="CBW52"/>
      <c r="CBX52"/>
      <c r="CBY52"/>
      <c r="CBZ52"/>
      <c r="CCA52"/>
      <c r="CCB52"/>
      <c r="CCC52"/>
      <c r="CCD52"/>
      <c r="CCE52"/>
      <c r="CCF52"/>
      <c r="CCG52"/>
      <c r="CCH52"/>
      <c r="CCI52"/>
      <c r="CCJ52"/>
      <c r="CCK52"/>
      <c r="CCL52"/>
      <c r="CCM52"/>
      <c r="CCN52"/>
      <c r="CCO52"/>
      <c r="CCP52"/>
      <c r="CCQ52"/>
      <c r="CCR52"/>
      <c r="CCS52"/>
      <c r="CCT52"/>
      <c r="CCU52"/>
      <c r="CCV52"/>
      <c r="CCW52"/>
      <c r="CCX52"/>
      <c r="CCY52"/>
      <c r="CCZ52"/>
      <c r="CDA52"/>
      <c r="CDB52"/>
      <c r="CDC52"/>
      <c r="CDD52"/>
      <c r="CDE52"/>
      <c r="CDF52"/>
      <c r="CDG52"/>
      <c r="CDH52"/>
      <c r="CDI52"/>
      <c r="CDJ52"/>
      <c r="CDK52"/>
      <c r="CDL52"/>
      <c r="CDM52"/>
      <c r="CDN52"/>
      <c r="CDO52"/>
      <c r="CDP52"/>
      <c r="CDQ52"/>
      <c r="CDR52"/>
      <c r="CDS52"/>
      <c r="CDT52"/>
      <c r="CDU52"/>
      <c r="CDV52"/>
      <c r="CDW52"/>
      <c r="CDX52"/>
      <c r="CDY52"/>
      <c r="CDZ52"/>
      <c r="CEA52"/>
      <c r="CEB52"/>
      <c r="CEC52"/>
      <c r="CED52"/>
      <c r="CEE52"/>
      <c r="CEF52"/>
      <c r="CEG52"/>
      <c r="CEH52"/>
      <c r="CEI52"/>
      <c r="CEJ52"/>
      <c r="CEK52"/>
      <c r="CEL52"/>
      <c r="CEM52"/>
      <c r="CEN52"/>
      <c r="CEO52"/>
      <c r="CEP52"/>
      <c r="CEQ52"/>
      <c r="CER52"/>
      <c r="CES52"/>
      <c r="CET52"/>
      <c r="CEU52"/>
      <c r="CEV52"/>
      <c r="CEW52"/>
      <c r="CEX52"/>
      <c r="CEY52"/>
      <c r="CEZ52"/>
      <c r="CFA52"/>
      <c r="CFB52"/>
      <c r="CFC52"/>
      <c r="CFD52"/>
      <c r="CFE52"/>
      <c r="CFF52"/>
      <c r="CFG52"/>
      <c r="CFH52"/>
      <c r="CFI52"/>
      <c r="CFJ52"/>
      <c r="CFK52"/>
      <c r="CFL52"/>
      <c r="CFM52"/>
      <c r="CFN52"/>
      <c r="CFO52"/>
      <c r="CFP52"/>
      <c r="CFQ52"/>
      <c r="CFR52"/>
      <c r="CFS52"/>
      <c r="CFT52"/>
      <c r="CFU52"/>
      <c r="CFV52"/>
      <c r="CFW52"/>
      <c r="CFX52"/>
      <c r="CFY52"/>
      <c r="CFZ52"/>
      <c r="CGA52"/>
      <c r="CGB52"/>
      <c r="CGC52"/>
      <c r="CGD52"/>
      <c r="CGE52"/>
      <c r="CGF52"/>
      <c r="CGG52"/>
      <c r="CGH52"/>
      <c r="CGI52"/>
      <c r="CGJ52"/>
      <c r="CGK52"/>
      <c r="CGL52"/>
      <c r="CGM52"/>
      <c r="CGN52"/>
      <c r="CGO52"/>
      <c r="CGP52"/>
      <c r="CGQ52"/>
      <c r="CGR52"/>
      <c r="CGS52"/>
      <c r="CGT52"/>
      <c r="CGU52"/>
      <c r="CGV52"/>
      <c r="CGW52"/>
      <c r="CGX52"/>
      <c r="CGY52"/>
      <c r="CGZ52"/>
      <c r="CHA52"/>
      <c r="CHB52"/>
      <c r="CHC52"/>
      <c r="CHD52"/>
      <c r="CHE52"/>
      <c r="CHF52"/>
      <c r="CHG52"/>
      <c r="CHH52"/>
      <c r="CHI52"/>
      <c r="CHJ52"/>
      <c r="CHK52"/>
      <c r="CHL52"/>
      <c r="CHM52"/>
      <c r="CHN52"/>
      <c r="CHO52"/>
      <c r="CHP52"/>
      <c r="CHQ52"/>
      <c r="CHR52"/>
      <c r="CHS52"/>
      <c r="CHT52"/>
      <c r="CHU52"/>
      <c r="CHV52"/>
      <c r="CHW52"/>
      <c r="CHX52"/>
      <c r="CHY52"/>
      <c r="CHZ52"/>
      <c r="CIA52"/>
      <c r="CIB52"/>
      <c r="CIC52"/>
      <c r="CID52"/>
      <c r="CIE52"/>
      <c r="CIF52"/>
      <c r="CIG52"/>
      <c r="CIH52"/>
      <c r="CII52"/>
      <c r="CIJ52"/>
      <c r="CIK52"/>
      <c r="CIL52"/>
      <c r="CIM52"/>
      <c r="CIN52"/>
      <c r="CIO52"/>
      <c r="CIP52"/>
      <c r="CIQ52"/>
      <c r="CIR52"/>
      <c r="CIS52"/>
      <c r="CIT52"/>
      <c r="CIU52"/>
      <c r="CIV52"/>
      <c r="CIW52"/>
      <c r="CIX52"/>
      <c r="CIY52"/>
      <c r="CIZ52"/>
      <c r="CJA52"/>
      <c r="CJB52"/>
      <c r="CJC52"/>
      <c r="CJD52"/>
      <c r="CJE52"/>
      <c r="CJF52"/>
      <c r="CJG52"/>
      <c r="CJH52"/>
      <c r="CJI52"/>
      <c r="CJJ52"/>
      <c r="CJK52"/>
      <c r="CJL52"/>
      <c r="CJM52"/>
      <c r="CJN52"/>
      <c r="CJO52"/>
      <c r="CJP52"/>
      <c r="CJQ52"/>
      <c r="CJR52"/>
      <c r="CJS52"/>
      <c r="CJT52"/>
      <c r="CJU52"/>
      <c r="CJV52"/>
      <c r="CJW52"/>
      <c r="CJX52"/>
      <c r="CJY52"/>
      <c r="CJZ52"/>
      <c r="CKA52"/>
      <c r="CKB52"/>
      <c r="CKC52"/>
      <c r="CKD52"/>
      <c r="CKE52"/>
      <c r="CKF52"/>
      <c r="CKG52"/>
      <c r="CKH52"/>
      <c r="CKI52"/>
      <c r="CKJ52"/>
      <c r="CKK52"/>
      <c r="CKL52"/>
      <c r="CKM52"/>
      <c r="CKN52"/>
      <c r="CKO52"/>
      <c r="CKP52"/>
      <c r="CKQ52"/>
      <c r="CKR52"/>
      <c r="CKS52"/>
      <c r="CKT52"/>
      <c r="CKU52"/>
      <c r="CKV52"/>
      <c r="CKW52"/>
      <c r="CKX52"/>
      <c r="CKY52"/>
      <c r="CKZ52"/>
      <c r="CLA52"/>
      <c r="CLB52"/>
      <c r="CLC52"/>
      <c r="CLD52"/>
      <c r="CLE52"/>
      <c r="CLF52"/>
      <c r="CLG52"/>
      <c r="CLH52"/>
      <c r="CLI52"/>
      <c r="CLJ52"/>
      <c r="CLK52"/>
      <c r="CLL52"/>
      <c r="CLM52"/>
      <c r="CLN52"/>
      <c r="CLO52"/>
      <c r="CLP52"/>
      <c r="CLQ52"/>
      <c r="CLR52"/>
      <c r="CLS52"/>
      <c r="CLT52"/>
      <c r="CLU52"/>
      <c r="CLV52"/>
      <c r="CLW52"/>
      <c r="CLX52"/>
      <c r="CLY52"/>
      <c r="CLZ52"/>
      <c r="CMA52"/>
      <c r="CMB52"/>
      <c r="CMC52"/>
      <c r="CMD52"/>
      <c r="CME52"/>
      <c r="CMF52"/>
      <c r="CMG52"/>
      <c r="CMH52"/>
      <c r="CMI52"/>
      <c r="CMJ52"/>
      <c r="CMK52"/>
      <c r="CML52"/>
      <c r="CMM52"/>
      <c r="CMN52"/>
      <c r="CMO52"/>
      <c r="CMP52"/>
      <c r="CMQ52"/>
      <c r="CMR52"/>
      <c r="CMS52"/>
      <c r="CMT52"/>
      <c r="CMU52"/>
      <c r="CMV52"/>
      <c r="CMW52"/>
      <c r="CMX52"/>
      <c r="CMY52"/>
      <c r="CMZ52"/>
      <c r="CNA52"/>
      <c r="CNB52"/>
      <c r="CNC52"/>
      <c r="CND52"/>
      <c r="CNE52"/>
      <c r="CNF52"/>
      <c r="CNG52"/>
      <c r="CNH52"/>
      <c r="CNI52"/>
      <c r="CNJ52"/>
      <c r="CNK52"/>
      <c r="CNL52"/>
      <c r="CNM52"/>
      <c r="CNN52"/>
      <c r="CNO52"/>
      <c r="CNP52"/>
      <c r="CNQ52"/>
      <c r="CNR52"/>
      <c r="CNS52"/>
      <c r="CNT52"/>
      <c r="CNU52"/>
      <c r="CNV52"/>
      <c r="CNW52"/>
      <c r="CNX52"/>
      <c r="CNY52"/>
      <c r="CNZ52"/>
      <c r="COA52"/>
      <c r="COB52"/>
      <c r="COC52"/>
      <c r="COD52"/>
      <c r="COE52"/>
      <c r="COF52"/>
      <c r="COG52"/>
      <c r="COH52"/>
      <c r="COI52"/>
      <c r="COJ52"/>
      <c r="COK52"/>
      <c r="COL52"/>
      <c r="COM52"/>
      <c r="CON52"/>
      <c r="COO52"/>
      <c r="COP52"/>
      <c r="COQ52"/>
      <c r="COR52"/>
      <c r="COS52"/>
      <c r="COT52"/>
      <c r="COU52"/>
      <c r="COV52"/>
      <c r="COW52"/>
      <c r="COX52"/>
      <c r="COY52"/>
      <c r="COZ52"/>
      <c r="CPA52"/>
      <c r="CPB52"/>
      <c r="CPC52"/>
      <c r="CPD52"/>
      <c r="CPE52"/>
      <c r="CPF52"/>
      <c r="CPG52"/>
      <c r="CPH52"/>
      <c r="CPI52"/>
      <c r="CPJ52"/>
      <c r="CPK52"/>
      <c r="CPL52"/>
      <c r="CPM52"/>
      <c r="CPN52"/>
      <c r="CPO52"/>
      <c r="CPP52"/>
      <c r="CPQ52"/>
      <c r="CPR52"/>
      <c r="CPS52"/>
      <c r="CPT52"/>
      <c r="CPU52"/>
      <c r="CPV52"/>
      <c r="CPW52"/>
      <c r="CPX52"/>
      <c r="CPY52"/>
      <c r="CPZ52"/>
      <c r="CQA52"/>
      <c r="CQB52"/>
      <c r="CQC52"/>
      <c r="CQD52"/>
      <c r="CQE52"/>
      <c r="CQF52"/>
      <c r="CQG52"/>
      <c r="CQH52"/>
      <c r="CQI52"/>
      <c r="CQJ52"/>
      <c r="CQK52"/>
      <c r="CQL52"/>
      <c r="CQM52"/>
      <c r="CQN52"/>
      <c r="CQO52"/>
      <c r="CQP52"/>
      <c r="CQQ52"/>
      <c r="CQR52"/>
      <c r="CQS52"/>
      <c r="CQT52"/>
      <c r="CQU52"/>
      <c r="CQV52"/>
      <c r="CQW52"/>
      <c r="CQX52"/>
      <c r="CQY52"/>
      <c r="CQZ52"/>
      <c r="CRA52"/>
      <c r="CRB52"/>
      <c r="CRC52"/>
      <c r="CRD52"/>
      <c r="CRE52"/>
      <c r="CRF52"/>
      <c r="CRG52"/>
      <c r="CRH52"/>
      <c r="CRI52"/>
      <c r="CRJ52"/>
      <c r="CRK52"/>
      <c r="CRL52"/>
      <c r="CRM52"/>
      <c r="CRN52"/>
      <c r="CRO52"/>
      <c r="CRP52"/>
      <c r="CRQ52"/>
      <c r="CRR52"/>
      <c r="CRS52"/>
      <c r="CRT52"/>
      <c r="CRU52"/>
      <c r="CRV52"/>
      <c r="CRW52"/>
      <c r="CRX52"/>
      <c r="CRY52"/>
      <c r="CRZ52"/>
      <c r="CSA52"/>
      <c r="CSB52"/>
      <c r="CSC52"/>
      <c r="CSD52"/>
      <c r="CSE52"/>
      <c r="CSF52"/>
      <c r="CSG52"/>
      <c r="CSH52"/>
      <c r="CSI52"/>
      <c r="CSJ52"/>
      <c r="CSK52"/>
      <c r="CSL52"/>
      <c r="CSM52"/>
      <c r="CSN52"/>
      <c r="CSO52"/>
      <c r="CSP52"/>
      <c r="CSQ52"/>
      <c r="CSR52"/>
      <c r="CSS52"/>
      <c r="CST52"/>
      <c r="CSU52"/>
      <c r="CSV52"/>
      <c r="CSW52"/>
      <c r="CSX52"/>
      <c r="CSY52"/>
      <c r="CSZ52"/>
      <c r="CTA52"/>
      <c r="CTB52"/>
      <c r="CTC52"/>
      <c r="CTD52"/>
      <c r="CTE52"/>
      <c r="CTF52"/>
      <c r="CTG52"/>
      <c r="CTH52"/>
      <c r="CTI52"/>
      <c r="CTJ52"/>
      <c r="CTK52"/>
      <c r="CTL52"/>
      <c r="CTM52"/>
      <c r="CTN52"/>
      <c r="CTO52"/>
      <c r="CTP52"/>
      <c r="CTQ52"/>
      <c r="CTR52"/>
      <c r="CTS52"/>
      <c r="CTT52"/>
      <c r="CTU52"/>
      <c r="CTV52"/>
      <c r="CTW52"/>
      <c r="CTX52"/>
      <c r="CTY52"/>
      <c r="CTZ52"/>
      <c r="CUA52"/>
      <c r="CUB52"/>
      <c r="CUC52"/>
      <c r="CUD52"/>
      <c r="CUE52"/>
      <c r="CUF52"/>
      <c r="CUG52"/>
      <c r="CUH52"/>
      <c r="CUI52"/>
      <c r="CUJ52"/>
      <c r="CUK52"/>
      <c r="CUL52"/>
      <c r="CUM52"/>
      <c r="CUN52"/>
      <c r="CUO52"/>
      <c r="CUP52"/>
      <c r="CUQ52"/>
      <c r="CUR52"/>
      <c r="CUS52"/>
      <c r="CUT52"/>
      <c r="CUU52"/>
      <c r="CUV52"/>
      <c r="CUW52"/>
      <c r="CUX52"/>
      <c r="CUY52"/>
      <c r="CUZ52"/>
      <c r="CVA52"/>
      <c r="CVB52"/>
      <c r="CVC52"/>
      <c r="CVD52"/>
      <c r="CVE52"/>
      <c r="CVF52"/>
      <c r="CVG52"/>
      <c r="CVH52"/>
      <c r="CVI52"/>
      <c r="CVJ52"/>
      <c r="CVK52"/>
      <c r="CVL52"/>
      <c r="CVM52"/>
      <c r="CVN52"/>
      <c r="CVO52"/>
      <c r="CVP52"/>
      <c r="CVQ52"/>
      <c r="CVR52"/>
      <c r="CVS52"/>
      <c r="CVT52"/>
      <c r="CVU52"/>
      <c r="CVV52"/>
      <c r="CVW52"/>
      <c r="CVX52"/>
      <c r="CVY52"/>
      <c r="CVZ52"/>
      <c r="CWA52"/>
      <c r="CWB52"/>
      <c r="CWC52"/>
      <c r="CWD52"/>
      <c r="CWE52"/>
      <c r="CWF52"/>
      <c r="CWG52"/>
      <c r="CWH52"/>
      <c r="CWI52"/>
      <c r="CWJ52"/>
      <c r="CWK52"/>
      <c r="CWL52"/>
      <c r="CWM52"/>
      <c r="CWN52"/>
      <c r="CWO52"/>
      <c r="CWP52"/>
      <c r="CWQ52"/>
      <c r="CWR52"/>
      <c r="CWS52"/>
      <c r="CWT52"/>
      <c r="CWU52"/>
      <c r="CWV52"/>
      <c r="CWW52"/>
      <c r="CWX52"/>
      <c r="CWY52"/>
      <c r="CWZ52"/>
      <c r="CXA52"/>
      <c r="CXB52"/>
      <c r="CXC52"/>
      <c r="CXD52"/>
      <c r="CXE52"/>
      <c r="CXF52"/>
      <c r="CXG52"/>
      <c r="CXH52"/>
      <c r="CXI52"/>
      <c r="CXJ52"/>
      <c r="CXK52"/>
      <c r="CXL52"/>
      <c r="CXM52"/>
      <c r="CXN52"/>
      <c r="CXO52"/>
      <c r="CXP52"/>
      <c r="CXQ52"/>
      <c r="CXR52"/>
      <c r="CXS52"/>
      <c r="CXT52"/>
      <c r="CXU52"/>
      <c r="CXV52"/>
      <c r="CXW52"/>
      <c r="CXX52"/>
      <c r="CXY52"/>
      <c r="CXZ52"/>
      <c r="CYA52"/>
      <c r="CYB52"/>
      <c r="CYC52"/>
      <c r="CYD52"/>
      <c r="CYE52"/>
      <c r="CYF52"/>
      <c r="CYG52"/>
      <c r="CYH52"/>
      <c r="CYI52"/>
      <c r="CYJ52"/>
      <c r="CYK52"/>
      <c r="CYL52"/>
      <c r="CYM52"/>
      <c r="CYN52"/>
      <c r="CYO52"/>
      <c r="CYP52"/>
      <c r="CYQ52"/>
      <c r="CYR52"/>
      <c r="CYS52"/>
      <c r="CYT52"/>
      <c r="CYU52"/>
      <c r="CYV52"/>
      <c r="CYW52"/>
      <c r="CYX52"/>
      <c r="CYY52"/>
      <c r="CYZ52"/>
      <c r="CZA52"/>
      <c r="CZB52"/>
      <c r="CZC52"/>
      <c r="CZD52"/>
      <c r="CZE52"/>
      <c r="CZF52"/>
      <c r="CZG52"/>
      <c r="CZH52"/>
      <c r="CZI52"/>
      <c r="CZJ52"/>
      <c r="CZK52"/>
      <c r="CZL52"/>
      <c r="CZM52"/>
      <c r="CZN52"/>
      <c r="CZO52"/>
      <c r="CZP52"/>
      <c r="CZQ52"/>
      <c r="CZR52"/>
      <c r="CZS52"/>
      <c r="CZT52"/>
      <c r="CZU52"/>
      <c r="CZV52"/>
      <c r="CZW52"/>
      <c r="CZX52"/>
      <c r="CZY52"/>
      <c r="CZZ52"/>
      <c r="DAA52"/>
      <c r="DAB52"/>
      <c r="DAC52"/>
      <c r="DAD52"/>
      <c r="DAE52"/>
      <c r="DAF52"/>
      <c r="DAG52"/>
      <c r="DAH52"/>
      <c r="DAI52"/>
      <c r="DAJ52"/>
      <c r="DAK52"/>
      <c r="DAL52"/>
      <c r="DAM52"/>
      <c r="DAN52"/>
      <c r="DAO52"/>
      <c r="DAP52"/>
      <c r="DAQ52"/>
      <c r="DAR52"/>
      <c r="DAS52"/>
      <c r="DAT52"/>
      <c r="DAU52"/>
      <c r="DAV52"/>
      <c r="DAW52"/>
      <c r="DAX52"/>
      <c r="DAY52"/>
      <c r="DAZ52"/>
      <c r="DBA52"/>
      <c r="DBB52"/>
      <c r="DBC52"/>
      <c r="DBD52"/>
      <c r="DBE52"/>
      <c r="DBF52"/>
      <c r="DBG52"/>
      <c r="DBH52"/>
      <c r="DBI52"/>
      <c r="DBJ52"/>
      <c r="DBK52"/>
      <c r="DBL52"/>
      <c r="DBM52"/>
      <c r="DBN52"/>
      <c r="DBO52"/>
      <c r="DBP52"/>
      <c r="DBQ52"/>
      <c r="DBR52"/>
      <c r="DBS52"/>
      <c r="DBT52"/>
      <c r="DBU52"/>
      <c r="DBV52"/>
      <c r="DBW52"/>
      <c r="DBX52"/>
      <c r="DBY52"/>
      <c r="DBZ52"/>
      <c r="DCA52"/>
      <c r="DCB52"/>
      <c r="DCC52"/>
      <c r="DCD52"/>
      <c r="DCE52"/>
      <c r="DCF52"/>
      <c r="DCG52"/>
      <c r="DCH52"/>
      <c r="DCI52"/>
      <c r="DCJ52"/>
      <c r="DCK52"/>
      <c r="DCL52"/>
      <c r="DCM52"/>
      <c r="DCN52"/>
      <c r="DCO52"/>
      <c r="DCP52"/>
      <c r="DCQ52"/>
      <c r="DCR52"/>
      <c r="DCS52"/>
      <c r="DCT52"/>
      <c r="DCU52"/>
      <c r="DCV52"/>
      <c r="DCW52"/>
      <c r="DCX52"/>
      <c r="DCY52"/>
      <c r="DCZ52"/>
      <c r="DDA52"/>
      <c r="DDB52"/>
      <c r="DDC52"/>
      <c r="DDD52"/>
      <c r="DDE52"/>
      <c r="DDF52"/>
      <c r="DDG52"/>
      <c r="DDH52"/>
      <c r="DDI52"/>
      <c r="DDJ52"/>
      <c r="DDK52"/>
      <c r="DDL52"/>
      <c r="DDM52"/>
      <c r="DDN52"/>
      <c r="DDO52"/>
      <c r="DDP52"/>
      <c r="DDQ52"/>
      <c r="DDR52"/>
      <c r="DDS52"/>
      <c r="DDT52"/>
      <c r="DDU52"/>
      <c r="DDV52"/>
      <c r="DDW52"/>
      <c r="DDX52"/>
      <c r="DDY52"/>
      <c r="DDZ52"/>
      <c r="DEA52"/>
      <c r="DEB52"/>
      <c r="DEC52"/>
      <c r="DED52"/>
      <c r="DEE52"/>
      <c r="DEF52"/>
      <c r="DEG52"/>
      <c r="DEH52"/>
      <c r="DEI52"/>
      <c r="DEJ52"/>
      <c r="DEK52"/>
      <c r="DEL52"/>
      <c r="DEM52"/>
      <c r="DEN52"/>
      <c r="DEO52"/>
      <c r="DEP52"/>
      <c r="DEQ52"/>
      <c r="DER52"/>
      <c r="DES52"/>
      <c r="DET52"/>
      <c r="DEU52"/>
      <c r="DEV52"/>
      <c r="DEW52"/>
      <c r="DEX52"/>
      <c r="DEY52"/>
      <c r="DEZ52"/>
      <c r="DFA52"/>
      <c r="DFB52"/>
      <c r="DFC52"/>
      <c r="DFD52"/>
      <c r="DFE52"/>
      <c r="DFF52"/>
      <c r="DFG52"/>
      <c r="DFH52"/>
      <c r="DFI52"/>
      <c r="DFJ52"/>
      <c r="DFK52"/>
      <c r="DFL52"/>
      <c r="DFM52"/>
      <c r="DFN52"/>
      <c r="DFO52"/>
      <c r="DFP52"/>
      <c r="DFQ52"/>
      <c r="DFR52"/>
      <c r="DFS52"/>
      <c r="DFT52"/>
      <c r="DFU52"/>
      <c r="DFV52"/>
      <c r="DFW52"/>
      <c r="DFX52"/>
      <c r="DFY52"/>
      <c r="DFZ52"/>
      <c r="DGA52"/>
      <c r="DGB52"/>
      <c r="DGC52"/>
      <c r="DGD52"/>
      <c r="DGE52"/>
      <c r="DGF52"/>
      <c r="DGG52"/>
      <c r="DGH52"/>
      <c r="DGI52"/>
      <c r="DGJ52"/>
      <c r="DGK52"/>
      <c r="DGL52"/>
      <c r="DGM52"/>
      <c r="DGN52"/>
      <c r="DGO52"/>
      <c r="DGP52"/>
      <c r="DGQ52"/>
      <c r="DGR52"/>
      <c r="DGS52"/>
      <c r="DGT52"/>
      <c r="DGU52"/>
      <c r="DGV52"/>
      <c r="DGW52"/>
      <c r="DGX52"/>
      <c r="DGY52"/>
      <c r="DGZ52"/>
      <c r="DHA52"/>
      <c r="DHB52"/>
      <c r="DHC52"/>
      <c r="DHD52"/>
      <c r="DHE52"/>
      <c r="DHF52"/>
      <c r="DHG52"/>
      <c r="DHH52"/>
      <c r="DHI52"/>
      <c r="DHJ52"/>
      <c r="DHK52"/>
      <c r="DHL52"/>
      <c r="DHM52"/>
      <c r="DHN52"/>
      <c r="DHO52"/>
      <c r="DHP52"/>
      <c r="DHQ52"/>
      <c r="DHR52"/>
      <c r="DHS52"/>
      <c r="DHT52"/>
      <c r="DHU52"/>
      <c r="DHV52"/>
      <c r="DHW52"/>
      <c r="DHX52"/>
      <c r="DHY52"/>
      <c r="DHZ52"/>
      <c r="DIA52"/>
      <c r="DIB52"/>
      <c r="DIC52"/>
      <c r="DID52"/>
      <c r="DIE52"/>
      <c r="DIF52"/>
      <c r="DIG52"/>
      <c r="DIH52"/>
      <c r="DII52"/>
      <c r="DIJ52"/>
      <c r="DIK52"/>
      <c r="DIL52"/>
      <c r="DIM52"/>
      <c r="DIN52"/>
      <c r="DIO52"/>
      <c r="DIP52"/>
      <c r="DIQ52"/>
      <c r="DIR52"/>
      <c r="DIS52"/>
      <c r="DIT52"/>
      <c r="DIU52"/>
      <c r="DIV52"/>
      <c r="DIW52"/>
      <c r="DIX52"/>
      <c r="DIY52"/>
      <c r="DIZ52"/>
      <c r="DJA52"/>
      <c r="DJB52"/>
      <c r="DJC52"/>
      <c r="DJD52"/>
      <c r="DJE52"/>
      <c r="DJF52"/>
      <c r="DJG52"/>
      <c r="DJH52"/>
      <c r="DJI52"/>
      <c r="DJJ52"/>
      <c r="DJK52"/>
      <c r="DJL52"/>
      <c r="DJM52"/>
      <c r="DJN52"/>
      <c r="DJO52"/>
      <c r="DJP52"/>
      <c r="DJQ52"/>
      <c r="DJR52"/>
      <c r="DJS52"/>
      <c r="DJT52"/>
      <c r="DJU52"/>
      <c r="DJV52"/>
      <c r="DJW52"/>
      <c r="DJX52"/>
      <c r="DJY52"/>
      <c r="DJZ52"/>
      <c r="DKA52"/>
      <c r="DKB52"/>
      <c r="DKC52"/>
      <c r="DKD52"/>
      <c r="DKE52"/>
      <c r="DKF52"/>
      <c r="DKG52"/>
      <c r="DKH52"/>
      <c r="DKI52"/>
      <c r="DKJ52"/>
      <c r="DKK52"/>
      <c r="DKL52"/>
      <c r="DKM52"/>
      <c r="DKN52"/>
      <c r="DKO52"/>
      <c r="DKP52"/>
      <c r="DKQ52"/>
      <c r="DKR52"/>
      <c r="DKS52"/>
      <c r="DKT52"/>
      <c r="DKU52"/>
      <c r="DKV52"/>
      <c r="DKW52"/>
      <c r="DKX52"/>
      <c r="DKY52"/>
      <c r="DKZ52"/>
      <c r="DLA52"/>
      <c r="DLB52"/>
      <c r="DLC52"/>
      <c r="DLD52"/>
      <c r="DLE52"/>
      <c r="DLF52"/>
      <c r="DLG52"/>
      <c r="DLH52"/>
      <c r="DLI52"/>
      <c r="DLJ52"/>
      <c r="DLK52"/>
      <c r="DLL52"/>
      <c r="DLM52"/>
      <c r="DLN52"/>
      <c r="DLO52"/>
      <c r="DLP52"/>
      <c r="DLQ52"/>
      <c r="DLR52"/>
      <c r="DLS52"/>
      <c r="DLT52"/>
      <c r="DLU52"/>
      <c r="DLV52"/>
      <c r="DLW52"/>
      <c r="DLX52"/>
      <c r="DLY52"/>
      <c r="DLZ52"/>
      <c r="DMA52"/>
      <c r="DMB52"/>
      <c r="DMC52"/>
      <c r="DMD52"/>
      <c r="DME52"/>
      <c r="DMF52"/>
      <c r="DMG52"/>
      <c r="DMH52"/>
      <c r="DMI52"/>
      <c r="DMJ52"/>
      <c r="DMK52"/>
      <c r="DML52"/>
      <c r="DMM52"/>
      <c r="DMN52"/>
      <c r="DMO52"/>
      <c r="DMP52"/>
      <c r="DMQ52"/>
      <c r="DMR52"/>
      <c r="DMS52"/>
      <c r="DMT52"/>
      <c r="DMU52"/>
      <c r="DMV52"/>
      <c r="DMW52"/>
      <c r="DMX52"/>
      <c r="DMY52"/>
      <c r="DMZ52"/>
      <c r="DNA52"/>
      <c r="DNB52"/>
      <c r="DNC52"/>
      <c r="DND52"/>
      <c r="DNE52"/>
      <c r="DNF52"/>
      <c r="DNG52"/>
      <c r="DNH52"/>
      <c r="DNI52"/>
      <c r="DNJ52"/>
      <c r="DNK52"/>
      <c r="DNL52"/>
      <c r="DNM52"/>
      <c r="DNN52"/>
      <c r="DNO52"/>
      <c r="DNP52"/>
      <c r="DNQ52"/>
      <c r="DNR52"/>
      <c r="DNS52"/>
      <c r="DNT52"/>
      <c r="DNU52"/>
      <c r="DNV52"/>
      <c r="DNW52"/>
      <c r="DNX52"/>
      <c r="DNY52"/>
      <c r="DNZ52"/>
      <c r="DOA52"/>
      <c r="DOB52"/>
      <c r="DOC52"/>
      <c r="DOD52"/>
      <c r="DOE52"/>
      <c r="DOF52"/>
      <c r="DOG52"/>
      <c r="DOH52"/>
      <c r="DOI52"/>
      <c r="DOJ52"/>
      <c r="DOK52"/>
      <c r="DOL52"/>
      <c r="DOM52"/>
      <c r="DON52"/>
      <c r="DOO52"/>
      <c r="DOP52"/>
      <c r="DOQ52"/>
      <c r="DOR52"/>
      <c r="DOS52"/>
      <c r="DOT52"/>
      <c r="DOU52"/>
      <c r="DOV52"/>
      <c r="DOW52"/>
      <c r="DOX52"/>
      <c r="DOY52"/>
      <c r="DOZ52"/>
      <c r="DPA52"/>
      <c r="DPB52"/>
      <c r="DPC52"/>
      <c r="DPD52"/>
      <c r="DPE52"/>
      <c r="DPF52"/>
      <c r="DPG52"/>
      <c r="DPH52"/>
      <c r="DPI52"/>
      <c r="DPJ52"/>
      <c r="DPK52"/>
      <c r="DPL52"/>
      <c r="DPM52"/>
      <c r="DPN52"/>
      <c r="DPO52"/>
      <c r="DPP52"/>
      <c r="DPQ52"/>
      <c r="DPR52"/>
      <c r="DPS52"/>
      <c r="DPT52"/>
      <c r="DPU52"/>
      <c r="DPV52"/>
      <c r="DPW52"/>
      <c r="DPX52"/>
      <c r="DPY52"/>
      <c r="DPZ52"/>
      <c r="DQA52"/>
      <c r="DQB52"/>
      <c r="DQC52"/>
      <c r="DQD52"/>
      <c r="DQE52"/>
      <c r="DQF52"/>
      <c r="DQG52"/>
      <c r="DQH52"/>
      <c r="DQI52"/>
      <c r="DQJ52"/>
      <c r="DQK52"/>
      <c r="DQL52"/>
      <c r="DQM52"/>
      <c r="DQN52"/>
      <c r="DQO52"/>
      <c r="DQP52"/>
      <c r="DQQ52"/>
      <c r="DQR52"/>
      <c r="DQS52"/>
      <c r="DQT52"/>
      <c r="DQU52"/>
      <c r="DQV52"/>
      <c r="DQW52"/>
      <c r="DQX52"/>
      <c r="DQY52"/>
      <c r="DQZ52"/>
      <c r="DRA52"/>
      <c r="DRB52"/>
      <c r="DRC52"/>
      <c r="DRD52"/>
      <c r="DRE52"/>
      <c r="DRF52"/>
      <c r="DRG52"/>
      <c r="DRH52"/>
      <c r="DRI52"/>
      <c r="DRJ52"/>
      <c r="DRK52"/>
      <c r="DRL52"/>
      <c r="DRM52"/>
      <c r="DRN52"/>
      <c r="DRO52"/>
      <c r="DRP52"/>
      <c r="DRQ52"/>
      <c r="DRR52"/>
      <c r="DRS52"/>
      <c r="DRT52"/>
      <c r="DRU52"/>
      <c r="DRV52"/>
      <c r="DRW52"/>
      <c r="DRX52"/>
      <c r="DRY52"/>
      <c r="DRZ52"/>
      <c r="DSA52"/>
      <c r="DSB52"/>
      <c r="DSC52"/>
      <c r="DSD52"/>
      <c r="DSE52"/>
      <c r="DSF52"/>
      <c r="DSG52"/>
      <c r="DSH52"/>
      <c r="DSI52"/>
      <c r="DSJ52"/>
      <c r="DSK52"/>
      <c r="DSL52"/>
      <c r="DSM52"/>
      <c r="DSN52"/>
      <c r="DSO52"/>
      <c r="DSP52"/>
      <c r="DSQ52"/>
      <c r="DSR52"/>
      <c r="DSS52"/>
      <c r="DST52"/>
      <c r="DSU52"/>
      <c r="DSV52"/>
      <c r="DSW52"/>
      <c r="DSX52"/>
      <c r="DSY52"/>
      <c r="DSZ52"/>
      <c r="DTA52"/>
      <c r="DTB52"/>
      <c r="DTC52"/>
      <c r="DTD52"/>
      <c r="DTE52"/>
      <c r="DTF52"/>
      <c r="DTG52"/>
      <c r="DTH52"/>
      <c r="DTI52"/>
      <c r="DTJ52"/>
      <c r="DTK52"/>
      <c r="DTL52"/>
      <c r="DTM52"/>
      <c r="DTN52"/>
      <c r="DTO52"/>
      <c r="DTP52"/>
      <c r="DTQ52"/>
      <c r="DTR52"/>
      <c r="DTS52"/>
      <c r="DTT52"/>
      <c r="DTU52"/>
      <c r="DTV52"/>
      <c r="DTW52"/>
      <c r="DTX52"/>
      <c r="DTY52"/>
      <c r="DTZ52"/>
      <c r="DUA52"/>
      <c r="DUB52"/>
      <c r="DUC52"/>
      <c r="DUD52"/>
      <c r="DUE52"/>
      <c r="DUF52"/>
      <c r="DUG52"/>
      <c r="DUH52"/>
      <c r="DUI52"/>
      <c r="DUJ52"/>
      <c r="DUK52"/>
      <c r="DUL52"/>
      <c r="DUM52"/>
      <c r="DUN52"/>
      <c r="DUO52"/>
      <c r="DUP52"/>
      <c r="DUQ52"/>
      <c r="DUR52"/>
      <c r="DUS52"/>
      <c r="DUT52"/>
      <c r="DUU52"/>
      <c r="DUV52"/>
      <c r="DUW52"/>
      <c r="DUX52"/>
      <c r="DUY52"/>
      <c r="DUZ52"/>
      <c r="DVA52"/>
      <c r="DVB52"/>
      <c r="DVC52"/>
      <c r="DVD52"/>
      <c r="DVE52"/>
      <c r="DVF52"/>
      <c r="DVG52"/>
      <c r="DVH52"/>
      <c r="DVI52"/>
      <c r="DVJ52"/>
      <c r="DVK52"/>
      <c r="DVL52"/>
      <c r="DVM52"/>
      <c r="DVN52"/>
      <c r="DVO52"/>
      <c r="DVP52"/>
      <c r="DVQ52"/>
      <c r="DVR52"/>
      <c r="DVS52"/>
      <c r="DVT52"/>
      <c r="DVU52"/>
      <c r="DVV52"/>
      <c r="DVW52"/>
      <c r="DVX52"/>
      <c r="DVY52"/>
      <c r="DVZ52"/>
      <c r="DWA52"/>
      <c r="DWB52"/>
      <c r="DWC52"/>
      <c r="DWD52"/>
      <c r="DWE52"/>
      <c r="DWF52"/>
      <c r="DWG52"/>
      <c r="DWH52"/>
      <c r="DWI52"/>
      <c r="DWJ52"/>
      <c r="DWK52"/>
      <c r="DWL52"/>
      <c r="DWM52"/>
      <c r="DWN52"/>
      <c r="DWO52"/>
      <c r="DWP52"/>
      <c r="DWQ52"/>
      <c r="DWR52"/>
      <c r="DWS52"/>
      <c r="DWT52"/>
      <c r="DWU52"/>
      <c r="DWV52"/>
      <c r="DWW52"/>
      <c r="DWX52"/>
      <c r="DWY52"/>
      <c r="DWZ52"/>
      <c r="DXA52"/>
      <c r="DXB52"/>
      <c r="DXC52"/>
      <c r="DXD52"/>
      <c r="DXE52"/>
      <c r="DXF52"/>
      <c r="DXG52"/>
      <c r="DXH52"/>
      <c r="DXI52"/>
      <c r="DXJ52"/>
      <c r="DXK52"/>
      <c r="DXL52"/>
      <c r="DXM52"/>
      <c r="DXN52"/>
      <c r="DXO52"/>
      <c r="DXP52"/>
      <c r="DXQ52"/>
      <c r="DXR52"/>
      <c r="DXS52"/>
      <c r="DXT52"/>
      <c r="DXU52"/>
      <c r="DXV52"/>
      <c r="DXW52"/>
      <c r="DXX52"/>
      <c r="DXY52"/>
      <c r="DXZ52"/>
      <c r="DYA52"/>
      <c r="DYB52"/>
      <c r="DYC52"/>
      <c r="DYD52"/>
      <c r="DYE52"/>
      <c r="DYF52"/>
      <c r="DYG52"/>
      <c r="DYH52"/>
      <c r="DYI52"/>
      <c r="DYJ52"/>
      <c r="DYK52"/>
      <c r="DYL52"/>
      <c r="DYM52"/>
      <c r="DYN52"/>
      <c r="DYO52"/>
      <c r="DYP52"/>
      <c r="DYQ52"/>
      <c r="DYR52"/>
      <c r="DYS52"/>
      <c r="DYT52"/>
      <c r="DYU52"/>
      <c r="DYV52"/>
      <c r="DYW52"/>
      <c r="DYX52"/>
      <c r="DYY52"/>
      <c r="DYZ52"/>
      <c r="DZA52"/>
      <c r="DZB52"/>
      <c r="DZC52"/>
      <c r="DZD52"/>
      <c r="DZE52"/>
      <c r="DZF52"/>
      <c r="DZG52"/>
      <c r="DZH52"/>
      <c r="DZI52"/>
      <c r="DZJ52"/>
      <c r="DZK52"/>
      <c r="DZL52"/>
      <c r="DZM52"/>
      <c r="DZN52"/>
      <c r="DZO52"/>
      <c r="DZP52"/>
      <c r="DZQ52"/>
      <c r="DZR52"/>
      <c r="DZS52"/>
      <c r="DZT52"/>
      <c r="DZU52"/>
      <c r="DZV52"/>
      <c r="DZW52"/>
      <c r="DZX52"/>
      <c r="DZY52"/>
      <c r="DZZ52"/>
      <c r="EAA52"/>
      <c r="EAB52"/>
      <c r="EAC52"/>
      <c r="EAD52"/>
      <c r="EAE52"/>
      <c r="EAF52"/>
      <c r="EAG52"/>
      <c r="EAH52"/>
      <c r="EAI52"/>
      <c r="EAJ52"/>
      <c r="EAK52"/>
      <c r="EAL52"/>
      <c r="EAM52"/>
      <c r="EAN52"/>
      <c r="EAO52"/>
      <c r="EAP52"/>
      <c r="EAQ52"/>
      <c r="EAR52"/>
      <c r="EAS52"/>
      <c r="EAT52"/>
      <c r="EAU52"/>
      <c r="EAV52"/>
      <c r="EAW52"/>
      <c r="EAX52"/>
      <c r="EAY52"/>
      <c r="EAZ52"/>
      <c r="EBA52"/>
      <c r="EBB52"/>
      <c r="EBC52"/>
      <c r="EBD52"/>
      <c r="EBE52"/>
      <c r="EBF52"/>
      <c r="EBG52"/>
      <c r="EBH52"/>
      <c r="EBI52"/>
      <c r="EBJ52"/>
      <c r="EBK52"/>
      <c r="EBL52"/>
      <c r="EBM52"/>
      <c r="EBN52"/>
      <c r="EBO52"/>
      <c r="EBP52"/>
      <c r="EBQ52"/>
      <c r="EBR52"/>
      <c r="EBS52"/>
      <c r="EBT52"/>
      <c r="EBU52"/>
      <c r="EBV52"/>
      <c r="EBW52"/>
      <c r="EBX52"/>
      <c r="EBY52"/>
      <c r="EBZ52"/>
      <c r="ECA52"/>
      <c r="ECB52"/>
      <c r="ECC52"/>
      <c r="ECD52"/>
      <c r="ECE52"/>
      <c r="ECF52"/>
      <c r="ECG52"/>
      <c r="ECH52"/>
      <c r="ECI52"/>
      <c r="ECJ52"/>
      <c r="ECK52"/>
      <c r="ECL52"/>
      <c r="ECM52"/>
      <c r="ECN52"/>
      <c r="ECO52"/>
      <c r="ECP52"/>
      <c r="ECQ52"/>
      <c r="ECR52"/>
      <c r="ECS52"/>
      <c r="ECT52"/>
      <c r="ECU52"/>
      <c r="ECV52"/>
      <c r="ECW52"/>
      <c r="ECX52"/>
      <c r="ECY52"/>
      <c r="ECZ52"/>
      <c r="EDA52"/>
      <c r="EDB52"/>
      <c r="EDC52"/>
      <c r="EDD52"/>
      <c r="EDE52"/>
      <c r="EDF52"/>
      <c r="EDG52"/>
      <c r="EDH52"/>
      <c r="EDI52"/>
      <c r="EDJ52"/>
      <c r="EDK52"/>
      <c r="EDL52"/>
      <c r="EDM52"/>
      <c r="EDN52"/>
      <c r="EDO52"/>
      <c r="EDP52"/>
      <c r="EDQ52"/>
      <c r="EDR52"/>
      <c r="EDS52"/>
      <c r="EDT52"/>
      <c r="EDU52"/>
      <c r="EDV52"/>
      <c r="EDW52"/>
      <c r="EDX52"/>
      <c r="EDY52"/>
      <c r="EDZ52"/>
      <c r="EEA52"/>
      <c r="EEB52"/>
      <c r="EEC52"/>
      <c r="EED52"/>
      <c r="EEE52"/>
      <c r="EEF52"/>
      <c r="EEG52"/>
      <c r="EEH52"/>
      <c r="EEI52"/>
      <c r="EEJ52"/>
      <c r="EEK52"/>
      <c r="EEL52"/>
      <c r="EEM52"/>
      <c r="EEN52"/>
      <c r="EEO52"/>
      <c r="EEP52"/>
      <c r="EEQ52"/>
      <c r="EER52"/>
      <c r="EES52"/>
      <c r="EET52"/>
      <c r="EEU52"/>
      <c r="EEV52"/>
      <c r="EEW52"/>
      <c r="EEX52"/>
      <c r="EEY52"/>
      <c r="EEZ52"/>
      <c r="EFA52"/>
      <c r="EFB52"/>
      <c r="EFC52"/>
      <c r="EFD52"/>
      <c r="EFE52"/>
      <c r="EFF52"/>
      <c r="EFG52"/>
      <c r="EFH52"/>
      <c r="EFI52"/>
      <c r="EFJ52"/>
      <c r="EFK52"/>
      <c r="EFL52"/>
      <c r="EFM52"/>
      <c r="EFN52"/>
      <c r="EFO52"/>
      <c r="EFP52"/>
      <c r="EFQ52"/>
      <c r="EFR52"/>
      <c r="EFS52"/>
      <c r="EFT52"/>
      <c r="EFU52"/>
      <c r="EFV52"/>
      <c r="EFW52"/>
      <c r="EFX52"/>
      <c r="EFY52"/>
      <c r="EFZ52"/>
      <c r="EGA52"/>
      <c r="EGB52"/>
      <c r="EGC52"/>
      <c r="EGD52"/>
      <c r="EGE52"/>
      <c r="EGF52"/>
      <c r="EGG52"/>
      <c r="EGH52"/>
      <c r="EGI52"/>
      <c r="EGJ52"/>
      <c r="EGK52"/>
      <c r="EGL52"/>
      <c r="EGM52"/>
      <c r="EGN52"/>
      <c r="EGO52"/>
      <c r="EGP52"/>
      <c r="EGQ52"/>
      <c r="EGR52"/>
      <c r="EGS52"/>
      <c r="EGT52"/>
      <c r="EGU52"/>
      <c r="EGV52"/>
      <c r="EGW52"/>
      <c r="EGX52"/>
      <c r="EGY52"/>
      <c r="EGZ52"/>
      <c r="EHA52"/>
      <c r="EHB52"/>
      <c r="EHC52"/>
      <c r="EHD52"/>
      <c r="EHE52"/>
      <c r="EHF52"/>
      <c r="EHG52"/>
      <c r="EHH52"/>
      <c r="EHI52"/>
      <c r="EHJ52"/>
      <c r="EHK52"/>
      <c r="EHL52"/>
      <c r="EHM52"/>
      <c r="EHN52"/>
      <c r="EHO52"/>
      <c r="EHP52"/>
      <c r="EHQ52"/>
      <c r="EHR52"/>
      <c r="EHS52"/>
      <c r="EHT52"/>
      <c r="EHU52"/>
      <c r="EHV52"/>
      <c r="EHW52"/>
      <c r="EHX52"/>
      <c r="EHY52"/>
      <c r="EHZ52"/>
      <c r="EIA52"/>
      <c r="EIB52"/>
      <c r="EIC52"/>
      <c r="EID52"/>
      <c r="EIE52"/>
      <c r="EIF52"/>
      <c r="EIG52"/>
      <c r="EIH52"/>
      <c r="EII52"/>
      <c r="EIJ52"/>
      <c r="EIK52"/>
      <c r="EIL52"/>
      <c r="EIM52"/>
      <c r="EIN52"/>
      <c r="EIO52"/>
      <c r="EIP52"/>
      <c r="EIQ52"/>
      <c r="EIR52"/>
      <c r="EIS52"/>
      <c r="EIT52"/>
      <c r="EIU52"/>
      <c r="EIV52"/>
      <c r="EIW52"/>
      <c r="EIX52"/>
      <c r="EIY52"/>
      <c r="EIZ52"/>
      <c r="EJA52"/>
      <c r="EJB52"/>
      <c r="EJC52"/>
      <c r="EJD52"/>
      <c r="EJE52"/>
      <c r="EJF52"/>
      <c r="EJG52"/>
      <c r="EJH52"/>
      <c r="EJI52"/>
      <c r="EJJ52"/>
      <c r="EJK52"/>
      <c r="EJL52"/>
      <c r="EJM52"/>
      <c r="EJN52"/>
      <c r="EJO52"/>
      <c r="EJP52"/>
      <c r="EJQ52"/>
      <c r="EJR52"/>
      <c r="EJS52"/>
      <c r="EJT52"/>
      <c r="EJU52"/>
      <c r="EJV52"/>
      <c r="EJW52"/>
      <c r="EJX52"/>
      <c r="EJY52"/>
      <c r="EJZ52"/>
      <c r="EKA52"/>
      <c r="EKB52"/>
      <c r="EKC52"/>
      <c r="EKD52"/>
      <c r="EKE52"/>
      <c r="EKF52"/>
      <c r="EKG52"/>
      <c r="EKH52"/>
      <c r="EKI52"/>
      <c r="EKJ52"/>
      <c r="EKK52"/>
      <c r="EKL52"/>
      <c r="EKM52"/>
      <c r="EKN52"/>
      <c r="EKO52"/>
      <c r="EKP52"/>
      <c r="EKQ52"/>
      <c r="EKR52"/>
      <c r="EKS52"/>
      <c r="EKT52"/>
      <c r="EKU52"/>
      <c r="EKV52"/>
      <c r="EKW52"/>
      <c r="EKX52"/>
      <c r="EKY52"/>
      <c r="EKZ52"/>
      <c r="ELA52"/>
      <c r="ELB52"/>
      <c r="ELC52"/>
      <c r="ELD52"/>
      <c r="ELE52"/>
      <c r="ELF52"/>
      <c r="ELG52"/>
      <c r="ELH52"/>
      <c r="ELI52"/>
      <c r="ELJ52"/>
      <c r="ELK52"/>
      <c r="ELL52"/>
      <c r="ELM52"/>
      <c r="ELN52"/>
      <c r="ELO52"/>
      <c r="ELP52"/>
      <c r="ELQ52"/>
      <c r="ELR52"/>
      <c r="ELS52"/>
      <c r="ELT52"/>
      <c r="ELU52"/>
      <c r="ELV52"/>
      <c r="ELW52"/>
      <c r="ELX52"/>
      <c r="ELY52"/>
      <c r="ELZ52"/>
      <c r="EMA52"/>
      <c r="EMB52"/>
      <c r="EMC52"/>
      <c r="EMD52"/>
      <c r="EME52"/>
      <c r="EMF52"/>
      <c r="EMG52"/>
      <c r="EMH52"/>
      <c r="EMI52"/>
      <c r="EMJ52"/>
      <c r="EMK52"/>
      <c r="EML52"/>
      <c r="EMM52"/>
      <c r="EMN52"/>
      <c r="EMO52"/>
      <c r="EMP52"/>
      <c r="EMQ52"/>
      <c r="EMR52"/>
      <c r="EMS52"/>
      <c r="EMT52"/>
      <c r="EMU52"/>
      <c r="EMV52"/>
      <c r="EMW52"/>
      <c r="EMX52"/>
      <c r="EMY52"/>
      <c r="EMZ52"/>
      <c r="ENA52"/>
      <c r="ENB52"/>
      <c r="ENC52"/>
      <c r="END52"/>
      <c r="ENE52"/>
      <c r="ENF52"/>
      <c r="ENG52"/>
      <c r="ENH52"/>
      <c r="ENI52"/>
      <c r="ENJ52"/>
      <c r="ENK52"/>
      <c r="ENL52"/>
      <c r="ENM52"/>
      <c r="ENN52"/>
      <c r="ENO52"/>
      <c r="ENP52"/>
      <c r="ENQ52"/>
      <c r="ENR52"/>
      <c r="ENS52"/>
      <c r="ENT52"/>
      <c r="ENU52"/>
      <c r="ENV52"/>
      <c r="ENW52"/>
      <c r="ENX52"/>
      <c r="ENY52"/>
      <c r="ENZ52"/>
      <c r="EOA52"/>
      <c r="EOB52"/>
      <c r="EOC52"/>
      <c r="EOD52"/>
      <c r="EOE52"/>
      <c r="EOF52"/>
      <c r="EOG52"/>
      <c r="EOH52"/>
      <c r="EOI52"/>
      <c r="EOJ52"/>
      <c r="EOK52"/>
      <c r="EOL52"/>
      <c r="EOM52"/>
      <c r="EON52"/>
      <c r="EOO52"/>
      <c r="EOP52"/>
      <c r="EOQ52"/>
      <c r="EOR52"/>
      <c r="EOS52"/>
      <c r="EOT52"/>
      <c r="EOU52"/>
      <c r="EOV52"/>
      <c r="EOW52"/>
      <c r="EOX52"/>
      <c r="EOY52"/>
      <c r="EOZ52"/>
      <c r="EPA52"/>
      <c r="EPB52"/>
      <c r="EPC52"/>
      <c r="EPD52"/>
      <c r="EPE52"/>
      <c r="EPF52"/>
      <c r="EPG52"/>
      <c r="EPH52"/>
      <c r="EPI52"/>
      <c r="EPJ52"/>
      <c r="EPK52"/>
      <c r="EPL52"/>
      <c r="EPM52"/>
      <c r="EPN52"/>
      <c r="EPO52"/>
      <c r="EPP52"/>
      <c r="EPQ52"/>
      <c r="EPR52"/>
      <c r="EPS52"/>
      <c r="EPT52"/>
      <c r="EPU52"/>
      <c r="EPV52"/>
      <c r="EPW52"/>
      <c r="EPX52"/>
      <c r="EPY52"/>
      <c r="EPZ52"/>
      <c r="EQA52"/>
      <c r="EQB52"/>
      <c r="EQC52"/>
      <c r="EQD52"/>
      <c r="EQE52"/>
      <c r="EQF52"/>
      <c r="EQG52"/>
      <c r="EQH52"/>
      <c r="EQI52"/>
      <c r="EQJ52"/>
      <c r="EQK52"/>
      <c r="EQL52"/>
      <c r="EQM52"/>
      <c r="EQN52"/>
      <c r="EQO52"/>
      <c r="EQP52"/>
      <c r="EQQ52"/>
      <c r="EQR52"/>
      <c r="EQS52"/>
      <c r="EQT52"/>
      <c r="EQU52"/>
      <c r="EQV52"/>
      <c r="EQW52"/>
      <c r="EQX52"/>
      <c r="EQY52"/>
      <c r="EQZ52"/>
      <c r="ERA52"/>
      <c r="ERB52"/>
      <c r="ERC52"/>
      <c r="ERD52"/>
      <c r="ERE52"/>
      <c r="ERF52"/>
      <c r="ERG52"/>
      <c r="ERH52"/>
      <c r="ERI52"/>
      <c r="ERJ52"/>
      <c r="ERK52"/>
      <c r="ERL52"/>
      <c r="ERM52"/>
      <c r="ERN52"/>
      <c r="ERO52"/>
      <c r="ERP52"/>
      <c r="ERQ52"/>
      <c r="ERR52"/>
      <c r="ERS52"/>
      <c r="ERT52"/>
      <c r="ERU52"/>
      <c r="ERV52"/>
      <c r="ERW52"/>
      <c r="ERX52"/>
      <c r="ERY52"/>
      <c r="ERZ52"/>
      <c r="ESA52"/>
      <c r="ESB52"/>
      <c r="ESC52"/>
      <c r="ESD52"/>
      <c r="ESE52"/>
      <c r="ESF52"/>
      <c r="ESG52"/>
      <c r="ESH52"/>
      <c r="ESI52"/>
      <c r="ESJ52"/>
      <c r="ESK52"/>
      <c r="ESL52"/>
      <c r="ESM52"/>
      <c r="ESN52"/>
      <c r="ESO52"/>
      <c r="ESP52"/>
      <c r="ESQ52"/>
      <c r="ESR52"/>
      <c r="ESS52"/>
      <c r="EST52"/>
      <c r="ESU52"/>
      <c r="ESV52"/>
      <c r="ESW52"/>
      <c r="ESX52"/>
      <c r="ESY52"/>
      <c r="ESZ52"/>
      <c r="ETA52"/>
      <c r="ETB52"/>
      <c r="ETC52"/>
      <c r="ETD52"/>
      <c r="ETE52"/>
      <c r="ETF52"/>
      <c r="ETG52"/>
      <c r="ETH52"/>
      <c r="ETI52"/>
      <c r="ETJ52"/>
      <c r="ETK52"/>
      <c r="ETL52"/>
      <c r="ETM52"/>
      <c r="ETN52"/>
      <c r="ETO52"/>
      <c r="ETP52"/>
      <c r="ETQ52"/>
      <c r="ETR52"/>
      <c r="ETS52"/>
      <c r="ETT52"/>
      <c r="ETU52"/>
      <c r="ETV52"/>
      <c r="ETW52"/>
      <c r="ETX52"/>
      <c r="ETY52"/>
      <c r="ETZ52"/>
      <c r="EUA52"/>
      <c r="EUB52"/>
      <c r="EUC52"/>
      <c r="EUD52"/>
      <c r="EUE52"/>
      <c r="EUF52"/>
      <c r="EUG52"/>
      <c r="EUH52"/>
      <c r="EUI52"/>
      <c r="EUJ52"/>
      <c r="EUK52"/>
      <c r="EUL52"/>
      <c r="EUM52"/>
      <c r="EUN52"/>
      <c r="EUO52"/>
      <c r="EUP52"/>
      <c r="EUQ52"/>
      <c r="EUR52"/>
      <c r="EUS52"/>
      <c r="EUT52"/>
      <c r="EUU52"/>
      <c r="EUV52"/>
      <c r="EUW52"/>
      <c r="EUX52"/>
      <c r="EUY52"/>
      <c r="EUZ52"/>
      <c r="EVA52"/>
      <c r="EVB52"/>
      <c r="EVC52"/>
      <c r="EVD52"/>
      <c r="EVE52"/>
      <c r="EVF52"/>
      <c r="EVG52"/>
      <c r="EVH52"/>
      <c r="EVI52"/>
      <c r="EVJ52"/>
      <c r="EVK52"/>
      <c r="EVL52"/>
      <c r="EVM52"/>
      <c r="EVN52"/>
      <c r="EVO52"/>
      <c r="EVP52"/>
      <c r="EVQ52"/>
      <c r="EVR52"/>
      <c r="EVS52"/>
      <c r="EVT52"/>
      <c r="EVU52"/>
      <c r="EVV52"/>
      <c r="EVW52"/>
      <c r="EVX52"/>
      <c r="EVY52"/>
      <c r="EVZ52"/>
      <c r="EWA52"/>
      <c r="EWB52"/>
      <c r="EWC52"/>
      <c r="EWD52"/>
      <c r="EWE52"/>
      <c r="EWF52"/>
      <c r="EWG52"/>
      <c r="EWH52"/>
      <c r="EWI52"/>
      <c r="EWJ52"/>
      <c r="EWK52"/>
      <c r="EWL52"/>
      <c r="EWM52"/>
      <c r="EWN52"/>
      <c r="EWO52"/>
      <c r="EWP52"/>
      <c r="EWQ52"/>
      <c r="EWR52"/>
      <c r="EWS52"/>
      <c r="EWT52"/>
      <c r="EWU52"/>
      <c r="EWV52"/>
      <c r="EWW52"/>
      <c r="EWX52"/>
      <c r="EWY52"/>
      <c r="EWZ52"/>
      <c r="EXA52"/>
      <c r="EXB52"/>
      <c r="EXC52"/>
      <c r="EXD52"/>
      <c r="EXE52"/>
      <c r="EXF52"/>
      <c r="EXG52"/>
      <c r="EXH52"/>
      <c r="EXI52"/>
      <c r="EXJ52"/>
      <c r="EXK52"/>
      <c r="EXL52"/>
      <c r="EXM52"/>
      <c r="EXN52"/>
      <c r="EXO52"/>
      <c r="EXP52"/>
      <c r="EXQ52"/>
      <c r="EXR52"/>
      <c r="EXS52"/>
      <c r="EXT52"/>
      <c r="EXU52"/>
      <c r="EXV52"/>
      <c r="EXW52"/>
      <c r="EXX52"/>
      <c r="EXY52"/>
      <c r="EXZ52"/>
      <c r="EYA52"/>
      <c r="EYB52"/>
      <c r="EYC52"/>
      <c r="EYD52"/>
      <c r="EYE52"/>
      <c r="EYF52"/>
      <c r="EYG52"/>
      <c r="EYH52"/>
      <c r="EYI52"/>
      <c r="EYJ52"/>
      <c r="EYK52"/>
      <c r="EYL52"/>
      <c r="EYM52"/>
      <c r="EYN52"/>
      <c r="EYO52"/>
      <c r="EYP52"/>
      <c r="EYQ52"/>
      <c r="EYR52"/>
      <c r="EYS52"/>
      <c r="EYT52"/>
      <c r="EYU52"/>
      <c r="EYV52"/>
      <c r="EYW52"/>
      <c r="EYX52"/>
      <c r="EYY52"/>
      <c r="EYZ52"/>
      <c r="EZA52"/>
      <c r="EZB52"/>
      <c r="EZC52"/>
      <c r="EZD52"/>
      <c r="EZE52"/>
      <c r="EZF52"/>
      <c r="EZG52"/>
      <c r="EZH52"/>
      <c r="EZI52"/>
      <c r="EZJ52"/>
      <c r="EZK52"/>
      <c r="EZL52"/>
      <c r="EZM52"/>
      <c r="EZN52"/>
      <c r="EZO52"/>
      <c r="EZP52"/>
      <c r="EZQ52"/>
      <c r="EZR52"/>
      <c r="EZS52"/>
      <c r="EZT52"/>
      <c r="EZU52"/>
      <c r="EZV52"/>
      <c r="EZW52"/>
      <c r="EZX52"/>
      <c r="EZY52"/>
      <c r="EZZ52"/>
      <c r="FAA52"/>
      <c r="FAB52"/>
      <c r="FAC52"/>
      <c r="FAD52"/>
      <c r="FAE52"/>
      <c r="FAF52"/>
      <c r="FAG52"/>
      <c r="FAH52"/>
      <c r="FAI52"/>
      <c r="FAJ52"/>
      <c r="FAK52"/>
      <c r="FAL52"/>
      <c r="FAM52"/>
      <c r="FAN52"/>
      <c r="FAO52"/>
      <c r="FAP52"/>
      <c r="FAQ52"/>
      <c r="FAR52"/>
      <c r="FAS52"/>
      <c r="FAT52"/>
      <c r="FAU52"/>
      <c r="FAV52"/>
      <c r="FAW52"/>
      <c r="FAX52"/>
      <c r="FAY52"/>
      <c r="FAZ52"/>
      <c r="FBA52"/>
      <c r="FBB52"/>
      <c r="FBC52"/>
      <c r="FBD52"/>
      <c r="FBE52"/>
      <c r="FBF52"/>
      <c r="FBG52"/>
      <c r="FBH52"/>
      <c r="FBI52"/>
      <c r="FBJ52"/>
      <c r="FBK52"/>
      <c r="FBL52"/>
      <c r="FBM52"/>
      <c r="FBN52"/>
      <c r="FBO52"/>
      <c r="FBP52"/>
      <c r="FBQ52"/>
      <c r="FBR52"/>
      <c r="FBS52"/>
      <c r="FBT52"/>
      <c r="FBU52"/>
      <c r="FBV52"/>
      <c r="FBW52"/>
      <c r="FBX52"/>
      <c r="FBY52"/>
      <c r="FBZ52"/>
      <c r="FCA52"/>
      <c r="FCB52"/>
      <c r="FCC52"/>
      <c r="FCD52"/>
      <c r="FCE52"/>
      <c r="FCF52"/>
      <c r="FCG52"/>
      <c r="FCH52"/>
      <c r="FCI52"/>
      <c r="FCJ52"/>
      <c r="FCK52"/>
      <c r="FCL52"/>
      <c r="FCM52"/>
      <c r="FCN52"/>
      <c r="FCO52"/>
      <c r="FCP52"/>
      <c r="FCQ52"/>
      <c r="FCR52"/>
      <c r="FCS52"/>
      <c r="FCT52"/>
      <c r="FCU52"/>
      <c r="FCV52"/>
      <c r="FCW52"/>
      <c r="FCX52"/>
      <c r="FCY52"/>
      <c r="FCZ52"/>
      <c r="FDA52"/>
      <c r="FDB52"/>
      <c r="FDC52"/>
      <c r="FDD52"/>
      <c r="FDE52"/>
      <c r="FDF52"/>
      <c r="FDG52"/>
      <c r="FDH52"/>
      <c r="FDI52"/>
      <c r="FDJ52"/>
      <c r="FDK52"/>
      <c r="FDL52"/>
      <c r="FDM52"/>
      <c r="FDN52"/>
      <c r="FDO52"/>
      <c r="FDP52"/>
      <c r="FDQ52"/>
      <c r="FDR52"/>
      <c r="FDS52"/>
      <c r="FDT52"/>
      <c r="FDU52"/>
      <c r="FDV52"/>
      <c r="FDW52"/>
      <c r="FDX52"/>
      <c r="FDY52"/>
      <c r="FDZ52"/>
      <c r="FEA52"/>
      <c r="FEB52"/>
      <c r="FEC52"/>
      <c r="FED52"/>
      <c r="FEE52"/>
      <c r="FEF52"/>
      <c r="FEG52"/>
      <c r="FEH52"/>
      <c r="FEI52"/>
      <c r="FEJ52"/>
      <c r="FEK52"/>
      <c r="FEL52"/>
      <c r="FEM52"/>
      <c r="FEN52"/>
      <c r="FEO52"/>
      <c r="FEP52"/>
      <c r="FEQ52"/>
      <c r="FER52"/>
      <c r="FES52"/>
      <c r="FET52"/>
      <c r="FEU52"/>
      <c r="FEV52"/>
      <c r="FEW52"/>
      <c r="FEX52"/>
      <c r="FEY52"/>
      <c r="FEZ52"/>
      <c r="FFA52"/>
      <c r="FFB52"/>
      <c r="FFC52"/>
      <c r="FFD52"/>
      <c r="FFE52"/>
      <c r="FFF52"/>
      <c r="FFG52"/>
      <c r="FFH52"/>
      <c r="FFI52"/>
      <c r="FFJ52"/>
      <c r="FFK52"/>
      <c r="FFL52"/>
      <c r="FFM52"/>
      <c r="FFN52"/>
      <c r="FFO52"/>
      <c r="FFP52"/>
      <c r="FFQ52"/>
      <c r="FFR52"/>
      <c r="FFS52"/>
      <c r="FFT52"/>
      <c r="FFU52"/>
      <c r="FFV52"/>
      <c r="FFW52"/>
      <c r="FFX52"/>
      <c r="FFY52"/>
      <c r="FFZ52"/>
      <c r="FGA52"/>
      <c r="FGB52"/>
      <c r="FGC52"/>
      <c r="FGD52"/>
      <c r="FGE52"/>
      <c r="FGF52"/>
      <c r="FGG52"/>
      <c r="FGH52"/>
      <c r="FGI52"/>
      <c r="FGJ52"/>
      <c r="FGK52"/>
      <c r="FGL52"/>
      <c r="FGM52"/>
      <c r="FGN52"/>
      <c r="FGO52"/>
      <c r="FGP52"/>
      <c r="FGQ52"/>
      <c r="FGR52"/>
      <c r="FGS52"/>
      <c r="FGT52"/>
      <c r="FGU52"/>
      <c r="FGV52"/>
      <c r="FGW52"/>
      <c r="FGX52"/>
      <c r="FGY52"/>
      <c r="FGZ52"/>
      <c r="FHA52"/>
      <c r="FHB52"/>
      <c r="FHC52"/>
      <c r="FHD52"/>
      <c r="FHE52"/>
      <c r="FHF52"/>
      <c r="FHG52"/>
      <c r="FHH52"/>
      <c r="FHI52"/>
      <c r="FHJ52"/>
      <c r="FHK52"/>
      <c r="FHL52"/>
      <c r="FHM52"/>
      <c r="FHN52"/>
      <c r="FHO52"/>
      <c r="FHP52"/>
      <c r="FHQ52"/>
      <c r="FHR52"/>
      <c r="FHS52"/>
      <c r="FHT52"/>
      <c r="FHU52"/>
      <c r="FHV52"/>
      <c r="FHW52"/>
      <c r="FHX52"/>
      <c r="FHY52"/>
      <c r="FHZ52"/>
      <c r="FIA52"/>
      <c r="FIB52"/>
      <c r="FIC52"/>
      <c r="FID52"/>
      <c r="FIE52"/>
      <c r="FIF52"/>
      <c r="FIG52"/>
      <c r="FIH52"/>
      <c r="FII52"/>
      <c r="FIJ52"/>
      <c r="FIK52"/>
      <c r="FIL52"/>
      <c r="FIM52"/>
      <c r="FIN52"/>
      <c r="FIO52"/>
      <c r="FIP52"/>
      <c r="FIQ52"/>
      <c r="FIR52"/>
      <c r="FIS52"/>
      <c r="FIT52"/>
      <c r="FIU52"/>
      <c r="FIV52"/>
      <c r="FIW52"/>
      <c r="FIX52"/>
      <c r="FIY52"/>
      <c r="FIZ52"/>
      <c r="FJA52"/>
      <c r="FJB52"/>
      <c r="FJC52"/>
      <c r="FJD52"/>
      <c r="FJE52"/>
      <c r="FJF52"/>
      <c r="FJG52"/>
      <c r="FJH52"/>
      <c r="FJI52"/>
      <c r="FJJ52"/>
      <c r="FJK52"/>
      <c r="FJL52"/>
      <c r="FJM52"/>
      <c r="FJN52"/>
      <c r="FJO52"/>
      <c r="FJP52"/>
      <c r="FJQ52"/>
      <c r="FJR52"/>
      <c r="FJS52"/>
      <c r="FJT52"/>
      <c r="FJU52"/>
      <c r="FJV52"/>
      <c r="FJW52"/>
      <c r="FJX52"/>
      <c r="FJY52"/>
      <c r="FJZ52"/>
      <c r="FKA52"/>
      <c r="FKB52"/>
      <c r="FKC52"/>
      <c r="FKD52"/>
      <c r="FKE52"/>
      <c r="FKF52"/>
      <c r="FKG52"/>
      <c r="FKH52"/>
      <c r="FKI52"/>
      <c r="FKJ52"/>
      <c r="FKK52"/>
      <c r="FKL52"/>
      <c r="FKM52"/>
      <c r="FKN52"/>
      <c r="FKO52"/>
      <c r="FKP52"/>
      <c r="FKQ52"/>
      <c r="FKR52"/>
      <c r="FKS52"/>
      <c r="FKT52"/>
      <c r="FKU52"/>
      <c r="FKV52"/>
      <c r="FKW52"/>
      <c r="FKX52"/>
      <c r="FKY52"/>
      <c r="FKZ52"/>
      <c r="FLA52"/>
      <c r="FLB52"/>
      <c r="FLC52"/>
      <c r="FLD52"/>
      <c r="FLE52"/>
      <c r="FLF52"/>
      <c r="FLG52"/>
      <c r="FLH52"/>
      <c r="FLI52"/>
      <c r="FLJ52"/>
      <c r="FLK52"/>
      <c r="FLL52"/>
      <c r="FLM52"/>
      <c r="FLN52"/>
      <c r="FLO52"/>
      <c r="FLP52"/>
      <c r="FLQ52"/>
      <c r="FLR52"/>
      <c r="FLS52"/>
      <c r="FLT52"/>
      <c r="FLU52"/>
      <c r="FLV52"/>
      <c r="FLW52"/>
      <c r="FLX52"/>
      <c r="FLY52"/>
      <c r="FLZ52"/>
      <c r="FMA52"/>
      <c r="FMB52"/>
      <c r="FMC52"/>
      <c r="FMD52"/>
      <c r="FME52"/>
      <c r="FMF52"/>
      <c r="FMG52"/>
      <c r="FMH52"/>
      <c r="FMI52"/>
      <c r="FMJ52"/>
      <c r="FMK52"/>
      <c r="FML52"/>
      <c r="FMM52"/>
      <c r="FMN52"/>
      <c r="FMO52"/>
      <c r="FMP52"/>
      <c r="FMQ52"/>
      <c r="FMR52"/>
      <c r="FMS52"/>
      <c r="FMT52"/>
      <c r="FMU52"/>
      <c r="FMV52"/>
      <c r="FMW52"/>
      <c r="FMX52"/>
      <c r="FMY52"/>
      <c r="FMZ52"/>
      <c r="FNA52"/>
      <c r="FNB52"/>
      <c r="FNC52"/>
      <c r="FND52"/>
      <c r="FNE52"/>
      <c r="FNF52"/>
      <c r="FNG52"/>
      <c r="FNH52"/>
      <c r="FNI52"/>
      <c r="FNJ52"/>
      <c r="FNK52"/>
      <c r="FNL52"/>
      <c r="FNM52"/>
      <c r="FNN52"/>
      <c r="FNO52"/>
      <c r="FNP52"/>
      <c r="FNQ52"/>
      <c r="FNR52"/>
      <c r="FNS52"/>
      <c r="FNT52"/>
      <c r="FNU52"/>
      <c r="FNV52"/>
      <c r="FNW52"/>
      <c r="FNX52"/>
      <c r="FNY52"/>
      <c r="FNZ52"/>
      <c r="FOA52"/>
      <c r="FOB52"/>
      <c r="FOC52"/>
      <c r="FOD52"/>
      <c r="FOE52"/>
      <c r="FOF52"/>
      <c r="FOG52"/>
      <c r="FOH52"/>
      <c r="FOI52"/>
      <c r="FOJ52"/>
      <c r="FOK52"/>
      <c r="FOL52"/>
      <c r="FOM52"/>
      <c r="FON52"/>
      <c r="FOO52"/>
      <c r="FOP52"/>
      <c r="FOQ52"/>
      <c r="FOR52"/>
      <c r="FOS52"/>
      <c r="FOT52"/>
      <c r="FOU52"/>
      <c r="FOV52"/>
      <c r="FOW52"/>
      <c r="FOX52"/>
      <c r="FOY52"/>
      <c r="FOZ52"/>
      <c r="FPA52"/>
      <c r="FPB52"/>
      <c r="FPC52"/>
      <c r="FPD52"/>
      <c r="FPE52"/>
      <c r="FPF52"/>
      <c r="FPG52"/>
      <c r="FPH52"/>
      <c r="FPI52"/>
      <c r="FPJ52"/>
      <c r="FPK52"/>
      <c r="FPL52"/>
      <c r="FPM52"/>
      <c r="FPN52"/>
      <c r="FPO52"/>
      <c r="FPP52"/>
      <c r="FPQ52"/>
      <c r="FPR52"/>
      <c r="FPS52"/>
      <c r="FPT52"/>
      <c r="FPU52"/>
      <c r="FPV52"/>
      <c r="FPW52"/>
      <c r="FPX52"/>
      <c r="FPY52"/>
      <c r="FPZ52"/>
      <c r="FQA52"/>
      <c r="FQB52"/>
      <c r="FQC52"/>
      <c r="FQD52"/>
      <c r="FQE52"/>
      <c r="FQF52"/>
      <c r="FQG52"/>
      <c r="FQH52"/>
      <c r="FQI52"/>
      <c r="FQJ52"/>
      <c r="FQK52"/>
      <c r="FQL52"/>
      <c r="FQM52"/>
      <c r="FQN52"/>
      <c r="FQO52"/>
      <c r="FQP52"/>
      <c r="FQQ52"/>
      <c r="FQR52"/>
      <c r="FQS52"/>
      <c r="FQT52"/>
      <c r="FQU52"/>
      <c r="FQV52"/>
      <c r="FQW52"/>
      <c r="FQX52"/>
      <c r="FQY52"/>
      <c r="FQZ52"/>
      <c r="FRA52"/>
      <c r="FRB52"/>
      <c r="FRC52"/>
      <c r="FRD52"/>
      <c r="FRE52"/>
      <c r="FRF52"/>
      <c r="FRG52"/>
      <c r="FRH52"/>
      <c r="FRI52"/>
      <c r="FRJ52"/>
      <c r="FRK52"/>
      <c r="FRL52"/>
      <c r="FRM52"/>
      <c r="FRN52"/>
      <c r="FRO52"/>
      <c r="FRP52"/>
      <c r="FRQ52"/>
      <c r="FRR52"/>
      <c r="FRS52"/>
      <c r="FRT52"/>
      <c r="FRU52"/>
      <c r="FRV52"/>
      <c r="FRW52"/>
      <c r="FRX52"/>
      <c r="FRY52"/>
      <c r="FRZ52"/>
      <c r="FSA52"/>
      <c r="FSB52"/>
      <c r="FSC52"/>
      <c r="FSD52"/>
      <c r="FSE52"/>
      <c r="FSF52"/>
      <c r="FSG52"/>
      <c r="FSH52"/>
      <c r="FSI52"/>
      <c r="FSJ52"/>
      <c r="FSK52"/>
      <c r="FSL52"/>
      <c r="FSM52"/>
      <c r="FSN52"/>
      <c r="FSO52"/>
      <c r="FSP52"/>
      <c r="FSQ52"/>
      <c r="FSR52"/>
      <c r="FSS52"/>
      <c r="FST52"/>
      <c r="FSU52"/>
      <c r="FSV52"/>
      <c r="FSW52"/>
      <c r="FSX52"/>
      <c r="FSY52"/>
      <c r="FSZ52"/>
      <c r="FTA52"/>
      <c r="FTB52"/>
      <c r="FTC52"/>
      <c r="FTD52"/>
      <c r="FTE52"/>
      <c r="FTF52"/>
      <c r="FTG52"/>
      <c r="FTH52"/>
      <c r="FTI52"/>
      <c r="FTJ52"/>
      <c r="FTK52"/>
      <c r="FTL52"/>
      <c r="FTM52"/>
      <c r="FTN52"/>
      <c r="FTO52"/>
      <c r="FTP52"/>
      <c r="FTQ52"/>
      <c r="FTR52"/>
      <c r="FTS52"/>
      <c r="FTT52"/>
      <c r="FTU52"/>
      <c r="FTV52"/>
      <c r="FTW52"/>
      <c r="FTX52"/>
      <c r="FTY52"/>
      <c r="FTZ52"/>
      <c r="FUA52"/>
      <c r="FUB52"/>
      <c r="FUC52"/>
      <c r="FUD52"/>
      <c r="FUE52"/>
      <c r="FUF52"/>
      <c r="FUG52"/>
      <c r="FUH52"/>
      <c r="FUI52"/>
      <c r="FUJ52"/>
      <c r="FUK52"/>
      <c r="FUL52"/>
      <c r="FUM52"/>
      <c r="FUN52"/>
      <c r="FUO52"/>
      <c r="FUP52"/>
      <c r="FUQ52"/>
      <c r="FUR52"/>
      <c r="FUS52"/>
      <c r="FUT52"/>
      <c r="FUU52"/>
      <c r="FUV52"/>
      <c r="FUW52"/>
      <c r="FUX52"/>
      <c r="FUY52"/>
      <c r="FUZ52"/>
      <c r="FVA52"/>
      <c r="FVB52"/>
      <c r="FVC52"/>
      <c r="FVD52"/>
      <c r="FVE52"/>
      <c r="FVF52"/>
      <c r="FVG52"/>
      <c r="FVH52"/>
      <c r="FVI52"/>
      <c r="FVJ52"/>
      <c r="FVK52"/>
      <c r="FVL52"/>
      <c r="FVM52"/>
      <c r="FVN52"/>
      <c r="FVO52"/>
      <c r="FVP52"/>
      <c r="FVQ52"/>
      <c r="FVR52"/>
      <c r="FVS52"/>
      <c r="FVT52"/>
      <c r="FVU52"/>
      <c r="FVV52"/>
      <c r="FVW52"/>
      <c r="FVX52"/>
      <c r="FVY52"/>
      <c r="FVZ52"/>
      <c r="FWA52"/>
      <c r="FWB52"/>
      <c r="FWC52"/>
      <c r="FWD52"/>
      <c r="FWE52"/>
      <c r="FWF52"/>
      <c r="FWG52"/>
      <c r="FWH52"/>
      <c r="FWI52"/>
      <c r="FWJ52"/>
      <c r="FWK52"/>
      <c r="FWL52"/>
      <c r="FWM52"/>
      <c r="FWN52"/>
      <c r="FWO52"/>
      <c r="FWP52"/>
      <c r="FWQ52"/>
      <c r="FWR52"/>
      <c r="FWS52"/>
      <c r="FWT52"/>
      <c r="FWU52"/>
      <c r="FWV52"/>
      <c r="FWW52"/>
      <c r="FWX52"/>
      <c r="FWY52"/>
      <c r="FWZ52"/>
      <c r="FXA52"/>
      <c r="FXB52"/>
      <c r="FXC52"/>
      <c r="FXD52"/>
      <c r="FXE52"/>
      <c r="FXF52"/>
      <c r="FXG52"/>
      <c r="FXH52"/>
      <c r="FXI52"/>
      <c r="FXJ52"/>
      <c r="FXK52"/>
      <c r="FXL52"/>
      <c r="FXM52"/>
      <c r="FXN52"/>
      <c r="FXO52"/>
      <c r="FXP52"/>
      <c r="FXQ52"/>
      <c r="FXR52"/>
      <c r="FXS52"/>
      <c r="FXT52"/>
      <c r="FXU52"/>
      <c r="FXV52"/>
      <c r="FXW52"/>
      <c r="FXX52"/>
      <c r="FXY52"/>
      <c r="FXZ52"/>
      <c r="FYA52"/>
      <c r="FYB52"/>
      <c r="FYC52"/>
      <c r="FYD52"/>
      <c r="FYE52"/>
      <c r="FYF52"/>
      <c r="FYG52"/>
      <c r="FYH52"/>
      <c r="FYI52"/>
      <c r="FYJ52"/>
      <c r="FYK52"/>
      <c r="FYL52"/>
      <c r="FYM52"/>
      <c r="FYN52"/>
      <c r="FYO52"/>
      <c r="FYP52"/>
      <c r="FYQ52"/>
      <c r="FYR52"/>
      <c r="FYS52"/>
      <c r="FYT52"/>
      <c r="FYU52"/>
      <c r="FYV52"/>
      <c r="FYW52"/>
      <c r="FYX52"/>
      <c r="FYY52"/>
      <c r="FYZ52"/>
      <c r="FZA52"/>
      <c r="FZB52"/>
      <c r="FZC52"/>
      <c r="FZD52"/>
      <c r="FZE52"/>
      <c r="FZF52"/>
      <c r="FZG52"/>
      <c r="FZH52"/>
      <c r="FZI52"/>
      <c r="FZJ52"/>
      <c r="FZK52"/>
      <c r="FZL52"/>
      <c r="FZM52"/>
      <c r="FZN52"/>
      <c r="FZO52"/>
      <c r="FZP52"/>
      <c r="FZQ52"/>
      <c r="FZR52"/>
      <c r="FZS52"/>
      <c r="FZT52"/>
      <c r="FZU52"/>
      <c r="FZV52"/>
      <c r="FZW52"/>
      <c r="FZX52"/>
      <c r="FZY52"/>
      <c r="FZZ52"/>
      <c r="GAA52"/>
      <c r="GAB52"/>
      <c r="GAC52"/>
      <c r="GAD52"/>
      <c r="GAE52"/>
      <c r="GAF52"/>
      <c r="GAG52"/>
      <c r="GAH52"/>
      <c r="GAI52"/>
      <c r="GAJ52"/>
      <c r="GAK52"/>
      <c r="GAL52"/>
      <c r="GAM52"/>
      <c r="GAN52"/>
      <c r="GAO52"/>
      <c r="GAP52"/>
      <c r="GAQ52"/>
      <c r="GAR52"/>
      <c r="GAS52"/>
      <c r="GAT52"/>
      <c r="GAU52"/>
      <c r="GAV52"/>
      <c r="GAW52"/>
      <c r="GAX52"/>
      <c r="GAY52"/>
      <c r="GAZ52"/>
      <c r="GBA52"/>
      <c r="GBB52"/>
      <c r="GBC52"/>
      <c r="GBD52"/>
      <c r="GBE52"/>
      <c r="GBF52"/>
      <c r="GBG52"/>
      <c r="GBH52"/>
      <c r="GBI52"/>
      <c r="GBJ52"/>
      <c r="GBK52"/>
      <c r="GBL52"/>
      <c r="GBM52"/>
      <c r="GBN52"/>
      <c r="GBO52"/>
      <c r="GBP52"/>
      <c r="GBQ52"/>
      <c r="GBR52"/>
      <c r="GBS52"/>
      <c r="GBT52"/>
      <c r="GBU52"/>
      <c r="GBV52"/>
      <c r="GBW52"/>
      <c r="GBX52"/>
      <c r="GBY52"/>
      <c r="GBZ52"/>
      <c r="GCA52"/>
      <c r="GCB52"/>
      <c r="GCC52"/>
      <c r="GCD52"/>
      <c r="GCE52"/>
      <c r="GCF52"/>
      <c r="GCG52"/>
      <c r="GCH52"/>
      <c r="GCI52"/>
      <c r="GCJ52"/>
      <c r="GCK52"/>
      <c r="GCL52"/>
      <c r="GCM52"/>
      <c r="GCN52"/>
      <c r="GCO52"/>
      <c r="GCP52"/>
      <c r="GCQ52"/>
      <c r="GCR52"/>
      <c r="GCS52"/>
      <c r="GCT52"/>
      <c r="GCU52"/>
      <c r="GCV52"/>
      <c r="GCW52"/>
      <c r="GCX52"/>
      <c r="GCY52"/>
      <c r="GCZ52"/>
      <c r="GDA52"/>
      <c r="GDB52"/>
      <c r="GDC52"/>
      <c r="GDD52"/>
      <c r="GDE52"/>
      <c r="GDF52"/>
      <c r="GDG52"/>
      <c r="GDH52"/>
      <c r="GDI52"/>
      <c r="GDJ52"/>
      <c r="GDK52"/>
      <c r="GDL52"/>
      <c r="GDM52"/>
      <c r="GDN52"/>
      <c r="GDO52"/>
      <c r="GDP52"/>
      <c r="GDQ52"/>
      <c r="GDR52"/>
      <c r="GDS52"/>
      <c r="GDT52"/>
      <c r="GDU52"/>
      <c r="GDV52"/>
      <c r="GDW52"/>
      <c r="GDX52"/>
      <c r="GDY52"/>
      <c r="GDZ52"/>
      <c r="GEA52"/>
      <c r="GEB52"/>
      <c r="GEC52"/>
      <c r="GED52"/>
      <c r="GEE52"/>
      <c r="GEF52"/>
      <c r="GEG52"/>
      <c r="GEH52"/>
      <c r="GEI52"/>
      <c r="GEJ52"/>
      <c r="GEK52"/>
      <c r="GEL52"/>
      <c r="GEM52"/>
      <c r="GEN52"/>
      <c r="GEO52"/>
      <c r="GEP52"/>
      <c r="GEQ52"/>
      <c r="GER52"/>
      <c r="GES52"/>
      <c r="GET52"/>
      <c r="GEU52"/>
      <c r="GEV52"/>
      <c r="GEW52"/>
      <c r="GEX52"/>
      <c r="GEY52"/>
      <c r="GEZ52"/>
      <c r="GFA52"/>
      <c r="GFB52"/>
      <c r="GFC52"/>
      <c r="GFD52"/>
      <c r="GFE52"/>
      <c r="GFF52"/>
      <c r="GFG52"/>
      <c r="GFH52"/>
      <c r="GFI52"/>
      <c r="GFJ52"/>
      <c r="GFK52"/>
      <c r="GFL52"/>
      <c r="GFM52"/>
      <c r="GFN52"/>
      <c r="GFO52"/>
      <c r="GFP52"/>
      <c r="GFQ52"/>
      <c r="GFR52"/>
      <c r="GFS52"/>
      <c r="GFT52"/>
      <c r="GFU52"/>
      <c r="GFV52"/>
      <c r="GFW52"/>
      <c r="GFX52"/>
      <c r="GFY52"/>
      <c r="GFZ52"/>
      <c r="GGA52"/>
      <c r="GGB52"/>
      <c r="GGC52"/>
      <c r="GGD52"/>
      <c r="GGE52"/>
      <c r="GGF52"/>
      <c r="GGG52"/>
      <c r="GGH52"/>
      <c r="GGI52"/>
      <c r="GGJ52"/>
      <c r="GGK52"/>
      <c r="GGL52"/>
      <c r="GGM52"/>
      <c r="GGN52"/>
      <c r="GGO52"/>
      <c r="GGP52"/>
      <c r="GGQ52"/>
      <c r="GGR52"/>
      <c r="GGS52"/>
      <c r="GGT52"/>
      <c r="GGU52"/>
      <c r="GGV52"/>
      <c r="GGW52"/>
      <c r="GGX52"/>
      <c r="GGY52"/>
      <c r="GGZ52"/>
      <c r="GHA52"/>
      <c r="GHB52"/>
      <c r="GHC52"/>
      <c r="GHD52"/>
      <c r="GHE52"/>
      <c r="GHF52"/>
      <c r="GHG52"/>
      <c r="GHH52"/>
      <c r="GHI52"/>
      <c r="GHJ52"/>
      <c r="GHK52"/>
      <c r="GHL52"/>
      <c r="GHM52"/>
      <c r="GHN52"/>
      <c r="GHO52"/>
      <c r="GHP52"/>
      <c r="GHQ52"/>
      <c r="GHR52"/>
      <c r="GHS52"/>
      <c r="GHT52"/>
      <c r="GHU52"/>
      <c r="GHV52"/>
      <c r="GHW52"/>
      <c r="GHX52"/>
      <c r="GHY52"/>
      <c r="GHZ52"/>
      <c r="GIA52"/>
      <c r="GIB52"/>
      <c r="GIC52"/>
      <c r="GID52"/>
      <c r="GIE52"/>
      <c r="GIF52"/>
      <c r="GIG52"/>
      <c r="GIH52"/>
      <c r="GII52"/>
      <c r="GIJ52"/>
      <c r="GIK52"/>
      <c r="GIL52"/>
      <c r="GIM52"/>
      <c r="GIN52"/>
      <c r="GIO52"/>
      <c r="GIP52"/>
      <c r="GIQ52"/>
      <c r="GIR52"/>
      <c r="GIS52"/>
      <c r="GIT52"/>
      <c r="GIU52"/>
      <c r="GIV52"/>
      <c r="GIW52"/>
      <c r="GIX52"/>
      <c r="GIY52"/>
      <c r="GIZ52"/>
      <c r="GJA52"/>
      <c r="GJB52"/>
      <c r="GJC52"/>
      <c r="GJD52"/>
      <c r="GJE52"/>
      <c r="GJF52"/>
      <c r="GJG52"/>
      <c r="GJH52"/>
      <c r="GJI52"/>
      <c r="GJJ52"/>
      <c r="GJK52"/>
      <c r="GJL52"/>
      <c r="GJM52"/>
      <c r="GJN52"/>
      <c r="GJO52"/>
      <c r="GJP52"/>
      <c r="GJQ52"/>
      <c r="GJR52"/>
      <c r="GJS52"/>
      <c r="GJT52"/>
      <c r="GJU52"/>
      <c r="GJV52"/>
      <c r="GJW52"/>
      <c r="GJX52"/>
      <c r="GJY52"/>
      <c r="GJZ52"/>
      <c r="GKA52"/>
      <c r="GKB52"/>
      <c r="GKC52"/>
      <c r="GKD52"/>
      <c r="GKE52"/>
      <c r="GKF52"/>
      <c r="GKG52"/>
      <c r="GKH52"/>
      <c r="GKI52"/>
      <c r="GKJ52"/>
      <c r="GKK52"/>
      <c r="GKL52"/>
      <c r="GKM52"/>
      <c r="GKN52"/>
      <c r="GKO52"/>
      <c r="GKP52"/>
      <c r="GKQ52"/>
      <c r="GKR52"/>
      <c r="GKS52"/>
      <c r="GKT52"/>
      <c r="GKU52"/>
      <c r="GKV52"/>
      <c r="GKW52"/>
      <c r="GKX52"/>
      <c r="GKY52"/>
      <c r="GKZ52"/>
      <c r="GLA52"/>
      <c r="GLB52"/>
      <c r="GLC52"/>
      <c r="GLD52"/>
      <c r="GLE52"/>
      <c r="GLF52"/>
      <c r="GLG52"/>
      <c r="GLH52"/>
      <c r="GLI52"/>
      <c r="GLJ52"/>
      <c r="GLK52"/>
      <c r="GLL52"/>
      <c r="GLM52"/>
      <c r="GLN52"/>
      <c r="GLO52"/>
      <c r="GLP52"/>
      <c r="GLQ52"/>
      <c r="GLR52"/>
      <c r="GLS52"/>
      <c r="GLT52"/>
      <c r="GLU52"/>
      <c r="GLV52"/>
      <c r="GLW52"/>
      <c r="GLX52"/>
      <c r="GLY52"/>
      <c r="GLZ52"/>
      <c r="GMA52"/>
      <c r="GMB52"/>
      <c r="GMC52"/>
      <c r="GMD52"/>
      <c r="GME52"/>
      <c r="GMF52"/>
      <c r="GMG52"/>
      <c r="GMH52"/>
      <c r="GMI52"/>
      <c r="GMJ52"/>
      <c r="GMK52"/>
      <c r="GML52"/>
      <c r="GMM52"/>
      <c r="GMN52"/>
      <c r="GMO52"/>
      <c r="GMP52"/>
      <c r="GMQ52"/>
      <c r="GMR52"/>
      <c r="GMS52"/>
      <c r="GMT52"/>
      <c r="GMU52"/>
      <c r="GMV52"/>
      <c r="GMW52"/>
      <c r="GMX52"/>
      <c r="GMY52"/>
      <c r="GMZ52"/>
      <c r="GNA52"/>
      <c r="GNB52"/>
      <c r="GNC52"/>
      <c r="GND52"/>
      <c r="GNE52"/>
      <c r="GNF52"/>
      <c r="GNG52"/>
      <c r="GNH52"/>
      <c r="GNI52"/>
      <c r="GNJ52"/>
      <c r="GNK52"/>
      <c r="GNL52"/>
      <c r="GNM52"/>
      <c r="GNN52"/>
      <c r="GNO52"/>
      <c r="GNP52"/>
      <c r="GNQ52"/>
      <c r="GNR52"/>
      <c r="GNS52"/>
      <c r="GNT52"/>
      <c r="GNU52"/>
      <c r="GNV52"/>
      <c r="GNW52"/>
      <c r="GNX52"/>
      <c r="GNY52"/>
      <c r="GNZ52"/>
      <c r="GOA52"/>
      <c r="GOB52"/>
      <c r="GOC52"/>
      <c r="GOD52"/>
      <c r="GOE52"/>
      <c r="GOF52"/>
      <c r="GOG52"/>
      <c r="GOH52"/>
      <c r="GOI52"/>
      <c r="GOJ52"/>
      <c r="GOK52"/>
      <c r="GOL52"/>
      <c r="GOM52"/>
      <c r="GON52"/>
      <c r="GOO52"/>
      <c r="GOP52"/>
      <c r="GOQ52"/>
      <c r="GOR52"/>
      <c r="GOS52"/>
      <c r="GOT52"/>
      <c r="GOU52"/>
      <c r="GOV52"/>
      <c r="GOW52"/>
      <c r="GOX52"/>
      <c r="GOY52"/>
      <c r="GOZ52"/>
      <c r="GPA52"/>
      <c r="GPB52"/>
      <c r="GPC52"/>
      <c r="GPD52"/>
      <c r="GPE52"/>
      <c r="GPF52"/>
      <c r="GPG52"/>
      <c r="GPH52"/>
      <c r="GPI52"/>
      <c r="GPJ52"/>
      <c r="GPK52"/>
      <c r="GPL52"/>
      <c r="GPM52"/>
      <c r="GPN52"/>
      <c r="GPO52"/>
      <c r="GPP52"/>
      <c r="GPQ52"/>
      <c r="GPR52"/>
      <c r="GPS52"/>
      <c r="GPT52"/>
      <c r="GPU52"/>
      <c r="GPV52"/>
      <c r="GPW52"/>
      <c r="GPX52"/>
      <c r="GPY52"/>
      <c r="GPZ52"/>
      <c r="GQA52"/>
      <c r="GQB52"/>
      <c r="GQC52"/>
      <c r="GQD52"/>
      <c r="GQE52"/>
      <c r="GQF52"/>
      <c r="GQG52"/>
      <c r="GQH52"/>
      <c r="GQI52"/>
      <c r="GQJ52"/>
      <c r="GQK52"/>
      <c r="GQL52"/>
      <c r="GQM52"/>
      <c r="GQN52"/>
      <c r="GQO52"/>
      <c r="GQP52"/>
      <c r="GQQ52"/>
      <c r="GQR52"/>
      <c r="GQS52"/>
      <c r="GQT52"/>
      <c r="GQU52"/>
      <c r="GQV52"/>
      <c r="GQW52"/>
      <c r="GQX52"/>
      <c r="GQY52"/>
      <c r="GQZ52"/>
      <c r="GRA52"/>
      <c r="GRB52"/>
      <c r="GRC52"/>
      <c r="GRD52"/>
      <c r="GRE52"/>
      <c r="GRF52"/>
      <c r="GRG52"/>
      <c r="GRH52"/>
      <c r="GRI52"/>
      <c r="GRJ52"/>
      <c r="GRK52"/>
      <c r="GRL52"/>
      <c r="GRM52"/>
      <c r="GRN52"/>
      <c r="GRO52"/>
      <c r="GRP52"/>
      <c r="GRQ52"/>
      <c r="GRR52"/>
      <c r="GRS52"/>
      <c r="GRT52"/>
      <c r="GRU52"/>
      <c r="GRV52"/>
      <c r="GRW52"/>
      <c r="GRX52"/>
      <c r="GRY52"/>
      <c r="GRZ52"/>
      <c r="GSA52"/>
      <c r="GSB52"/>
      <c r="GSC52"/>
      <c r="GSD52"/>
      <c r="GSE52"/>
      <c r="GSF52"/>
      <c r="GSG52"/>
      <c r="GSH52"/>
      <c r="GSI52"/>
      <c r="GSJ52"/>
      <c r="GSK52"/>
      <c r="GSL52"/>
      <c r="GSM52"/>
      <c r="GSN52"/>
      <c r="GSO52"/>
      <c r="GSP52"/>
      <c r="GSQ52"/>
      <c r="GSR52"/>
      <c r="GSS52"/>
      <c r="GST52"/>
      <c r="GSU52"/>
      <c r="GSV52"/>
      <c r="GSW52"/>
      <c r="GSX52"/>
      <c r="GSY52"/>
      <c r="GSZ52"/>
      <c r="GTA52"/>
      <c r="GTB52"/>
      <c r="GTC52"/>
      <c r="GTD52"/>
      <c r="GTE52"/>
      <c r="GTF52"/>
      <c r="GTG52"/>
      <c r="GTH52"/>
      <c r="GTI52"/>
      <c r="GTJ52"/>
      <c r="GTK52"/>
      <c r="GTL52"/>
      <c r="GTM52"/>
      <c r="GTN52"/>
      <c r="GTO52"/>
      <c r="GTP52"/>
      <c r="GTQ52"/>
      <c r="GTR52"/>
      <c r="GTS52"/>
      <c r="GTT52"/>
      <c r="GTU52"/>
      <c r="GTV52"/>
      <c r="GTW52"/>
      <c r="GTX52"/>
      <c r="GTY52"/>
      <c r="GTZ52"/>
      <c r="GUA52"/>
      <c r="GUB52"/>
      <c r="GUC52"/>
      <c r="GUD52"/>
      <c r="GUE52"/>
      <c r="GUF52"/>
      <c r="GUG52"/>
      <c r="GUH52"/>
      <c r="GUI52"/>
      <c r="GUJ52"/>
      <c r="GUK52"/>
      <c r="GUL52"/>
      <c r="GUM52"/>
      <c r="GUN52"/>
      <c r="GUO52"/>
      <c r="GUP52"/>
      <c r="GUQ52"/>
      <c r="GUR52"/>
      <c r="GUS52"/>
      <c r="GUT52"/>
      <c r="GUU52"/>
      <c r="GUV52"/>
      <c r="GUW52"/>
      <c r="GUX52"/>
      <c r="GUY52"/>
      <c r="GUZ52"/>
      <c r="GVA52"/>
      <c r="GVB52"/>
      <c r="GVC52"/>
      <c r="GVD52"/>
      <c r="GVE52"/>
      <c r="GVF52"/>
      <c r="GVG52"/>
      <c r="GVH52"/>
      <c r="GVI52"/>
      <c r="GVJ52"/>
      <c r="GVK52"/>
      <c r="GVL52"/>
      <c r="GVM52"/>
      <c r="GVN52"/>
      <c r="GVO52"/>
      <c r="GVP52"/>
      <c r="GVQ52"/>
      <c r="GVR52"/>
      <c r="GVS52"/>
      <c r="GVT52"/>
      <c r="GVU52"/>
      <c r="GVV52"/>
      <c r="GVW52"/>
      <c r="GVX52"/>
      <c r="GVY52"/>
      <c r="GVZ52"/>
      <c r="GWA52"/>
      <c r="GWB52"/>
      <c r="GWC52"/>
      <c r="GWD52"/>
      <c r="GWE52"/>
      <c r="GWF52"/>
      <c r="GWG52"/>
      <c r="GWH52"/>
      <c r="GWI52"/>
      <c r="GWJ52"/>
      <c r="GWK52"/>
      <c r="GWL52"/>
      <c r="GWM52"/>
      <c r="GWN52"/>
      <c r="GWO52"/>
      <c r="GWP52"/>
      <c r="GWQ52"/>
      <c r="GWR52"/>
      <c r="GWS52"/>
      <c r="GWT52"/>
      <c r="GWU52"/>
      <c r="GWV52"/>
      <c r="GWW52"/>
      <c r="GWX52"/>
      <c r="GWY52"/>
      <c r="GWZ52"/>
      <c r="GXA52"/>
      <c r="GXB52"/>
      <c r="GXC52"/>
      <c r="GXD52"/>
      <c r="GXE52"/>
      <c r="GXF52"/>
      <c r="GXG52"/>
      <c r="GXH52"/>
      <c r="GXI52"/>
      <c r="GXJ52"/>
      <c r="GXK52"/>
      <c r="GXL52"/>
      <c r="GXM52"/>
      <c r="GXN52"/>
      <c r="GXO52"/>
      <c r="GXP52"/>
      <c r="GXQ52"/>
      <c r="GXR52"/>
      <c r="GXS52"/>
      <c r="GXT52"/>
      <c r="GXU52"/>
      <c r="GXV52"/>
      <c r="GXW52"/>
      <c r="GXX52"/>
      <c r="GXY52"/>
      <c r="GXZ52"/>
      <c r="GYA52"/>
      <c r="GYB52"/>
      <c r="GYC52"/>
      <c r="GYD52"/>
      <c r="GYE52"/>
      <c r="GYF52"/>
      <c r="GYG52"/>
      <c r="GYH52"/>
      <c r="GYI52"/>
      <c r="GYJ52"/>
      <c r="GYK52"/>
      <c r="GYL52"/>
      <c r="GYM52"/>
      <c r="GYN52"/>
      <c r="GYO52"/>
      <c r="GYP52"/>
      <c r="GYQ52"/>
      <c r="GYR52"/>
      <c r="GYS52"/>
      <c r="GYT52"/>
      <c r="GYU52"/>
      <c r="GYV52"/>
      <c r="GYW52"/>
      <c r="GYX52"/>
      <c r="GYY52"/>
      <c r="GYZ52"/>
      <c r="GZA52"/>
      <c r="GZB52"/>
      <c r="GZC52"/>
      <c r="GZD52"/>
      <c r="GZE52"/>
      <c r="GZF52"/>
      <c r="GZG52"/>
      <c r="GZH52"/>
      <c r="GZI52"/>
      <c r="GZJ52"/>
      <c r="GZK52"/>
      <c r="GZL52"/>
      <c r="GZM52"/>
      <c r="GZN52"/>
      <c r="GZO52"/>
      <c r="GZP52"/>
      <c r="GZQ52"/>
      <c r="GZR52"/>
      <c r="GZS52"/>
      <c r="GZT52"/>
      <c r="GZU52"/>
      <c r="GZV52"/>
      <c r="GZW52"/>
      <c r="GZX52"/>
      <c r="GZY52"/>
      <c r="GZZ52"/>
      <c r="HAA52"/>
      <c r="HAB52"/>
      <c r="HAC52"/>
      <c r="HAD52"/>
      <c r="HAE52"/>
      <c r="HAF52"/>
      <c r="HAG52"/>
      <c r="HAH52"/>
      <c r="HAI52"/>
      <c r="HAJ52"/>
      <c r="HAK52"/>
      <c r="HAL52"/>
      <c r="HAM52"/>
      <c r="HAN52"/>
      <c r="HAO52"/>
      <c r="HAP52"/>
      <c r="HAQ52"/>
      <c r="HAR52"/>
      <c r="HAS52"/>
      <c r="HAT52"/>
      <c r="HAU52"/>
      <c r="HAV52"/>
      <c r="HAW52"/>
      <c r="HAX52"/>
      <c r="HAY52"/>
      <c r="HAZ52"/>
      <c r="HBA52"/>
      <c r="HBB52"/>
      <c r="HBC52"/>
      <c r="HBD52"/>
      <c r="HBE52"/>
      <c r="HBF52"/>
      <c r="HBG52"/>
      <c r="HBH52"/>
      <c r="HBI52"/>
      <c r="HBJ52"/>
      <c r="HBK52"/>
      <c r="HBL52"/>
      <c r="HBM52"/>
      <c r="HBN52"/>
      <c r="HBO52"/>
      <c r="HBP52"/>
      <c r="HBQ52"/>
      <c r="HBR52"/>
      <c r="HBS52"/>
      <c r="HBT52"/>
      <c r="HBU52"/>
      <c r="HBV52"/>
      <c r="HBW52"/>
      <c r="HBX52"/>
      <c r="HBY52"/>
      <c r="HBZ52"/>
      <c r="HCA52"/>
      <c r="HCB52"/>
      <c r="HCC52"/>
      <c r="HCD52"/>
      <c r="HCE52"/>
      <c r="HCF52"/>
      <c r="HCG52"/>
      <c r="HCH52"/>
      <c r="HCI52"/>
      <c r="HCJ52"/>
      <c r="HCK52"/>
      <c r="HCL52"/>
      <c r="HCM52"/>
      <c r="HCN52"/>
      <c r="HCO52"/>
      <c r="HCP52"/>
      <c r="HCQ52"/>
      <c r="HCR52"/>
      <c r="HCS52"/>
      <c r="HCT52"/>
      <c r="HCU52"/>
      <c r="HCV52"/>
      <c r="HCW52"/>
      <c r="HCX52"/>
      <c r="HCY52"/>
      <c r="HCZ52"/>
      <c r="HDA52"/>
      <c r="HDB52"/>
      <c r="HDC52"/>
      <c r="HDD52"/>
      <c r="HDE52"/>
      <c r="HDF52"/>
      <c r="HDG52"/>
      <c r="HDH52"/>
      <c r="HDI52"/>
      <c r="HDJ52"/>
      <c r="HDK52"/>
      <c r="HDL52"/>
      <c r="HDM52"/>
      <c r="HDN52"/>
      <c r="HDO52"/>
      <c r="HDP52"/>
      <c r="HDQ52"/>
      <c r="HDR52"/>
      <c r="HDS52"/>
      <c r="HDT52"/>
      <c r="HDU52"/>
      <c r="HDV52"/>
      <c r="HDW52"/>
      <c r="HDX52"/>
      <c r="HDY52"/>
      <c r="HDZ52"/>
      <c r="HEA52"/>
      <c r="HEB52"/>
      <c r="HEC52"/>
      <c r="HED52"/>
      <c r="HEE52"/>
      <c r="HEF52"/>
      <c r="HEG52"/>
      <c r="HEH52"/>
      <c r="HEI52"/>
      <c r="HEJ52"/>
      <c r="HEK52"/>
      <c r="HEL52"/>
      <c r="HEM52"/>
      <c r="HEN52"/>
      <c r="HEO52"/>
      <c r="HEP52"/>
      <c r="HEQ52"/>
      <c r="HER52"/>
      <c r="HES52"/>
      <c r="HET52"/>
      <c r="HEU52"/>
      <c r="HEV52"/>
      <c r="HEW52"/>
      <c r="HEX52"/>
      <c r="HEY52"/>
      <c r="HEZ52"/>
      <c r="HFA52"/>
      <c r="HFB52"/>
      <c r="HFC52"/>
      <c r="HFD52"/>
      <c r="HFE52"/>
      <c r="HFF52"/>
      <c r="HFG52"/>
      <c r="HFH52"/>
      <c r="HFI52"/>
      <c r="HFJ52"/>
      <c r="HFK52"/>
      <c r="HFL52"/>
      <c r="HFM52"/>
      <c r="HFN52"/>
      <c r="HFO52"/>
      <c r="HFP52"/>
      <c r="HFQ52"/>
      <c r="HFR52"/>
      <c r="HFS52"/>
      <c r="HFT52"/>
      <c r="HFU52"/>
      <c r="HFV52"/>
      <c r="HFW52"/>
      <c r="HFX52"/>
      <c r="HFY52"/>
      <c r="HFZ52"/>
      <c r="HGA52"/>
      <c r="HGB52"/>
      <c r="HGC52"/>
      <c r="HGD52"/>
      <c r="HGE52"/>
      <c r="HGF52"/>
      <c r="HGG52"/>
      <c r="HGH52"/>
      <c r="HGI52"/>
      <c r="HGJ52"/>
      <c r="HGK52"/>
      <c r="HGL52"/>
      <c r="HGM52"/>
      <c r="HGN52"/>
      <c r="HGO52"/>
      <c r="HGP52"/>
      <c r="HGQ52"/>
      <c r="HGR52"/>
      <c r="HGS52"/>
      <c r="HGT52"/>
      <c r="HGU52"/>
      <c r="HGV52"/>
      <c r="HGW52"/>
      <c r="HGX52"/>
      <c r="HGY52"/>
      <c r="HGZ52"/>
      <c r="HHA52"/>
      <c r="HHB52"/>
      <c r="HHC52"/>
      <c r="HHD52"/>
      <c r="HHE52"/>
      <c r="HHF52"/>
      <c r="HHG52"/>
      <c r="HHH52"/>
      <c r="HHI52"/>
      <c r="HHJ52"/>
      <c r="HHK52"/>
      <c r="HHL52"/>
      <c r="HHM52"/>
      <c r="HHN52"/>
      <c r="HHO52"/>
      <c r="HHP52"/>
      <c r="HHQ52"/>
      <c r="HHR52"/>
      <c r="HHS52"/>
      <c r="HHT52"/>
      <c r="HHU52"/>
      <c r="HHV52"/>
      <c r="HHW52"/>
      <c r="HHX52"/>
      <c r="HHY52"/>
      <c r="HHZ52"/>
      <c r="HIA52"/>
      <c r="HIB52"/>
      <c r="HIC52"/>
      <c r="HID52"/>
      <c r="HIE52"/>
      <c r="HIF52"/>
      <c r="HIG52"/>
      <c r="HIH52"/>
      <c r="HII52"/>
      <c r="HIJ52"/>
      <c r="HIK52"/>
      <c r="HIL52"/>
      <c r="HIM52"/>
      <c r="HIN52"/>
      <c r="HIO52"/>
      <c r="HIP52"/>
      <c r="HIQ52"/>
      <c r="HIR52"/>
      <c r="HIS52"/>
      <c r="HIT52"/>
      <c r="HIU52"/>
      <c r="HIV52"/>
      <c r="HIW52"/>
      <c r="HIX52"/>
      <c r="HIY52"/>
      <c r="HIZ52"/>
      <c r="HJA52"/>
      <c r="HJB52"/>
      <c r="HJC52"/>
      <c r="HJD52"/>
      <c r="HJE52"/>
      <c r="HJF52"/>
      <c r="HJG52"/>
      <c r="HJH52"/>
      <c r="HJI52"/>
      <c r="HJJ52"/>
      <c r="HJK52"/>
      <c r="HJL52"/>
      <c r="HJM52"/>
      <c r="HJN52"/>
      <c r="HJO52"/>
      <c r="HJP52"/>
      <c r="HJQ52"/>
      <c r="HJR52"/>
      <c r="HJS52"/>
      <c r="HJT52"/>
      <c r="HJU52"/>
      <c r="HJV52"/>
      <c r="HJW52"/>
      <c r="HJX52"/>
      <c r="HJY52"/>
      <c r="HJZ52"/>
      <c r="HKA52"/>
      <c r="HKB52"/>
      <c r="HKC52"/>
      <c r="HKD52"/>
      <c r="HKE52"/>
      <c r="HKF52"/>
      <c r="HKG52"/>
      <c r="HKH52"/>
      <c r="HKI52"/>
      <c r="HKJ52"/>
      <c r="HKK52"/>
      <c r="HKL52"/>
      <c r="HKM52"/>
      <c r="HKN52"/>
      <c r="HKO52"/>
      <c r="HKP52"/>
      <c r="HKQ52"/>
      <c r="HKR52"/>
      <c r="HKS52"/>
      <c r="HKT52"/>
      <c r="HKU52"/>
      <c r="HKV52"/>
      <c r="HKW52"/>
      <c r="HKX52"/>
      <c r="HKY52"/>
      <c r="HKZ52"/>
      <c r="HLA52"/>
      <c r="HLB52"/>
      <c r="HLC52"/>
      <c r="HLD52"/>
      <c r="HLE52"/>
      <c r="HLF52"/>
      <c r="HLG52"/>
      <c r="HLH52"/>
      <c r="HLI52"/>
      <c r="HLJ52"/>
      <c r="HLK52"/>
      <c r="HLL52"/>
      <c r="HLM52"/>
      <c r="HLN52"/>
      <c r="HLO52"/>
      <c r="HLP52"/>
      <c r="HLQ52"/>
      <c r="HLR52"/>
      <c r="HLS52"/>
      <c r="HLT52"/>
      <c r="HLU52"/>
      <c r="HLV52"/>
      <c r="HLW52"/>
      <c r="HLX52"/>
      <c r="HLY52"/>
      <c r="HLZ52"/>
      <c r="HMA52"/>
      <c r="HMB52"/>
      <c r="HMC52"/>
      <c r="HMD52"/>
      <c r="HME52"/>
      <c r="HMF52"/>
      <c r="HMG52"/>
      <c r="HMH52"/>
      <c r="HMI52"/>
      <c r="HMJ52"/>
      <c r="HMK52"/>
      <c r="HML52"/>
      <c r="HMM52"/>
      <c r="HMN52"/>
      <c r="HMO52"/>
      <c r="HMP52"/>
      <c r="HMQ52"/>
      <c r="HMR52"/>
      <c r="HMS52"/>
      <c r="HMT52"/>
      <c r="HMU52"/>
      <c r="HMV52"/>
      <c r="HMW52"/>
      <c r="HMX52"/>
      <c r="HMY52"/>
      <c r="HMZ52"/>
      <c r="HNA52"/>
      <c r="HNB52"/>
      <c r="HNC52"/>
      <c r="HND52"/>
      <c r="HNE52"/>
      <c r="HNF52"/>
      <c r="HNG52"/>
      <c r="HNH52"/>
      <c r="HNI52"/>
      <c r="HNJ52"/>
      <c r="HNK52"/>
      <c r="HNL52"/>
      <c r="HNM52"/>
      <c r="HNN52"/>
      <c r="HNO52"/>
      <c r="HNP52"/>
      <c r="HNQ52"/>
      <c r="HNR52"/>
      <c r="HNS52"/>
      <c r="HNT52"/>
      <c r="HNU52"/>
      <c r="HNV52"/>
      <c r="HNW52"/>
      <c r="HNX52"/>
      <c r="HNY52"/>
      <c r="HNZ52"/>
      <c r="HOA52"/>
      <c r="HOB52"/>
      <c r="HOC52"/>
      <c r="HOD52"/>
      <c r="HOE52"/>
      <c r="HOF52"/>
      <c r="HOG52"/>
      <c r="HOH52"/>
      <c r="HOI52"/>
      <c r="HOJ52"/>
      <c r="HOK52"/>
      <c r="HOL52"/>
      <c r="HOM52"/>
      <c r="HON52"/>
      <c r="HOO52"/>
      <c r="HOP52"/>
      <c r="HOQ52"/>
      <c r="HOR52"/>
      <c r="HOS52"/>
      <c r="HOT52"/>
      <c r="HOU52"/>
      <c r="HOV52"/>
      <c r="HOW52"/>
      <c r="HOX52"/>
      <c r="HOY52"/>
      <c r="HOZ52"/>
      <c r="HPA52"/>
      <c r="HPB52"/>
      <c r="HPC52"/>
      <c r="HPD52"/>
      <c r="HPE52"/>
      <c r="HPF52"/>
      <c r="HPG52"/>
      <c r="HPH52"/>
      <c r="HPI52"/>
      <c r="HPJ52"/>
      <c r="HPK52"/>
      <c r="HPL52"/>
      <c r="HPM52"/>
      <c r="HPN52"/>
      <c r="HPO52"/>
      <c r="HPP52"/>
      <c r="HPQ52"/>
      <c r="HPR52"/>
      <c r="HPS52"/>
      <c r="HPT52"/>
      <c r="HPU52"/>
      <c r="HPV52"/>
      <c r="HPW52"/>
      <c r="HPX52"/>
      <c r="HPY52"/>
      <c r="HPZ52"/>
      <c r="HQA52"/>
      <c r="HQB52"/>
      <c r="HQC52"/>
      <c r="HQD52"/>
      <c r="HQE52"/>
      <c r="HQF52"/>
      <c r="HQG52"/>
      <c r="HQH52"/>
      <c r="HQI52"/>
      <c r="HQJ52"/>
      <c r="HQK52"/>
      <c r="HQL52"/>
      <c r="HQM52"/>
      <c r="HQN52"/>
      <c r="HQO52"/>
      <c r="HQP52"/>
      <c r="HQQ52"/>
      <c r="HQR52"/>
      <c r="HQS52"/>
      <c r="HQT52"/>
      <c r="HQU52"/>
      <c r="HQV52"/>
      <c r="HQW52"/>
      <c r="HQX52"/>
      <c r="HQY52"/>
      <c r="HQZ52"/>
      <c r="HRA52"/>
      <c r="HRB52"/>
      <c r="HRC52"/>
      <c r="HRD52"/>
      <c r="HRE52"/>
      <c r="HRF52"/>
      <c r="HRG52"/>
      <c r="HRH52"/>
      <c r="HRI52"/>
      <c r="HRJ52"/>
      <c r="HRK52"/>
      <c r="HRL52"/>
      <c r="HRM52"/>
      <c r="HRN52"/>
      <c r="HRO52"/>
      <c r="HRP52"/>
      <c r="HRQ52"/>
      <c r="HRR52"/>
      <c r="HRS52"/>
      <c r="HRT52"/>
      <c r="HRU52"/>
      <c r="HRV52"/>
      <c r="HRW52"/>
      <c r="HRX52"/>
      <c r="HRY52"/>
      <c r="HRZ52"/>
      <c r="HSA52"/>
      <c r="HSB52"/>
      <c r="HSC52"/>
      <c r="HSD52"/>
      <c r="HSE52"/>
      <c r="HSF52"/>
      <c r="HSG52"/>
      <c r="HSH52"/>
      <c r="HSI52"/>
      <c r="HSJ52"/>
      <c r="HSK52"/>
      <c r="HSL52"/>
      <c r="HSM52"/>
      <c r="HSN52"/>
      <c r="HSO52"/>
      <c r="HSP52"/>
      <c r="HSQ52"/>
      <c r="HSR52"/>
      <c r="HSS52"/>
      <c r="HST52"/>
      <c r="HSU52"/>
      <c r="HSV52"/>
      <c r="HSW52"/>
      <c r="HSX52"/>
      <c r="HSY52"/>
      <c r="HSZ52"/>
      <c r="HTA52"/>
      <c r="HTB52"/>
      <c r="HTC52"/>
      <c r="HTD52"/>
      <c r="HTE52"/>
      <c r="HTF52"/>
      <c r="HTG52"/>
      <c r="HTH52"/>
      <c r="HTI52"/>
      <c r="HTJ52"/>
      <c r="HTK52"/>
      <c r="HTL52"/>
      <c r="HTM52"/>
      <c r="HTN52"/>
      <c r="HTO52"/>
      <c r="HTP52"/>
      <c r="HTQ52"/>
      <c r="HTR52"/>
      <c r="HTS52"/>
      <c r="HTT52"/>
      <c r="HTU52"/>
      <c r="HTV52"/>
      <c r="HTW52"/>
      <c r="HTX52"/>
      <c r="HTY52"/>
      <c r="HTZ52"/>
      <c r="HUA52"/>
      <c r="HUB52"/>
      <c r="HUC52"/>
      <c r="HUD52"/>
      <c r="HUE52"/>
      <c r="HUF52"/>
      <c r="HUG52"/>
      <c r="HUH52"/>
      <c r="HUI52"/>
      <c r="HUJ52"/>
      <c r="HUK52"/>
      <c r="HUL52"/>
      <c r="HUM52"/>
      <c r="HUN52"/>
      <c r="HUO52"/>
      <c r="HUP52"/>
      <c r="HUQ52"/>
      <c r="HUR52"/>
      <c r="HUS52"/>
      <c r="HUT52"/>
      <c r="HUU52"/>
      <c r="HUV52"/>
      <c r="HUW52"/>
      <c r="HUX52"/>
      <c r="HUY52"/>
      <c r="HUZ52"/>
      <c r="HVA52"/>
      <c r="HVB52"/>
      <c r="HVC52"/>
      <c r="HVD52"/>
      <c r="HVE52"/>
      <c r="HVF52"/>
      <c r="HVG52"/>
      <c r="HVH52"/>
      <c r="HVI52"/>
      <c r="HVJ52"/>
      <c r="HVK52"/>
      <c r="HVL52"/>
      <c r="HVM52"/>
      <c r="HVN52"/>
      <c r="HVO52"/>
      <c r="HVP52"/>
      <c r="HVQ52"/>
      <c r="HVR52"/>
      <c r="HVS52"/>
      <c r="HVT52"/>
      <c r="HVU52"/>
      <c r="HVV52"/>
      <c r="HVW52"/>
      <c r="HVX52"/>
      <c r="HVY52"/>
      <c r="HVZ52"/>
      <c r="HWA52"/>
      <c r="HWB52"/>
      <c r="HWC52"/>
      <c r="HWD52"/>
      <c r="HWE52"/>
      <c r="HWF52"/>
      <c r="HWG52"/>
      <c r="HWH52"/>
      <c r="HWI52"/>
      <c r="HWJ52"/>
      <c r="HWK52"/>
      <c r="HWL52"/>
      <c r="HWM52"/>
      <c r="HWN52"/>
      <c r="HWO52"/>
      <c r="HWP52"/>
      <c r="HWQ52"/>
      <c r="HWR52"/>
      <c r="HWS52"/>
      <c r="HWT52"/>
      <c r="HWU52"/>
      <c r="HWV52"/>
      <c r="HWW52"/>
      <c r="HWX52"/>
      <c r="HWY52"/>
      <c r="HWZ52"/>
      <c r="HXA52"/>
      <c r="HXB52"/>
      <c r="HXC52"/>
      <c r="HXD52"/>
      <c r="HXE52"/>
      <c r="HXF52"/>
      <c r="HXG52"/>
      <c r="HXH52"/>
      <c r="HXI52"/>
      <c r="HXJ52"/>
      <c r="HXK52"/>
      <c r="HXL52"/>
      <c r="HXM52"/>
      <c r="HXN52"/>
      <c r="HXO52"/>
      <c r="HXP52"/>
      <c r="HXQ52"/>
      <c r="HXR52"/>
      <c r="HXS52"/>
      <c r="HXT52"/>
      <c r="HXU52"/>
      <c r="HXV52"/>
      <c r="HXW52"/>
      <c r="HXX52"/>
      <c r="HXY52"/>
      <c r="HXZ52"/>
      <c r="HYA52"/>
      <c r="HYB52"/>
      <c r="HYC52"/>
      <c r="HYD52"/>
      <c r="HYE52"/>
      <c r="HYF52"/>
      <c r="HYG52"/>
      <c r="HYH52"/>
      <c r="HYI52"/>
      <c r="HYJ52"/>
      <c r="HYK52"/>
      <c r="HYL52"/>
      <c r="HYM52"/>
      <c r="HYN52"/>
      <c r="HYO52"/>
      <c r="HYP52"/>
      <c r="HYQ52"/>
      <c r="HYR52"/>
      <c r="HYS52"/>
      <c r="HYT52"/>
      <c r="HYU52"/>
      <c r="HYV52"/>
      <c r="HYW52"/>
      <c r="HYX52"/>
      <c r="HYY52"/>
      <c r="HYZ52"/>
      <c r="HZA52"/>
      <c r="HZB52"/>
      <c r="HZC52"/>
      <c r="HZD52"/>
      <c r="HZE52"/>
      <c r="HZF52"/>
      <c r="HZG52"/>
      <c r="HZH52"/>
      <c r="HZI52"/>
      <c r="HZJ52"/>
      <c r="HZK52"/>
      <c r="HZL52"/>
      <c r="HZM52"/>
      <c r="HZN52"/>
      <c r="HZO52"/>
      <c r="HZP52"/>
      <c r="HZQ52"/>
      <c r="HZR52"/>
      <c r="HZS52"/>
      <c r="HZT52"/>
      <c r="HZU52"/>
      <c r="HZV52"/>
      <c r="HZW52"/>
      <c r="HZX52"/>
      <c r="HZY52"/>
      <c r="HZZ52"/>
      <c r="IAA52"/>
      <c r="IAB52"/>
      <c r="IAC52"/>
      <c r="IAD52"/>
      <c r="IAE52"/>
      <c r="IAF52"/>
      <c r="IAG52"/>
      <c r="IAH52"/>
      <c r="IAI52"/>
      <c r="IAJ52"/>
      <c r="IAK52"/>
      <c r="IAL52"/>
      <c r="IAM52"/>
      <c r="IAN52"/>
      <c r="IAO52"/>
      <c r="IAP52"/>
      <c r="IAQ52"/>
      <c r="IAR52"/>
      <c r="IAS52"/>
      <c r="IAT52"/>
      <c r="IAU52"/>
      <c r="IAV52"/>
      <c r="IAW52"/>
      <c r="IAX52"/>
      <c r="IAY52"/>
      <c r="IAZ52"/>
      <c r="IBA52"/>
      <c r="IBB52"/>
      <c r="IBC52"/>
      <c r="IBD52"/>
      <c r="IBE52"/>
      <c r="IBF52"/>
      <c r="IBG52"/>
      <c r="IBH52"/>
      <c r="IBI52"/>
      <c r="IBJ52"/>
      <c r="IBK52"/>
      <c r="IBL52"/>
      <c r="IBM52"/>
      <c r="IBN52"/>
      <c r="IBO52"/>
      <c r="IBP52"/>
      <c r="IBQ52"/>
      <c r="IBR52"/>
      <c r="IBS52"/>
      <c r="IBT52"/>
      <c r="IBU52"/>
      <c r="IBV52"/>
      <c r="IBW52"/>
      <c r="IBX52"/>
      <c r="IBY52"/>
      <c r="IBZ52"/>
      <c r="ICA52"/>
      <c r="ICB52"/>
      <c r="ICC52"/>
      <c r="ICD52"/>
      <c r="ICE52"/>
      <c r="ICF52"/>
      <c r="ICG52"/>
      <c r="ICH52"/>
      <c r="ICI52"/>
      <c r="ICJ52"/>
      <c r="ICK52"/>
      <c r="ICL52"/>
      <c r="ICM52"/>
      <c r="ICN52"/>
      <c r="ICO52"/>
      <c r="ICP52"/>
      <c r="ICQ52"/>
      <c r="ICR52"/>
      <c r="ICS52"/>
      <c r="ICT52"/>
      <c r="ICU52"/>
      <c r="ICV52"/>
      <c r="ICW52"/>
      <c r="ICX52"/>
      <c r="ICY52"/>
      <c r="ICZ52"/>
      <c r="IDA52"/>
      <c r="IDB52"/>
      <c r="IDC52"/>
      <c r="IDD52"/>
      <c r="IDE52"/>
      <c r="IDF52"/>
      <c r="IDG52"/>
      <c r="IDH52"/>
      <c r="IDI52"/>
      <c r="IDJ52"/>
      <c r="IDK52"/>
      <c r="IDL52"/>
      <c r="IDM52"/>
      <c r="IDN52"/>
      <c r="IDO52"/>
      <c r="IDP52"/>
      <c r="IDQ52"/>
      <c r="IDR52"/>
      <c r="IDS52"/>
      <c r="IDT52"/>
      <c r="IDU52"/>
      <c r="IDV52"/>
      <c r="IDW52"/>
      <c r="IDX52"/>
      <c r="IDY52"/>
      <c r="IDZ52"/>
      <c r="IEA52"/>
      <c r="IEB52"/>
      <c r="IEC52"/>
      <c r="IED52"/>
      <c r="IEE52"/>
      <c r="IEF52"/>
      <c r="IEG52"/>
      <c r="IEH52"/>
      <c r="IEI52"/>
      <c r="IEJ52"/>
      <c r="IEK52"/>
      <c r="IEL52"/>
      <c r="IEM52"/>
      <c r="IEN52"/>
      <c r="IEO52"/>
      <c r="IEP52"/>
      <c r="IEQ52"/>
      <c r="IER52"/>
      <c r="IES52"/>
      <c r="IET52"/>
      <c r="IEU52"/>
      <c r="IEV52"/>
      <c r="IEW52"/>
      <c r="IEX52"/>
      <c r="IEY52"/>
      <c r="IEZ52"/>
      <c r="IFA52"/>
      <c r="IFB52"/>
      <c r="IFC52"/>
      <c r="IFD52"/>
      <c r="IFE52"/>
      <c r="IFF52"/>
      <c r="IFG52"/>
      <c r="IFH52"/>
      <c r="IFI52"/>
      <c r="IFJ52"/>
      <c r="IFK52"/>
      <c r="IFL52"/>
      <c r="IFM52"/>
      <c r="IFN52"/>
      <c r="IFO52"/>
      <c r="IFP52"/>
      <c r="IFQ52"/>
      <c r="IFR52"/>
      <c r="IFS52"/>
      <c r="IFT52"/>
      <c r="IFU52"/>
      <c r="IFV52"/>
      <c r="IFW52"/>
      <c r="IFX52"/>
      <c r="IFY52"/>
      <c r="IFZ52"/>
      <c r="IGA52"/>
      <c r="IGB52"/>
      <c r="IGC52"/>
      <c r="IGD52"/>
      <c r="IGE52"/>
      <c r="IGF52"/>
      <c r="IGG52"/>
      <c r="IGH52"/>
      <c r="IGI52"/>
      <c r="IGJ52"/>
      <c r="IGK52"/>
      <c r="IGL52"/>
      <c r="IGM52"/>
      <c r="IGN52"/>
      <c r="IGO52"/>
      <c r="IGP52"/>
      <c r="IGQ52"/>
      <c r="IGR52"/>
      <c r="IGS52"/>
      <c r="IGT52"/>
      <c r="IGU52"/>
      <c r="IGV52"/>
      <c r="IGW52"/>
      <c r="IGX52"/>
      <c r="IGY52"/>
      <c r="IGZ52"/>
      <c r="IHA52"/>
      <c r="IHB52"/>
      <c r="IHC52"/>
      <c r="IHD52"/>
      <c r="IHE52"/>
      <c r="IHF52"/>
      <c r="IHG52"/>
      <c r="IHH52"/>
      <c r="IHI52"/>
      <c r="IHJ52"/>
      <c r="IHK52"/>
      <c r="IHL52"/>
      <c r="IHM52"/>
      <c r="IHN52"/>
      <c r="IHO52"/>
      <c r="IHP52"/>
      <c r="IHQ52"/>
      <c r="IHR52"/>
      <c r="IHS52"/>
      <c r="IHT52"/>
      <c r="IHU52"/>
      <c r="IHV52"/>
      <c r="IHW52"/>
      <c r="IHX52"/>
      <c r="IHY52"/>
      <c r="IHZ52"/>
      <c r="IIA52"/>
      <c r="IIB52"/>
      <c r="IIC52"/>
      <c r="IID52"/>
      <c r="IIE52"/>
      <c r="IIF52"/>
      <c r="IIG52"/>
      <c r="IIH52"/>
      <c r="III52"/>
      <c r="IIJ52"/>
      <c r="IIK52"/>
      <c r="IIL52"/>
      <c r="IIM52"/>
      <c r="IIN52"/>
      <c r="IIO52"/>
      <c r="IIP52"/>
      <c r="IIQ52"/>
      <c r="IIR52"/>
      <c r="IIS52"/>
      <c r="IIT52"/>
      <c r="IIU52"/>
      <c r="IIV52"/>
      <c r="IIW52"/>
      <c r="IIX52"/>
      <c r="IIY52"/>
      <c r="IIZ52"/>
      <c r="IJA52"/>
      <c r="IJB52"/>
      <c r="IJC52"/>
      <c r="IJD52"/>
      <c r="IJE52"/>
      <c r="IJF52"/>
      <c r="IJG52"/>
      <c r="IJH52"/>
      <c r="IJI52"/>
      <c r="IJJ52"/>
      <c r="IJK52"/>
      <c r="IJL52"/>
      <c r="IJM52"/>
      <c r="IJN52"/>
      <c r="IJO52"/>
      <c r="IJP52"/>
      <c r="IJQ52"/>
      <c r="IJR52"/>
      <c r="IJS52"/>
      <c r="IJT52"/>
      <c r="IJU52"/>
      <c r="IJV52"/>
      <c r="IJW52"/>
      <c r="IJX52"/>
      <c r="IJY52"/>
      <c r="IJZ52"/>
      <c r="IKA52"/>
      <c r="IKB52"/>
      <c r="IKC52"/>
      <c r="IKD52"/>
      <c r="IKE52"/>
      <c r="IKF52"/>
      <c r="IKG52"/>
      <c r="IKH52"/>
      <c r="IKI52"/>
      <c r="IKJ52"/>
      <c r="IKK52"/>
      <c r="IKL52"/>
      <c r="IKM52"/>
      <c r="IKN52"/>
      <c r="IKO52"/>
      <c r="IKP52"/>
      <c r="IKQ52"/>
      <c r="IKR52"/>
      <c r="IKS52"/>
      <c r="IKT52"/>
      <c r="IKU52"/>
      <c r="IKV52"/>
      <c r="IKW52"/>
      <c r="IKX52"/>
      <c r="IKY52"/>
      <c r="IKZ52"/>
      <c r="ILA52"/>
      <c r="ILB52"/>
      <c r="ILC52"/>
      <c r="ILD52"/>
      <c r="ILE52"/>
      <c r="ILF52"/>
      <c r="ILG52"/>
      <c r="ILH52"/>
      <c r="ILI52"/>
      <c r="ILJ52"/>
      <c r="ILK52"/>
      <c r="ILL52"/>
      <c r="ILM52"/>
      <c r="ILN52"/>
      <c r="ILO52"/>
      <c r="ILP52"/>
      <c r="ILQ52"/>
      <c r="ILR52"/>
      <c r="ILS52"/>
      <c r="ILT52"/>
      <c r="ILU52"/>
      <c r="ILV52"/>
      <c r="ILW52"/>
      <c r="ILX52"/>
      <c r="ILY52"/>
      <c r="ILZ52"/>
      <c r="IMA52"/>
      <c r="IMB52"/>
      <c r="IMC52"/>
      <c r="IMD52"/>
      <c r="IME52"/>
      <c r="IMF52"/>
      <c r="IMG52"/>
      <c r="IMH52"/>
      <c r="IMI52"/>
      <c r="IMJ52"/>
      <c r="IMK52"/>
      <c r="IML52"/>
      <c r="IMM52"/>
      <c r="IMN52"/>
      <c r="IMO52"/>
      <c r="IMP52"/>
      <c r="IMQ52"/>
      <c r="IMR52"/>
      <c r="IMS52"/>
      <c r="IMT52"/>
      <c r="IMU52"/>
      <c r="IMV52"/>
      <c r="IMW52"/>
      <c r="IMX52"/>
      <c r="IMY52"/>
      <c r="IMZ52"/>
      <c r="INA52"/>
      <c r="INB52"/>
      <c r="INC52"/>
      <c r="IND52"/>
      <c r="INE52"/>
      <c r="INF52"/>
      <c r="ING52"/>
      <c r="INH52"/>
      <c r="INI52"/>
      <c r="INJ52"/>
      <c r="INK52"/>
      <c r="INL52"/>
      <c r="INM52"/>
      <c r="INN52"/>
      <c r="INO52"/>
      <c r="INP52"/>
      <c r="INQ52"/>
      <c r="INR52"/>
      <c r="INS52"/>
      <c r="INT52"/>
      <c r="INU52"/>
      <c r="INV52"/>
      <c r="INW52"/>
      <c r="INX52"/>
      <c r="INY52"/>
      <c r="INZ52"/>
      <c r="IOA52"/>
      <c r="IOB52"/>
      <c r="IOC52"/>
      <c r="IOD52"/>
      <c r="IOE52"/>
      <c r="IOF52"/>
      <c r="IOG52"/>
      <c r="IOH52"/>
      <c r="IOI52"/>
      <c r="IOJ52"/>
      <c r="IOK52"/>
      <c r="IOL52"/>
      <c r="IOM52"/>
      <c r="ION52"/>
      <c r="IOO52"/>
      <c r="IOP52"/>
      <c r="IOQ52"/>
      <c r="IOR52"/>
      <c r="IOS52"/>
      <c r="IOT52"/>
      <c r="IOU52"/>
      <c r="IOV52"/>
      <c r="IOW52"/>
      <c r="IOX52"/>
      <c r="IOY52"/>
      <c r="IOZ52"/>
      <c r="IPA52"/>
      <c r="IPB52"/>
      <c r="IPC52"/>
      <c r="IPD52"/>
      <c r="IPE52"/>
      <c r="IPF52"/>
      <c r="IPG52"/>
      <c r="IPH52"/>
      <c r="IPI52"/>
      <c r="IPJ52"/>
      <c r="IPK52"/>
      <c r="IPL52"/>
      <c r="IPM52"/>
      <c r="IPN52"/>
      <c r="IPO52"/>
      <c r="IPP52"/>
      <c r="IPQ52"/>
      <c r="IPR52"/>
      <c r="IPS52"/>
      <c r="IPT52"/>
      <c r="IPU52"/>
      <c r="IPV52"/>
      <c r="IPW52"/>
      <c r="IPX52"/>
      <c r="IPY52"/>
      <c r="IPZ52"/>
      <c r="IQA52"/>
      <c r="IQB52"/>
      <c r="IQC52"/>
      <c r="IQD52"/>
      <c r="IQE52"/>
      <c r="IQF52"/>
      <c r="IQG52"/>
      <c r="IQH52"/>
      <c r="IQI52"/>
      <c r="IQJ52"/>
      <c r="IQK52"/>
      <c r="IQL52"/>
      <c r="IQM52"/>
      <c r="IQN52"/>
      <c r="IQO52"/>
      <c r="IQP52"/>
      <c r="IQQ52"/>
      <c r="IQR52"/>
      <c r="IQS52"/>
      <c r="IQT52"/>
      <c r="IQU52"/>
      <c r="IQV52"/>
      <c r="IQW52"/>
      <c r="IQX52"/>
      <c r="IQY52"/>
      <c r="IQZ52"/>
      <c r="IRA52"/>
      <c r="IRB52"/>
      <c r="IRC52"/>
      <c r="IRD52"/>
      <c r="IRE52"/>
      <c r="IRF52"/>
      <c r="IRG52"/>
      <c r="IRH52"/>
      <c r="IRI52"/>
      <c r="IRJ52"/>
      <c r="IRK52"/>
      <c r="IRL52"/>
      <c r="IRM52"/>
      <c r="IRN52"/>
      <c r="IRO52"/>
      <c r="IRP52"/>
      <c r="IRQ52"/>
      <c r="IRR52"/>
      <c r="IRS52"/>
      <c r="IRT52"/>
      <c r="IRU52"/>
      <c r="IRV52"/>
      <c r="IRW52"/>
      <c r="IRX52"/>
      <c r="IRY52"/>
      <c r="IRZ52"/>
      <c r="ISA52"/>
      <c r="ISB52"/>
      <c r="ISC52"/>
      <c r="ISD52"/>
      <c r="ISE52"/>
      <c r="ISF52"/>
      <c r="ISG52"/>
      <c r="ISH52"/>
      <c r="ISI52"/>
      <c r="ISJ52"/>
      <c r="ISK52"/>
      <c r="ISL52"/>
      <c r="ISM52"/>
      <c r="ISN52"/>
      <c r="ISO52"/>
      <c r="ISP52"/>
      <c r="ISQ52"/>
      <c r="ISR52"/>
      <c r="ISS52"/>
      <c r="IST52"/>
      <c r="ISU52"/>
      <c r="ISV52"/>
      <c r="ISW52"/>
      <c r="ISX52"/>
      <c r="ISY52"/>
      <c r="ISZ52"/>
      <c r="ITA52"/>
      <c r="ITB52"/>
      <c r="ITC52"/>
      <c r="ITD52"/>
      <c r="ITE52"/>
      <c r="ITF52"/>
      <c r="ITG52"/>
      <c r="ITH52"/>
      <c r="ITI52"/>
      <c r="ITJ52"/>
      <c r="ITK52"/>
      <c r="ITL52"/>
      <c r="ITM52"/>
      <c r="ITN52"/>
      <c r="ITO52"/>
      <c r="ITP52"/>
      <c r="ITQ52"/>
      <c r="ITR52"/>
      <c r="ITS52"/>
      <c r="ITT52"/>
      <c r="ITU52"/>
      <c r="ITV52"/>
      <c r="ITW52"/>
      <c r="ITX52"/>
      <c r="ITY52"/>
      <c r="ITZ52"/>
      <c r="IUA52"/>
      <c r="IUB52"/>
      <c r="IUC52"/>
      <c r="IUD52"/>
      <c r="IUE52"/>
      <c r="IUF52"/>
      <c r="IUG52"/>
      <c r="IUH52"/>
      <c r="IUI52"/>
      <c r="IUJ52"/>
      <c r="IUK52"/>
      <c r="IUL52"/>
      <c r="IUM52"/>
      <c r="IUN52"/>
      <c r="IUO52"/>
      <c r="IUP52"/>
      <c r="IUQ52"/>
      <c r="IUR52"/>
      <c r="IUS52"/>
      <c r="IUT52"/>
      <c r="IUU52"/>
      <c r="IUV52"/>
      <c r="IUW52"/>
      <c r="IUX52"/>
      <c r="IUY52"/>
      <c r="IUZ52"/>
      <c r="IVA52"/>
      <c r="IVB52"/>
      <c r="IVC52"/>
      <c r="IVD52"/>
      <c r="IVE52"/>
      <c r="IVF52"/>
      <c r="IVG52"/>
      <c r="IVH52"/>
      <c r="IVI52"/>
      <c r="IVJ52"/>
      <c r="IVK52"/>
      <c r="IVL52"/>
      <c r="IVM52"/>
      <c r="IVN52"/>
      <c r="IVO52"/>
      <c r="IVP52"/>
      <c r="IVQ52"/>
      <c r="IVR52"/>
      <c r="IVS52"/>
      <c r="IVT52"/>
      <c r="IVU52"/>
      <c r="IVV52"/>
      <c r="IVW52"/>
      <c r="IVX52"/>
      <c r="IVY52"/>
      <c r="IVZ52"/>
      <c r="IWA52"/>
      <c r="IWB52"/>
      <c r="IWC52"/>
      <c r="IWD52"/>
      <c r="IWE52"/>
      <c r="IWF52"/>
      <c r="IWG52"/>
      <c r="IWH52"/>
      <c r="IWI52"/>
      <c r="IWJ52"/>
      <c r="IWK52"/>
      <c r="IWL52"/>
      <c r="IWM52"/>
      <c r="IWN52"/>
      <c r="IWO52"/>
      <c r="IWP52"/>
      <c r="IWQ52"/>
      <c r="IWR52"/>
      <c r="IWS52"/>
      <c r="IWT52"/>
      <c r="IWU52"/>
      <c r="IWV52"/>
      <c r="IWW52"/>
      <c r="IWX52"/>
      <c r="IWY52"/>
      <c r="IWZ52"/>
      <c r="IXA52"/>
      <c r="IXB52"/>
      <c r="IXC52"/>
      <c r="IXD52"/>
      <c r="IXE52"/>
      <c r="IXF52"/>
      <c r="IXG52"/>
      <c r="IXH52"/>
      <c r="IXI52"/>
      <c r="IXJ52"/>
      <c r="IXK52"/>
      <c r="IXL52"/>
      <c r="IXM52"/>
      <c r="IXN52"/>
      <c r="IXO52"/>
      <c r="IXP52"/>
      <c r="IXQ52"/>
      <c r="IXR52"/>
      <c r="IXS52"/>
      <c r="IXT52"/>
      <c r="IXU52"/>
      <c r="IXV52"/>
      <c r="IXW52"/>
      <c r="IXX52"/>
      <c r="IXY52"/>
      <c r="IXZ52"/>
      <c r="IYA52"/>
      <c r="IYB52"/>
      <c r="IYC52"/>
      <c r="IYD52"/>
      <c r="IYE52"/>
      <c r="IYF52"/>
      <c r="IYG52"/>
      <c r="IYH52"/>
      <c r="IYI52"/>
      <c r="IYJ52"/>
      <c r="IYK52"/>
      <c r="IYL52"/>
      <c r="IYM52"/>
      <c r="IYN52"/>
      <c r="IYO52"/>
      <c r="IYP52"/>
      <c r="IYQ52"/>
      <c r="IYR52"/>
      <c r="IYS52"/>
      <c r="IYT52"/>
      <c r="IYU52"/>
      <c r="IYV52"/>
      <c r="IYW52"/>
      <c r="IYX52"/>
      <c r="IYY52"/>
      <c r="IYZ52"/>
      <c r="IZA52"/>
      <c r="IZB52"/>
      <c r="IZC52"/>
      <c r="IZD52"/>
      <c r="IZE52"/>
      <c r="IZF52"/>
      <c r="IZG52"/>
      <c r="IZH52"/>
      <c r="IZI52"/>
      <c r="IZJ52"/>
      <c r="IZK52"/>
      <c r="IZL52"/>
      <c r="IZM52"/>
      <c r="IZN52"/>
      <c r="IZO52"/>
      <c r="IZP52"/>
      <c r="IZQ52"/>
      <c r="IZR52"/>
      <c r="IZS52"/>
      <c r="IZT52"/>
      <c r="IZU52"/>
      <c r="IZV52"/>
      <c r="IZW52"/>
      <c r="IZX52"/>
      <c r="IZY52"/>
      <c r="IZZ52"/>
      <c r="JAA52"/>
      <c r="JAB52"/>
      <c r="JAC52"/>
      <c r="JAD52"/>
      <c r="JAE52"/>
      <c r="JAF52"/>
      <c r="JAG52"/>
      <c r="JAH52"/>
      <c r="JAI52"/>
      <c r="JAJ52"/>
      <c r="JAK52"/>
      <c r="JAL52"/>
      <c r="JAM52"/>
      <c r="JAN52"/>
      <c r="JAO52"/>
      <c r="JAP52"/>
      <c r="JAQ52"/>
      <c r="JAR52"/>
      <c r="JAS52"/>
      <c r="JAT52"/>
      <c r="JAU52"/>
      <c r="JAV52"/>
      <c r="JAW52"/>
      <c r="JAX52"/>
      <c r="JAY52"/>
      <c r="JAZ52"/>
      <c r="JBA52"/>
      <c r="JBB52"/>
      <c r="JBC52"/>
      <c r="JBD52"/>
      <c r="JBE52"/>
      <c r="JBF52"/>
      <c r="JBG52"/>
      <c r="JBH52"/>
      <c r="JBI52"/>
      <c r="JBJ52"/>
      <c r="JBK52"/>
      <c r="JBL52"/>
      <c r="JBM52"/>
      <c r="JBN52"/>
      <c r="JBO52"/>
      <c r="JBP52"/>
      <c r="JBQ52"/>
      <c r="JBR52"/>
      <c r="JBS52"/>
      <c r="JBT52"/>
      <c r="JBU52"/>
      <c r="JBV52"/>
      <c r="JBW52"/>
      <c r="JBX52"/>
      <c r="JBY52"/>
      <c r="JBZ52"/>
      <c r="JCA52"/>
      <c r="JCB52"/>
      <c r="JCC52"/>
      <c r="JCD52"/>
      <c r="JCE52"/>
      <c r="JCF52"/>
      <c r="JCG52"/>
      <c r="JCH52"/>
      <c r="JCI52"/>
      <c r="JCJ52"/>
      <c r="JCK52"/>
      <c r="JCL52"/>
      <c r="JCM52"/>
      <c r="JCN52"/>
      <c r="JCO52"/>
      <c r="JCP52"/>
      <c r="JCQ52"/>
      <c r="JCR52"/>
      <c r="JCS52"/>
      <c r="JCT52"/>
      <c r="JCU52"/>
      <c r="JCV52"/>
      <c r="JCW52"/>
      <c r="JCX52"/>
      <c r="JCY52"/>
      <c r="JCZ52"/>
      <c r="JDA52"/>
      <c r="JDB52"/>
      <c r="JDC52"/>
      <c r="JDD52"/>
      <c r="JDE52"/>
      <c r="JDF52"/>
      <c r="JDG52"/>
      <c r="JDH52"/>
      <c r="JDI52"/>
      <c r="JDJ52"/>
      <c r="JDK52"/>
      <c r="JDL52"/>
      <c r="JDM52"/>
      <c r="JDN52"/>
      <c r="JDO52"/>
      <c r="JDP52"/>
      <c r="JDQ52"/>
      <c r="JDR52"/>
      <c r="JDS52"/>
      <c r="JDT52"/>
      <c r="JDU52"/>
      <c r="JDV52"/>
      <c r="JDW52"/>
      <c r="JDX52"/>
      <c r="JDY52"/>
      <c r="JDZ52"/>
      <c r="JEA52"/>
      <c r="JEB52"/>
      <c r="JEC52"/>
      <c r="JED52"/>
      <c r="JEE52"/>
      <c r="JEF52"/>
      <c r="JEG52"/>
      <c r="JEH52"/>
      <c r="JEI52"/>
      <c r="JEJ52"/>
      <c r="JEK52"/>
      <c r="JEL52"/>
      <c r="JEM52"/>
      <c r="JEN52"/>
      <c r="JEO52"/>
      <c r="JEP52"/>
      <c r="JEQ52"/>
      <c r="JER52"/>
      <c r="JES52"/>
      <c r="JET52"/>
      <c r="JEU52"/>
      <c r="JEV52"/>
      <c r="JEW52"/>
      <c r="JEX52"/>
      <c r="JEY52"/>
      <c r="JEZ52"/>
      <c r="JFA52"/>
      <c r="JFB52"/>
      <c r="JFC52"/>
      <c r="JFD52"/>
      <c r="JFE52"/>
      <c r="JFF52"/>
      <c r="JFG52"/>
      <c r="JFH52"/>
      <c r="JFI52"/>
      <c r="JFJ52"/>
      <c r="JFK52"/>
      <c r="JFL52"/>
      <c r="JFM52"/>
      <c r="JFN52"/>
      <c r="JFO52"/>
      <c r="JFP52"/>
      <c r="JFQ52"/>
      <c r="JFR52"/>
      <c r="JFS52"/>
      <c r="JFT52"/>
      <c r="JFU52"/>
      <c r="JFV52"/>
      <c r="JFW52"/>
      <c r="JFX52"/>
      <c r="JFY52"/>
      <c r="JFZ52"/>
      <c r="JGA52"/>
      <c r="JGB52"/>
      <c r="JGC52"/>
      <c r="JGD52"/>
      <c r="JGE52"/>
      <c r="JGF52"/>
      <c r="JGG52"/>
      <c r="JGH52"/>
      <c r="JGI52"/>
      <c r="JGJ52"/>
      <c r="JGK52"/>
      <c r="JGL52"/>
      <c r="JGM52"/>
      <c r="JGN52"/>
      <c r="JGO52"/>
      <c r="JGP52"/>
      <c r="JGQ52"/>
      <c r="JGR52"/>
      <c r="JGS52"/>
      <c r="JGT52"/>
      <c r="JGU52"/>
      <c r="JGV52"/>
      <c r="JGW52"/>
      <c r="JGX52"/>
      <c r="JGY52"/>
      <c r="JGZ52"/>
      <c r="JHA52"/>
      <c r="JHB52"/>
      <c r="JHC52"/>
      <c r="JHD52"/>
      <c r="JHE52"/>
      <c r="JHF52"/>
      <c r="JHG52"/>
      <c r="JHH52"/>
      <c r="JHI52"/>
      <c r="JHJ52"/>
      <c r="JHK52"/>
      <c r="JHL52"/>
      <c r="JHM52"/>
      <c r="JHN52"/>
      <c r="JHO52"/>
      <c r="JHP52"/>
      <c r="JHQ52"/>
      <c r="JHR52"/>
      <c r="JHS52"/>
      <c r="JHT52"/>
      <c r="JHU52"/>
      <c r="JHV52"/>
      <c r="JHW52"/>
      <c r="JHX52"/>
      <c r="JHY52"/>
      <c r="JHZ52"/>
      <c r="JIA52"/>
      <c r="JIB52"/>
      <c r="JIC52"/>
      <c r="JID52"/>
      <c r="JIE52"/>
      <c r="JIF52"/>
      <c r="JIG52"/>
      <c r="JIH52"/>
      <c r="JII52"/>
      <c r="JIJ52"/>
      <c r="JIK52"/>
      <c r="JIL52"/>
      <c r="JIM52"/>
      <c r="JIN52"/>
      <c r="JIO52"/>
      <c r="JIP52"/>
      <c r="JIQ52"/>
      <c r="JIR52"/>
      <c r="JIS52"/>
      <c r="JIT52"/>
      <c r="JIU52"/>
      <c r="JIV52"/>
      <c r="JIW52"/>
      <c r="JIX52"/>
      <c r="JIY52"/>
      <c r="JIZ52"/>
      <c r="JJA52"/>
      <c r="JJB52"/>
      <c r="JJC52"/>
      <c r="JJD52"/>
      <c r="JJE52"/>
      <c r="JJF52"/>
      <c r="JJG52"/>
      <c r="JJH52"/>
      <c r="JJI52"/>
      <c r="JJJ52"/>
      <c r="JJK52"/>
      <c r="JJL52"/>
      <c r="JJM52"/>
      <c r="JJN52"/>
      <c r="JJO52"/>
      <c r="JJP52"/>
      <c r="JJQ52"/>
      <c r="JJR52"/>
      <c r="JJS52"/>
      <c r="JJT52"/>
      <c r="JJU52"/>
      <c r="JJV52"/>
      <c r="JJW52"/>
      <c r="JJX52"/>
      <c r="JJY52"/>
      <c r="JJZ52"/>
      <c r="JKA52"/>
      <c r="JKB52"/>
      <c r="JKC52"/>
      <c r="JKD52"/>
      <c r="JKE52"/>
      <c r="JKF52"/>
      <c r="JKG52"/>
      <c r="JKH52"/>
      <c r="JKI52"/>
      <c r="JKJ52"/>
      <c r="JKK52"/>
      <c r="JKL52"/>
      <c r="JKM52"/>
      <c r="JKN52"/>
      <c r="JKO52"/>
      <c r="JKP52"/>
      <c r="JKQ52"/>
      <c r="JKR52"/>
      <c r="JKS52"/>
      <c r="JKT52"/>
      <c r="JKU52"/>
      <c r="JKV52"/>
      <c r="JKW52"/>
      <c r="JKX52"/>
      <c r="JKY52"/>
      <c r="JKZ52"/>
      <c r="JLA52"/>
      <c r="JLB52"/>
      <c r="JLC52"/>
      <c r="JLD52"/>
      <c r="JLE52"/>
      <c r="JLF52"/>
      <c r="JLG52"/>
      <c r="JLH52"/>
      <c r="JLI52"/>
      <c r="JLJ52"/>
      <c r="JLK52"/>
      <c r="JLL52"/>
      <c r="JLM52"/>
      <c r="JLN52"/>
      <c r="JLO52"/>
      <c r="JLP52"/>
      <c r="JLQ52"/>
      <c r="JLR52"/>
      <c r="JLS52"/>
      <c r="JLT52"/>
      <c r="JLU52"/>
      <c r="JLV52"/>
      <c r="JLW52"/>
      <c r="JLX52"/>
      <c r="JLY52"/>
      <c r="JLZ52"/>
      <c r="JMA52"/>
      <c r="JMB52"/>
      <c r="JMC52"/>
      <c r="JMD52"/>
      <c r="JME52"/>
      <c r="JMF52"/>
      <c r="JMG52"/>
      <c r="JMH52"/>
      <c r="JMI52"/>
      <c r="JMJ52"/>
      <c r="JMK52"/>
      <c r="JML52"/>
      <c r="JMM52"/>
      <c r="JMN52"/>
      <c r="JMO52"/>
      <c r="JMP52"/>
      <c r="JMQ52"/>
      <c r="JMR52"/>
      <c r="JMS52"/>
      <c r="JMT52"/>
      <c r="JMU52"/>
      <c r="JMV52"/>
      <c r="JMW52"/>
      <c r="JMX52"/>
      <c r="JMY52"/>
      <c r="JMZ52"/>
      <c r="JNA52"/>
      <c r="JNB52"/>
      <c r="JNC52"/>
      <c r="JND52"/>
      <c r="JNE52"/>
      <c r="JNF52"/>
      <c r="JNG52"/>
      <c r="JNH52"/>
      <c r="JNI52"/>
      <c r="JNJ52"/>
      <c r="JNK52"/>
      <c r="JNL52"/>
      <c r="JNM52"/>
      <c r="JNN52"/>
      <c r="JNO52"/>
      <c r="JNP52"/>
      <c r="JNQ52"/>
      <c r="JNR52"/>
      <c r="JNS52"/>
      <c r="JNT52"/>
      <c r="JNU52"/>
      <c r="JNV52"/>
      <c r="JNW52"/>
      <c r="JNX52"/>
      <c r="JNY52"/>
      <c r="JNZ52"/>
      <c r="JOA52"/>
      <c r="JOB52"/>
      <c r="JOC52"/>
      <c r="JOD52"/>
      <c r="JOE52"/>
      <c r="JOF52"/>
      <c r="JOG52"/>
      <c r="JOH52"/>
      <c r="JOI52"/>
      <c r="JOJ52"/>
      <c r="JOK52"/>
      <c r="JOL52"/>
      <c r="JOM52"/>
      <c r="JON52"/>
      <c r="JOO52"/>
      <c r="JOP52"/>
      <c r="JOQ52"/>
      <c r="JOR52"/>
      <c r="JOS52"/>
      <c r="JOT52"/>
      <c r="JOU52"/>
      <c r="JOV52"/>
      <c r="JOW52"/>
      <c r="JOX52"/>
      <c r="JOY52"/>
      <c r="JOZ52"/>
      <c r="JPA52"/>
      <c r="JPB52"/>
      <c r="JPC52"/>
      <c r="JPD52"/>
      <c r="JPE52"/>
      <c r="JPF52"/>
      <c r="JPG52"/>
      <c r="JPH52"/>
      <c r="JPI52"/>
      <c r="JPJ52"/>
      <c r="JPK52"/>
      <c r="JPL52"/>
      <c r="JPM52"/>
      <c r="JPN52"/>
      <c r="JPO52"/>
      <c r="JPP52"/>
      <c r="JPQ52"/>
      <c r="JPR52"/>
      <c r="JPS52"/>
      <c r="JPT52"/>
      <c r="JPU52"/>
      <c r="JPV52"/>
      <c r="JPW52"/>
      <c r="JPX52"/>
      <c r="JPY52"/>
      <c r="JPZ52"/>
      <c r="JQA52"/>
      <c r="JQB52"/>
      <c r="JQC52"/>
      <c r="JQD52"/>
      <c r="JQE52"/>
      <c r="JQF52"/>
      <c r="JQG52"/>
      <c r="JQH52"/>
      <c r="JQI52"/>
      <c r="JQJ52"/>
      <c r="JQK52"/>
      <c r="JQL52"/>
      <c r="JQM52"/>
      <c r="JQN52"/>
      <c r="JQO52"/>
      <c r="JQP52"/>
      <c r="JQQ52"/>
      <c r="JQR52"/>
      <c r="JQS52"/>
      <c r="JQT52"/>
      <c r="JQU52"/>
      <c r="JQV52"/>
      <c r="JQW52"/>
      <c r="JQX52"/>
      <c r="JQY52"/>
      <c r="JQZ52"/>
      <c r="JRA52"/>
      <c r="JRB52"/>
      <c r="JRC52"/>
      <c r="JRD52"/>
      <c r="JRE52"/>
      <c r="JRF52"/>
      <c r="JRG52"/>
      <c r="JRH52"/>
      <c r="JRI52"/>
      <c r="JRJ52"/>
      <c r="JRK52"/>
      <c r="JRL52"/>
      <c r="JRM52"/>
      <c r="JRN52"/>
      <c r="JRO52"/>
      <c r="JRP52"/>
      <c r="JRQ52"/>
      <c r="JRR52"/>
      <c r="JRS52"/>
      <c r="JRT52"/>
      <c r="JRU52"/>
      <c r="JRV52"/>
      <c r="JRW52"/>
      <c r="JRX52"/>
      <c r="JRY52"/>
      <c r="JRZ52"/>
      <c r="JSA52"/>
      <c r="JSB52"/>
      <c r="JSC52"/>
      <c r="JSD52"/>
      <c r="JSE52"/>
      <c r="JSF52"/>
      <c r="JSG52"/>
      <c r="JSH52"/>
      <c r="JSI52"/>
      <c r="JSJ52"/>
      <c r="JSK52"/>
      <c r="JSL52"/>
      <c r="JSM52"/>
      <c r="JSN52"/>
      <c r="JSO52"/>
      <c r="JSP52"/>
      <c r="JSQ52"/>
      <c r="JSR52"/>
      <c r="JSS52"/>
      <c r="JST52"/>
      <c r="JSU52"/>
      <c r="JSV52"/>
      <c r="JSW52"/>
      <c r="JSX52"/>
      <c r="JSY52"/>
      <c r="JSZ52"/>
      <c r="JTA52"/>
      <c r="JTB52"/>
      <c r="JTC52"/>
      <c r="JTD52"/>
      <c r="JTE52"/>
      <c r="JTF52"/>
      <c r="JTG52"/>
      <c r="JTH52"/>
      <c r="JTI52"/>
      <c r="JTJ52"/>
      <c r="JTK52"/>
      <c r="JTL52"/>
      <c r="JTM52"/>
      <c r="JTN52"/>
      <c r="JTO52"/>
      <c r="JTP52"/>
      <c r="JTQ52"/>
      <c r="JTR52"/>
      <c r="JTS52"/>
      <c r="JTT52"/>
      <c r="JTU52"/>
      <c r="JTV52"/>
      <c r="JTW52"/>
      <c r="JTX52"/>
      <c r="JTY52"/>
      <c r="JTZ52"/>
      <c r="JUA52"/>
      <c r="JUB52"/>
      <c r="JUC52"/>
      <c r="JUD52"/>
      <c r="JUE52"/>
      <c r="JUF52"/>
      <c r="JUG52"/>
      <c r="JUH52"/>
      <c r="JUI52"/>
      <c r="JUJ52"/>
      <c r="JUK52"/>
      <c r="JUL52"/>
      <c r="JUM52"/>
      <c r="JUN52"/>
      <c r="JUO52"/>
      <c r="JUP52"/>
      <c r="JUQ52"/>
      <c r="JUR52"/>
      <c r="JUS52"/>
      <c r="JUT52"/>
      <c r="JUU52"/>
      <c r="JUV52"/>
      <c r="JUW52"/>
      <c r="JUX52"/>
      <c r="JUY52"/>
      <c r="JUZ52"/>
      <c r="JVA52"/>
      <c r="JVB52"/>
      <c r="JVC52"/>
      <c r="JVD52"/>
      <c r="JVE52"/>
      <c r="JVF52"/>
      <c r="JVG52"/>
      <c r="JVH52"/>
      <c r="JVI52"/>
      <c r="JVJ52"/>
      <c r="JVK52"/>
      <c r="JVL52"/>
      <c r="JVM52"/>
      <c r="JVN52"/>
      <c r="JVO52"/>
      <c r="JVP52"/>
      <c r="JVQ52"/>
      <c r="JVR52"/>
      <c r="JVS52"/>
      <c r="JVT52"/>
      <c r="JVU52"/>
      <c r="JVV52"/>
      <c r="JVW52"/>
      <c r="JVX52"/>
      <c r="JVY52"/>
      <c r="JVZ52"/>
      <c r="JWA52"/>
      <c r="JWB52"/>
      <c r="JWC52"/>
      <c r="JWD52"/>
      <c r="JWE52"/>
      <c r="JWF52"/>
      <c r="JWG52"/>
      <c r="JWH52"/>
      <c r="JWI52"/>
      <c r="JWJ52"/>
      <c r="JWK52"/>
      <c r="JWL52"/>
      <c r="JWM52"/>
      <c r="JWN52"/>
      <c r="JWO52"/>
      <c r="JWP52"/>
      <c r="JWQ52"/>
      <c r="JWR52"/>
      <c r="JWS52"/>
      <c r="JWT52"/>
      <c r="JWU52"/>
      <c r="JWV52"/>
      <c r="JWW52"/>
      <c r="JWX52"/>
      <c r="JWY52"/>
      <c r="JWZ52"/>
      <c r="JXA52"/>
      <c r="JXB52"/>
      <c r="JXC52"/>
      <c r="JXD52"/>
      <c r="JXE52"/>
      <c r="JXF52"/>
      <c r="JXG52"/>
      <c r="JXH52"/>
      <c r="JXI52"/>
      <c r="JXJ52"/>
      <c r="JXK52"/>
      <c r="JXL52"/>
      <c r="JXM52"/>
      <c r="JXN52"/>
      <c r="JXO52"/>
      <c r="JXP52"/>
      <c r="JXQ52"/>
      <c r="JXR52"/>
      <c r="JXS52"/>
      <c r="JXT52"/>
      <c r="JXU52"/>
      <c r="JXV52"/>
      <c r="JXW52"/>
      <c r="JXX52"/>
      <c r="JXY52"/>
      <c r="JXZ52"/>
      <c r="JYA52"/>
      <c r="JYB52"/>
      <c r="JYC52"/>
      <c r="JYD52"/>
      <c r="JYE52"/>
      <c r="JYF52"/>
      <c r="JYG52"/>
      <c r="JYH52"/>
      <c r="JYI52"/>
      <c r="JYJ52"/>
      <c r="JYK52"/>
      <c r="JYL52"/>
      <c r="JYM52"/>
      <c r="JYN52"/>
      <c r="JYO52"/>
      <c r="JYP52"/>
      <c r="JYQ52"/>
      <c r="JYR52"/>
      <c r="JYS52"/>
      <c r="JYT52"/>
      <c r="JYU52"/>
      <c r="JYV52"/>
      <c r="JYW52"/>
      <c r="JYX52"/>
      <c r="JYY52"/>
      <c r="JYZ52"/>
      <c r="JZA52"/>
      <c r="JZB52"/>
      <c r="JZC52"/>
      <c r="JZD52"/>
      <c r="JZE52"/>
      <c r="JZF52"/>
      <c r="JZG52"/>
      <c r="JZH52"/>
      <c r="JZI52"/>
      <c r="JZJ52"/>
      <c r="JZK52"/>
      <c r="JZL52"/>
      <c r="JZM52"/>
      <c r="JZN52"/>
      <c r="JZO52"/>
      <c r="JZP52"/>
      <c r="JZQ52"/>
      <c r="JZR52"/>
      <c r="JZS52"/>
      <c r="JZT52"/>
      <c r="JZU52"/>
      <c r="JZV52"/>
      <c r="JZW52"/>
      <c r="JZX52"/>
      <c r="JZY52"/>
      <c r="JZZ52"/>
      <c r="KAA52"/>
      <c r="KAB52"/>
      <c r="KAC52"/>
      <c r="KAD52"/>
      <c r="KAE52"/>
      <c r="KAF52"/>
      <c r="KAG52"/>
      <c r="KAH52"/>
      <c r="KAI52"/>
      <c r="KAJ52"/>
      <c r="KAK52"/>
      <c r="KAL52"/>
      <c r="KAM52"/>
      <c r="KAN52"/>
      <c r="KAO52"/>
      <c r="KAP52"/>
      <c r="KAQ52"/>
      <c r="KAR52"/>
      <c r="KAS52"/>
      <c r="KAT52"/>
      <c r="KAU52"/>
      <c r="KAV52"/>
      <c r="KAW52"/>
      <c r="KAX52"/>
      <c r="KAY52"/>
      <c r="KAZ52"/>
      <c r="KBA52"/>
      <c r="KBB52"/>
      <c r="KBC52"/>
      <c r="KBD52"/>
      <c r="KBE52"/>
      <c r="KBF52"/>
      <c r="KBG52"/>
      <c r="KBH52"/>
      <c r="KBI52"/>
      <c r="KBJ52"/>
      <c r="KBK52"/>
      <c r="KBL52"/>
      <c r="KBM52"/>
      <c r="KBN52"/>
      <c r="KBO52"/>
      <c r="KBP52"/>
      <c r="KBQ52"/>
      <c r="KBR52"/>
      <c r="KBS52"/>
      <c r="KBT52"/>
      <c r="KBU52"/>
      <c r="KBV52"/>
      <c r="KBW52"/>
      <c r="KBX52"/>
      <c r="KBY52"/>
      <c r="KBZ52"/>
      <c r="KCA52"/>
      <c r="KCB52"/>
      <c r="KCC52"/>
      <c r="KCD52"/>
      <c r="KCE52"/>
      <c r="KCF52"/>
      <c r="KCG52"/>
      <c r="KCH52"/>
      <c r="KCI52"/>
      <c r="KCJ52"/>
      <c r="KCK52"/>
      <c r="KCL52"/>
      <c r="KCM52"/>
      <c r="KCN52"/>
      <c r="KCO52"/>
      <c r="KCP52"/>
      <c r="KCQ52"/>
      <c r="KCR52"/>
      <c r="KCS52"/>
      <c r="KCT52"/>
      <c r="KCU52"/>
      <c r="KCV52"/>
      <c r="KCW52"/>
      <c r="KCX52"/>
      <c r="KCY52"/>
      <c r="KCZ52"/>
      <c r="KDA52"/>
      <c r="KDB52"/>
      <c r="KDC52"/>
      <c r="KDD52"/>
      <c r="KDE52"/>
      <c r="KDF52"/>
      <c r="KDG52"/>
      <c r="KDH52"/>
      <c r="KDI52"/>
      <c r="KDJ52"/>
      <c r="KDK52"/>
      <c r="KDL52"/>
      <c r="KDM52"/>
      <c r="KDN52"/>
      <c r="KDO52"/>
      <c r="KDP52"/>
      <c r="KDQ52"/>
      <c r="KDR52"/>
      <c r="KDS52"/>
      <c r="KDT52"/>
      <c r="KDU52"/>
      <c r="KDV52"/>
      <c r="KDW52"/>
      <c r="KDX52"/>
      <c r="KDY52"/>
      <c r="KDZ52"/>
      <c r="KEA52"/>
      <c r="KEB52"/>
      <c r="KEC52"/>
      <c r="KED52"/>
      <c r="KEE52"/>
      <c r="KEF52"/>
      <c r="KEG52"/>
      <c r="KEH52"/>
      <c r="KEI52"/>
      <c r="KEJ52"/>
      <c r="KEK52"/>
      <c r="KEL52"/>
      <c r="KEM52"/>
      <c r="KEN52"/>
      <c r="KEO52"/>
      <c r="KEP52"/>
      <c r="KEQ52"/>
      <c r="KER52"/>
      <c r="KES52"/>
      <c r="KET52"/>
      <c r="KEU52"/>
      <c r="KEV52"/>
      <c r="KEW52"/>
      <c r="KEX52"/>
      <c r="KEY52"/>
      <c r="KEZ52"/>
      <c r="KFA52"/>
      <c r="KFB52"/>
      <c r="KFC52"/>
      <c r="KFD52"/>
      <c r="KFE52"/>
      <c r="KFF52"/>
      <c r="KFG52"/>
      <c r="KFH52"/>
      <c r="KFI52"/>
      <c r="KFJ52"/>
      <c r="KFK52"/>
      <c r="KFL52"/>
      <c r="KFM52"/>
      <c r="KFN52"/>
      <c r="KFO52"/>
      <c r="KFP52"/>
      <c r="KFQ52"/>
      <c r="KFR52"/>
      <c r="KFS52"/>
      <c r="KFT52"/>
      <c r="KFU52"/>
      <c r="KFV52"/>
      <c r="KFW52"/>
      <c r="KFX52"/>
      <c r="KFY52"/>
      <c r="KFZ52"/>
      <c r="KGA52"/>
      <c r="KGB52"/>
      <c r="KGC52"/>
      <c r="KGD52"/>
      <c r="KGE52"/>
      <c r="KGF52"/>
      <c r="KGG52"/>
      <c r="KGH52"/>
      <c r="KGI52"/>
      <c r="KGJ52"/>
      <c r="KGK52"/>
      <c r="KGL52"/>
      <c r="KGM52"/>
      <c r="KGN52"/>
      <c r="KGO52"/>
      <c r="KGP52"/>
      <c r="KGQ52"/>
      <c r="KGR52"/>
      <c r="KGS52"/>
      <c r="KGT52"/>
      <c r="KGU52"/>
      <c r="KGV52"/>
      <c r="KGW52"/>
      <c r="KGX52"/>
      <c r="KGY52"/>
      <c r="KGZ52"/>
      <c r="KHA52"/>
      <c r="KHB52"/>
      <c r="KHC52"/>
      <c r="KHD52"/>
      <c r="KHE52"/>
      <c r="KHF52"/>
      <c r="KHG52"/>
      <c r="KHH52"/>
      <c r="KHI52"/>
      <c r="KHJ52"/>
      <c r="KHK52"/>
      <c r="KHL52"/>
      <c r="KHM52"/>
      <c r="KHN52"/>
      <c r="KHO52"/>
      <c r="KHP52"/>
      <c r="KHQ52"/>
      <c r="KHR52"/>
      <c r="KHS52"/>
      <c r="KHT52"/>
      <c r="KHU52"/>
      <c r="KHV52"/>
      <c r="KHW52"/>
      <c r="KHX52"/>
      <c r="KHY52"/>
      <c r="KHZ52"/>
      <c r="KIA52"/>
      <c r="KIB52"/>
      <c r="KIC52"/>
      <c r="KID52"/>
      <c r="KIE52"/>
      <c r="KIF52"/>
      <c r="KIG52"/>
      <c r="KIH52"/>
      <c r="KII52"/>
      <c r="KIJ52"/>
      <c r="KIK52"/>
      <c r="KIL52"/>
      <c r="KIM52"/>
      <c r="KIN52"/>
      <c r="KIO52"/>
      <c r="KIP52"/>
      <c r="KIQ52"/>
      <c r="KIR52"/>
      <c r="KIS52"/>
      <c r="KIT52"/>
      <c r="KIU52"/>
      <c r="KIV52"/>
      <c r="KIW52"/>
      <c r="KIX52"/>
      <c r="KIY52"/>
      <c r="KIZ52"/>
      <c r="KJA52"/>
      <c r="KJB52"/>
      <c r="KJC52"/>
      <c r="KJD52"/>
      <c r="KJE52"/>
      <c r="KJF52"/>
      <c r="KJG52"/>
      <c r="KJH52"/>
      <c r="KJI52"/>
      <c r="KJJ52"/>
      <c r="KJK52"/>
      <c r="KJL52"/>
      <c r="KJM52"/>
      <c r="KJN52"/>
      <c r="KJO52"/>
      <c r="KJP52"/>
      <c r="KJQ52"/>
      <c r="KJR52"/>
      <c r="KJS52"/>
      <c r="KJT52"/>
      <c r="KJU52"/>
      <c r="KJV52"/>
      <c r="KJW52"/>
      <c r="KJX52"/>
      <c r="KJY52"/>
      <c r="KJZ52"/>
      <c r="KKA52"/>
      <c r="KKB52"/>
      <c r="KKC52"/>
      <c r="KKD52"/>
      <c r="KKE52"/>
      <c r="KKF52"/>
      <c r="KKG52"/>
      <c r="KKH52"/>
      <c r="KKI52"/>
      <c r="KKJ52"/>
      <c r="KKK52"/>
      <c r="KKL52"/>
      <c r="KKM52"/>
      <c r="KKN52"/>
      <c r="KKO52"/>
      <c r="KKP52"/>
      <c r="KKQ52"/>
      <c r="KKR52"/>
      <c r="KKS52"/>
      <c r="KKT52"/>
      <c r="KKU52"/>
      <c r="KKV52"/>
      <c r="KKW52"/>
      <c r="KKX52"/>
      <c r="KKY52"/>
      <c r="KKZ52"/>
      <c r="KLA52"/>
      <c r="KLB52"/>
      <c r="KLC52"/>
      <c r="KLD52"/>
      <c r="KLE52"/>
      <c r="KLF52"/>
      <c r="KLG52"/>
      <c r="KLH52"/>
      <c r="KLI52"/>
      <c r="KLJ52"/>
      <c r="KLK52"/>
      <c r="KLL52"/>
      <c r="KLM52"/>
      <c r="KLN52"/>
      <c r="KLO52"/>
      <c r="KLP52"/>
      <c r="KLQ52"/>
      <c r="KLR52"/>
      <c r="KLS52"/>
      <c r="KLT52"/>
      <c r="KLU52"/>
      <c r="KLV52"/>
      <c r="KLW52"/>
      <c r="KLX52"/>
      <c r="KLY52"/>
      <c r="KLZ52"/>
      <c r="KMA52"/>
      <c r="KMB52"/>
      <c r="KMC52"/>
      <c r="KMD52"/>
      <c r="KME52"/>
      <c r="KMF52"/>
      <c r="KMG52"/>
      <c r="KMH52"/>
      <c r="KMI52"/>
      <c r="KMJ52"/>
      <c r="KMK52"/>
      <c r="KML52"/>
      <c r="KMM52"/>
      <c r="KMN52"/>
      <c r="KMO52"/>
      <c r="KMP52"/>
      <c r="KMQ52"/>
      <c r="KMR52"/>
      <c r="KMS52"/>
      <c r="KMT52"/>
      <c r="KMU52"/>
      <c r="KMV52"/>
      <c r="KMW52"/>
      <c r="KMX52"/>
      <c r="KMY52"/>
      <c r="KMZ52"/>
      <c r="KNA52"/>
      <c r="KNB52"/>
      <c r="KNC52"/>
      <c r="KND52"/>
      <c r="KNE52"/>
      <c r="KNF52"/>
      <c r="KNG52"/>
      <c r="KNH52"/>
      <c r="KNI52"/>
      <c r="KNJ52"/>
      <c r="KNK52"/>
      <c r="KNL52"/>
      <c r="KNM52"/>
      <c r="KNN52"/>
      <c r="KNO52"/>
      <c r="KNP52"/>
      <c r="KNQ52"/>
      <c r="KNR52"/>
      <c r="KNS52"/>
      <c r="KNT52"/>
      <c r="KNU52"/>
      <c r="KNV52"/>
      <c r="KNW52"/>
      <c r="KNX52"/>
      <c r="KNY52"/>
      <c r="KNZ52"/>
      <c r="KOA52"/>
      <c r="KOB52"/>
      <c r="KOC52"/>
      <c r="KOD52"/>
      <c r="KOE52"/>
      <c r="KOF52"/>
      <c r="KOG52"/>
      <c r="KOH52"/>
      <c r="KOI52"/>
      <c r="KOJ52"/>
      <c r="KOK52"/>
      <c r="KOL52"/>
      <c r="KOM52"/>
      <c r="KON52"/>
      <c r="KOO52"/>
      <c r="KOP52"/>
      <c r="KOQ52"/>
      <c r="KOR52"/>
      <c r="KOS52"/>
      <c r="KOT52"/>
      <c r="KOU52"/>
      <c r="KOV52"/>
      <c r="KOW52"/>
      <c r="KOX52"/>
      <c r="KOY52"/>
      <c r="KOZ52"/>
      <c r="KPA52"/>
      <c r="KPB52"/>
      <c r="KPC52"/>
      <c r="KPD52"/>
      <c r="KPE52"/>
      <c r="KPF52"/>
      <c r="KPG52"/>
      <c r="KPH52"/>
      <c r="KPI52"/>
      <c r="KPJ52"/>
      <c r="KPK52"/>
      <c r="KPL52"/>
      <c r="KPM52"/>
      <c r="KPN52"/>
      <c r="KPO52"/>
      <c r="KPP52"/>
      <c r="KPQ52"/>
      <c r="KPR52"/>
      <c r="KPS52"/>
      <c r="KPT52"/>
      <c r="KPU52"/>
      <c r="KPV52"/>
      <c r="KPW52"/>
      <c r="KPX52"/>
      <c r="KPY52"/>
      <c r="KPZ52"/>
      <c r="KQA52"/>
      <c r="KQB52"/>
      <c r="KQC52"/>
      <c r="KQD52"/>
      <c r="KQE52"/>
      <c r="KQF52"/>
      <c r="KQG52"/>
      <c r="KQH52"/>
      <c r="KQI52"/>
      <c r="KQJ52"/>
      <c r="KQK52"/>
      <c r="KQL52"/>
      <c r="KQM52"/>
      <c r="KQN52"/>
      <c r="KQO52"/>
      <c r="KQP52"/>
      <c r="KQQ52"/>
      <c r="KQR52"/>
      <c r="KQS52"/>
      <c r="KQT52"/>
      <c r="KQU52"/>
      <c r="KQV52"/>
      <c r="KQW52"/>
      <c r="KQX52"/>
      <c r="KQY52"/>
      <c r="KQZ52"/>
      <c r="KRA52"/>
      <c r="KRB52"/>
      <c r="KRC52"/>
      <c r="KRD52"/>
      <c r="KRE52"/>
      <c r="KRF52"/>
      <c r="KRG52"/>
      <c r="KRH52"/>
      <c r="KRI52"/>
      <c r="KRJ52"/>
      <c r="KRK52"/>
      <c r="KRL52"/>
      <c r="KRM52"/>
      <c r="KRN52"/>
      <c r="KRO52"/>
      <c r="KRP52"/>
      <c r="KRQ52"/>
      <c r="KRR52"/>
      <c r="KRS52"/>
      <c r="KRT52"/>
      <c r="KRU52"/>
      <c r="KRV52"/>
      <c r="KRW52"/>
      <c r="KRX52"/>
      <c r="KRY52"/>
      <c r="KRZ52"/>
      <c r="KSA52"/>
      <c r="KSB52"/>
      <c r="KSC52"/>
      <c r="KSD52"/>
      <c r="KSE52"/>
      <c r="KSF52"/>
      <c r="KSG52"/>
      <c r="KSH52"/>
      <c r="KSI52"/>
      <c r="KSJ52"/>
      <c r="KSK52"/>
      <c r="KSL52"/>
      <c r="KSM52"/>
      <c r="KSN52"/>
      <c r="KSO52"/>
      <c r="KSP52"/>
      <c r="KSQ52"/>
      <c r="KSR52"/>
      <c r="KSS52"/>
      <c r="KST52"/>
      <c r="KSU52"/>
      <c r="KSV52"/>
      <c r="KSW52"/>
      <c r="KSX52"/>
      <c r="KSY52"/>
      <c r="KSZ52"/>
      <c r="KTA52"/>
      <c r="KTB52"/>
      <c r="KTC52"/>
      <c r="KTD52"/>
      <c r="KTE52"/>
      <c r="KTF52"/>
      <c r="KTG52"/>
      <c r="KTH52"/>
      <c r="KTI52"/>
      <c r="KTJ52"/>
      <c r="KTK52"/>
      <c r="KTL52"/>
      <c r="KTM52"/>
      <c r="KTN52"/>
      <c r="KTO52"/>
      <c r="KTP52"/>
      <c r="KTQ52"/>
      <c r="KTR52"/>
      <c r="KTS52"/>
      <c r="KTT52"/>
      <c r="KTU52"/>
      <c r="KTV52"/>
      <c r="KTW52"/>
      <c r="KTX52"/>
      <c r="KTY52"/>
      <c r="KTZ52"/>
      <c r="KUA52"/>
      <c r="KUB52"/>
      <c r="KUC52"/>
      <c r="KUD52"/>
      <c r="KUE52"/>
      <c r="KUF52"/>
      <c r="KUG52"/>
      <c r="KUH52"/>
      <c r="KUI52"/>
      <c r="KUJ52"/>
      <c r="KUK52"/>
      <c r="KUL52"/>
      <c r="KUM52"/>
      <c r="KUN52"/>
      <c r="KUO52"/>
      <c r="KUP52"/>
      <c r="KUQ52"/>
      <c r="KUR52"/>
      <c r="KUS52"/>
      <c r="KUT52"/>
      <c r="KUU52"/>
      <c r="KUV52"/>
      <c r="KUW52"/>
      <c r="KUX52"/>
      <c r="KUY52"/>
      <c r="KUZ52"/>
      <c r="KVA52"/>
      <c r="KVB52"/>
      <c r="KVC52"/>
      <c r="KVD52"/>
      <c r="KVE52"/>
      <c r="KVF52"/>
      <c r="KVG52"/>
      <c r="KVH52"/>
      <c r="KVI52"/>
      <c r="KVJ52"/>
      <c r="KVK52"/>
      <c r="KVL52"/>
      <c r="KVM52"/>
      <c r="KVN52"/>
      <c r="KVO52"/>
      <c r="KVP52"/>
      <c r="KVQ52"/>
      <c r="KVR52"/>
      <c r="KVS52"/>
      <c r="KVT52"/>
      <c r="KVU52"/>
      <c r="KVV52"/>
      <c r="KVW52"/>
      <c r="KVX52"/>
      <c r="KVY52"/>
      <c r="KVZ52"/>
      <c r="KWA52"/>
      <c r="KWB52"/>
      <c r="KWC52"/>
      <c r="KWD52"/>
      <c r="KWE52"/>
      <c r="KWF52"/>
      <c r="KWG52"/>
      <c r="KWH52"/>
      <c r="KWI52"/>
      <c r="KWJ52"/>
      <c r="KWK52"/>
      <c r="KWL52"/>
      <c r="KWM52"/>
      <c r="KWN52"/>
      <c r="KWO52"/>
      <c r="KWP52"/>
      <c r="KWQ52"/>
      <c r="KWR52"/>
      <c r="KWS52"/>
      <c r="KWT52"/>
      <c r="KWU52"/>
      <c r="KWV52"/>
      <c r="KWW52"/>
      <c r="KWX52"/>
      <c r="KWY52"/>
      <c r="KWZ52"/>
      <c r="KXA52"/>
      <c r="KXB52"/>
      <c r="KXC52"/>
      <c r="KXD52"/>
      <c r="KXE52"/>
      <c r="KXF52"/>
      <c r="KXG52"/>
      <c r="KXH52"/>
      <c r="KXI52"/>
      <c r="KXJ52"/>
      <c r="KXK52"/>
      <c r="KXL52"/>
      <c r="KXM52"/>
      <c r="KXN52"/>
      <c r="KXO52"/>
      <c r="KXP52"/>
      <c r="KXQ52"/>
      <c r="KXR52"/>
      <c r="KXS52"/>
      <c r="KXT52"/>
      <c r="KXU52"/>
      <c r="KXV52"/>
      <c r="KXW52"/>
      <c r="KXX52"/>
      <c r="KXY52"/>
      <c r="KXZ52"/>
      <c r="KYA52"/>
      <c r="KYB52"/>
      <c r="KYC52"/>
      <c r="KYD52"/>
      <c r="KYE52"/>
      <c r="KYF52"/>
      <c r="KYG52"/>
      <c r="KYH52"/>
      <c r="KYI52"/>
      <c r="KYJ52"/>
      <c r="KYK52"/>
      <c r="KYL52"/>
      <c r="KYM52"/>
      <c r="KYN52"/>
      <c r="KYO52"/>
      <c r="KYP52"/>
      <c r="KYQ52"/>
      <c r="KYR52"/>
      <c r="KYS52"/>
      <c r="KYT52"/>
      <c r="KYU52"/>
      <c r="KYV52"/>
      <c r="KYW52"/>
      <c r="KYX52"/>
      <c r="KYY52"/>
      <c r="KYZ52"/>
      <c r="KZA52"/>
      <c r="KZB52"/>
      <c r="KZC52"/>
      <c r="KZD52"/>
      <c r="KZE52"/>
      <c r="KZF52"/>
      <c r="KZG52"/>
      <c r="KZH52"/>
      <c r="KZI52"/>
      <c r="KZJ52"/>
      <c r="KZK52"/>
      <c r="KZL52"/>
      <c r="KZM52"/>
      <c r="KZN52"/>
      <c r="KZO52"/>
      <c r="KZP52"/>
      <c r="KZQ52"/>
      <c r="KZR52"/>
      <c r="KZS52"/>
      <c r="KZT52"/>
      <c r="KZU52"/>
      <c r="KZV52"/>
      <c r="KZW52"/>
      <c r="KZX52"/>
      <c r="KZY52"/>
      <c r="KZZ52"/>
      <c r="LAA52"/>
      <c r="LAB52"/>
      <c r="LAC52"/>
      <c r="LAD52"/>
      <c r="LAE52"/>
      <c r="LAF52"/>
      <c r="LAG52"/>
      <c r="LAH52"/>
      <c r="LAI52"/>
      <c r="LAJ52"/>
      <c r="LAK52"/>
      <c r="LAL52"/>
      <c r="LAM52"/>
      <c r="LAN52"/>
      <c r="LAO52"/>
      <c r="LAP52"/>
      <c r="LAQ52"/>
      <c r="LAR52"/>
      <c r="LAS52"/>
      <c r="LAT52"/>
      <c r="LAU52"/>
      <c r="LAV52"/>
      <c r="LAW52"/>
      <c r="LAX52"/>
      <c r="LAY52"/>
      <c r="LAZ52"/>
      <c r="LBA52"/>
      <c r="LBB52"/>
      <c r="LBC52"/>
      <c r="LBD52"/>
      <c r="LBE52"/>
      <c r="LBF52"/>
      <c r="LBG52"/>
      <c r="LBH52"/>
      <c r="LBI52"/>
      <c r="LBJ52"/>
      <c r="LBK52"/>
      <c r="LBL52"/>
      <c r="LBM52"/>
      <c r="LBN52"/>
      <c r="LBO52"/>
      <c r="LBP52"/>
      <c r="LBQ52"/>
      <c r="LBR52"/>
      <c r="LBS52"/>
      <c r="LBT52"/>
      <c r="LBU52"/>
      <c r="LBV52"/>
      <c r="LBW52"/>
      <c r="LBX52"/>
      <c r="LBY52"/>
      <c r="LBZ52"/>
      <c r="LCA52"/>
      <c r="LCB52"/>
      <c r="LCC52"/>
      <c r="LCD52"/>
      <c r="LCE52"/>
      <c r="LCF52"/>
      <c r="LCG52"/>
      <c r="LCH52"/>
      <c r="LCI52"/>
      <c r="LCJ52"/>
      <c r="LCK52"/>
      <c r="LCL52"/>
      <c r="LCM52"/>
      <c r="LCN52"/>
      <c r="LCO52"/>
      <c r="LCP52"/>
      <c r="LCQ52"/>
      <c r="LCR52"/>
      <c r="LCS52"/>
      <c r="LCT52"/>
      <c r="LCU52"/>
      <c r="LCV52"/>
      <c r="LCW52"/>
      <c r="LCX52"/>
      <c r="LCY52"/>
      <c r="LCZ52"/>
      <c r="LDA52"/>
      <c r="LDB52"/>
      <c r="LDC52"/>
      <c r="LDD52"/>
      <c r="LDE52"/>
      <c r="LDF52"/>
      <c r="LDG52"/>
      <c r="LDH52"/>
      <c r="LDI52"/>
      <c r="LDJ52"/>
      <c r="LDK52"/>
      <c r="LDL52"/>
      <c r="LDM52"/>
      <c r="LDN52"/>
      <c r="LDO52"/>
      <c r="LDP52"/>
      <c r="LDQ52"/>
      <c r="LDR52"/>
      <c r="LDS52"/>
      <c r="LDT52"/>
      <c r="LDU52"/>
      <c r="LDV52"/>
      <c r="LDW52"/>
      <c r="LDX52"/>
      <c r="LDY52"/>
      <c r="LDZ52"/>
      <c r="LEA52"/>
      <c r="LEB52"/>
      <c r="LEC52"/>
      <c r="LED52"/>
      <c r="LEE52"/>
      <c r="LEF52"/>
      <c r="LEG52"/>
      <c r="LEH52"/>
      <c r="LEI52"/>
      <c r="LEJ52"/>
      <c r="LEK52"/>
      <c r="LEL52"/>
      <c r="LEM52"/>
      <c r="LEN52"/>
      <c r="LEO52"/>
      <c r="LEP52"/>
      <c r="LEQ52"/>
      <c r="LER52"/>
      <c r="LES52"/>
      <c r="LET52"/>
      <c r="LEU52"/>
      <c r="LEV52"/>
      <c r="LEW52"/>
      <c r="LEX52"/>
      <c r="LEY52"/>
      <c r="LEZ52"/>
      <c r="LFA52"/>
      <c r="LFB52"/>
      <c r="LFC52"/>
      <c r="LFD52"/>
      <c r="LFE52"/>
      <c r="LFF52"/>
      <c r="LFG52"/>
      <c r="LFH52"/>
      <c r="LFI52"/>
      <c r="LFJ52"/>
      <c r="LFK52"/>
      <c r="LFL52"/>
      <c r="LFM52"/>
      <c r="LFN52"/>
      <c r="LFO52"/>
      <c r="LFP52"/>
      <c r="LFQ52"/>
      <c r="LFR52"/>
      <c r="LFS52"/>
      <c r="LFT52"/>
      <c r="LFU52"/>
      <c r="LFV52"/>
      <c r="LFW52"/>
      <c r="LFX52"/>
      <c r="LFY52"/>
      <c r="LFZ52"/>
      <c r="LGA52"/>
      <c r="LGB52"/>
      <c r="LGC52"/>
      <c r="LGD52"/>
      <c r="LGE52"/>
      <c r="LGF52"/>
      <c r="LGG52"/>
      <c r="LGH52"/>
      <c r="LGI52"/>
      <c r="LGJ52"/>
      <c r="LGK52"/>
      <c r="LGL52"/>
      <c r="LGM52"/>
      <c r="LGN52"/>
      <c r="LGO52"/>
      <c r="LGP52"/>
      <c r="LGQ52"/>
      <c r="LGR52"/>
      <c r="LGS52"/>
      <c r="LGT52"/>
      <c r="LGU52"/>
      <c r="LGV52"/>
      <c r="LGW52"/>
      <c r="LGX52"/>
      <c r="LGY52"/>
      <c r="LGZ52"/>
      <c r="LHA52"/>
      <c r="LHB52"/>
      <c r="LHC52"/>
      <c r="LHD52"/>
      <c r="LHE52"/>
      <c r="LHF52"/>
      <c r="LHG52"/>
      <c r="LHH52"/>
      <c r="LHI52"/>
      <c r="LHJ52"/>
      <c r="LHK52"/>
      <c r="LHL52"/>
      <c r="LHM52"/>
      <c r="LHN52"/>
      <c r="LHO52"/>
      <c r="LHP52"/>
      <c r="LHQ52"/>
      <c r="LHR52"/>
      <c r="LHS52"/>
      <c r="LHT52"/>
      <c r="LHU52"/>
      <c r="LHV52"/>
      <c r="LHW52"/>
      <c r="LHX52"/>
      <c r="LHY52"/>
      <c r="LHZ52"/>
      <c r="LIA52"/>
      <c r="LIB52"/>
      <c r="LIC52"/>
      <c r="LID52"/>
      <c r="LIE52"/>
      <c r="LIF52"/>
      <c r="LIG52"/>
      <c r="LIH52"/>
      <c r="LII52"/>
      <c r="LIJ52"/>
      <c r="LIK52"/>
      <c r="LIL52"/>
      <c r="LIM52"/>
      <c r="LIN52"/>
      <c r="LIO52"/>
      <c r="LIP52"/>
      <c r="LIQ52"/>
      <c r="LIR52"/>
      <c r="LIS52"/>
      <c r="LIT52"/>
      <c r="LIU52"/>
      <c r="LIV52"/>
      <c r="LIW52"/>
      <c r="LIX52"/>
      <c r="LIY52"/>
      <c r="LIZ52"/>
      <c r="LJA52"/>
      <c r="LJB52"/>
      <c r="LJC52"/>
      <c r="LJD52"/>
      <c r="LJE52"/>
      <c r="LJF52"/>
      <c r="LJG52"/>
      <c r="LJH52"/>
      <c r="LJI52"/>
      <c r="LJJ52"/>
      <c r="LJK52"/>
      <c r="LJL52"/>
      <c r="LJM52"/>
      <c r="LJN52"/>
      <c r="LJO52"/>
      <c r="LJP52"/>
      <c r="LJQ52"/>
      <c r="LJR52"/>
      <c r="LJS52"/>
      <c r="LJT52"/>
      <c r="LJU52"/>
      <c r="LJV52"/>
      <c r="LJW52"/>
      <c r="LJX52"/>
      <c r="LJY52"/>
      <c r="LJZ52"/>
      <c r="LKA52"/>
      <c r="LKB52"/>
      <c r="LKC52"/>
      <c r="LKD52"/>
      <c r="LKE52"/>
      <c r="LKF52"/>
      <c r="LKG52"/>
      <c r="LKH52"/>
      <c r="LKI52"/>
      <c r="LKJ52"/>
      <c r="LKK52"/>
      <c r="LKL52"/>
      <c r="LKM52"/>
      <c r="LKN52"/>
      <c r="LKO52"/>
      <c r="LKP52"/>
      <c r="LKQ52"/>
      <c r="LKR52"/>
      <c r="LKS52"/>
      <c r="LKT52"/>
      <c r="LKU52"/>
      <c r="LKV52"/>
      <c r="LKW52"/>
      <c r="LKX52"/>
      <c r="LKY52"/>
      <c r="LKZ52"/>
      <c r="LLA52"/>
      <c r="LLB52"/>
      <c r="LLC52"/>
      <c r="LLD52"/>
      <c r="LLE52"/>
      <c r="LLF52"/>
      <c r="LLG52"/>
      <c r="LLH52"/>
      <c r="LLI52"/>
      <c r="LLJ52"/>
      <c r="LLK52"/>
      <c r="LLL52"/>
      <c r="LLM52"/>
      <c r="LLN52"/>
      <c r="LLO52"/>
      <c r="LLP52"/>
      <c r="LLQ52"/>
      <c r="LLR52"/>
      <c r="LLS52"/>
      <c r="LLT52"/>
      <c r="LLU52"/>
      <c r="LLV52"/>
      <c r="LLW52"/>
      <c r="LLX52"/>
      <c r="LLY52"/>
      <c r="LLZ52"/>
      <c r="LMA52"/>
      <c r="LMB52"/>
      <c r="LMC52"/>
      <c r="LMD52"/>
      <c r="LME52"/>
      <c r="LMF52"/>
      <c r="LMG52"/>
      <c r="LMH52"/>
      <c r="LMI52"/>
      <c r="LMJ52"/>
      <c r="LMK52"/>
      <c r="LML52"/>
      <c r="LMM52"/>
      <c r="LMN52"/>
      <c r="LMO52"/>
      <c r="LMP52"/>
      <c r="LMQ52"/>
      <c r="LMR52"/>
      <c r="LMS52"/>
      <c r="LMT52"/>
      <c r="LMU52"/>
      <c r="LMV52"/>
      <c r="LMW52"/>
      <c r="LMX52"/>
      <c r="LMY52"/>
      <c r="LMZ52"/>
      <c r="LNA52"/>
      <c r="LNB52"/>
      <c r="LNC52"/>
      <c r="LND52"/>
      <c r="LNE52"/>
      <c r="LNF52"/>
      <c r="LNG52"/>
      <c r="LNH52"/>
      <c r="LNI52"/>
      <c r="LNJ52"/>
      <c r="LNK52"/>
      <c r="LNL52"/>
      <c r="LNM52"/>
      <c r="LNN52"/>
      <c r="LNO52"/>
      <c r="LNP52"/>
      <c r="LNQ52"/>
      <c r="LNR52"/>
      <c r="LNS52"/>
      <c r="LNT52"/>
      <c r="LNU52"/>
      <c r="LNV52"/>
      <c r="LNW52"/>
      <c r="LNX52"/>
      <c r="LNY52"/>
      <c r="LNZ52"/>
      <c r="LOA52"/>
      <c r="LOB52"/>
      <c r="LOC52"/>
      <c r="LOD52"/>
      <c r="LOE52"/>
      <c r="LOF52"/>
      <c r="LOG52"/>
      <c r="LOH52"/>
      <c r="LOI52"/>
      <c r="LOJ52"/>
      <c r="LOK52"/>
      <c r="LOL52"/>
      <c r="LOM52"/>
      <c r="LON52"/>
      <c r="LOO52"/>
      <c r="LOP52"/>
      <c r="LOQ52"/>
      <c r="LOR52"/>
      <c r="LOS52"/>
      <c r="LOT52"/>
      <c r="LOU52"/>
      <c r="LOV52"/>
      <c r="LOW52"/>
      <c r="LOX52"/>
      <c r="LOY52"/>
      <c r="LOZ52"/>
      <c r="LPA52"/>
      <c r="LPB52"/>
      <c r="LPC52"/>
      <c r="LPD52"/>
      <c r="LPE52"/>
      <c r="LPF52"/>
      <c r="LPG52"/>
      <c r="LPH52"/>
      <c r="LPI52"/>
      <c r="LPJ52"/>
      <c r="LPK52"/>
      <c r="LPL52"/>
      <c r="LPM52"/>
      <c r="LPN52"/>
      <c r="LPO52"/>
      <c r="LPP52"/>
      <c r="LPQ52"/>
      <c r="LPR52"/>
      <c r="LPS52"/>
      <c r="LPT52"/>
      <c r="LPU52"/>
      <c r="LPV52"/>
      <c r="LPW52"/>
      <c r="LPX52"/>
      <c r="LPY52"/>
      <c r="LPZ52"/>
      <c r="LQA52"/>
      <c r="LQB52"/>
      <c r="LQC52"/>
      <c r="LQD52"/>
      <c r="LQE52"/>
      <c r="LQF52"/>
      <c r="LQG52"/>
      <c r="LQH52"/>
      <c r="LQI52"/>
      <c r="LQJ52"/>
      <c r="LQK52"/>
      <c r="LQL52"/>
      <c r="LQM52"/>
      <c r="LQN52"/>
      <c r="LQO52"/>
      <c r="LQP52"/>
      <c r="LQQ52"/>
      <c r="LQR52"/>
      <c r="LQS52"/>
      <c r="LQT52"/>
      <c r="LQU52"/>
      <c r="LQV52"/>
      <c r="LQW52"/>
      <c r="LQX52"/>
      <c r="LQY52"/>
      <c r="LQZ52"/>
      <c r="LRA52"/>
      <c r="LRB52"/>
      <c r="LRC52"/>
      <c r="LRD52"/>
      <c r="LRE52"/>
      <c r="LRF52"/>
      <c r="LRG52"/>
      <c r="LRH52"/>
      <c r="LRI52"/>
      <c r="LRJ52"/>
      <c r="LRK52"/>
      <c r="LRL52"/>
      <c r="LRM52"/>
      <c r="LRN52"/>
      <c r="LRO52"/>
      <c r="LRP52"/>
      <c r="LRQ52"/>
      <c r="LRR52"/>
      <c r="LRS52"/>
      <c r="LRT52"/>
      <c r="LRU52"/>
      <c r="LRV52"/>
      <c r="LRW52"/>
      <c r="LRX52"/>
      <c r="LRY52"/>
      <c r="LRZ52"/>
      <c r="LSA52"/>
      <c r="LSB52"/>
      <c r="LSC52"/>
      <c r="LSD52"/>
      <c r="LSE52"/>
      <c r="LSF52"/>
      <c r="LSG52"/>
      <c r="LSH52"/>
      <c r="LSI52"/>
      <c r="LSJ52"/>
      <c r="LSK52"/>
      <c r="LSL52"/>
      <c r="LSM52"/>
      <c r="LSN52"/>
      <c r="LSO52"/>
      <c r="LSP52"/>
      <c r="LSQ52"/>
      <c r="LSR52"/>
      <c r="LSS52"/>
      <c r="LST52"/>
      <c r="LSU52"/>
      <c r="LSV52"/>
      <c r="LSW52"/>
      <c r="LSX52"/>
      <c r="LSY52"/>
      <c r="LSZ52"/>
      <c r="LTA52"/>
      <c r="LTB52"/>
      <c r="LTC52"/>
      <c r="LTD52"/>
      <c r="LTE52"/>
      <c r="LTF52"/>
      <c r="LTG52"/>
      <c r="LTH52"/>
      <c r="LTI52"/>
      <c r="LTJ52"/>
      <c r="LTK52"/>
      <c r="LTL52"/>
      <c r="LTM52"/>
      <c r="LTN52"/>
      <c r="LTO52"/>
      <c r="LTP52"/>
      <c r="LTQ52"/>
      <c r="LTR52"/>
      <c r="LTS52"/>
      <c r="LTT52"/>
      <c r="LTU52"/>
      <c r="LTV52"/>
      <c r="LTW52"/>
      <c r="LTX52"/>
      <c r="LTY52"/>
      <c r="LTZ52"/>
      <c r="LUA52"/>
      <c r="LUB52"/>
      <c r="LUC52"/>
      <c r="LUD52"/>
      <c r="LUE52"/>
      <c r="LUF52"/>
      <c r="LUG52"/>
      <c r="LUH52"/>
      <c r="LUI52"/>
      <c r="LUJ52"/>
      <c r="LUK52"/>
      <c r="LUL52"/>
      <c r="LUM52"/>
      <c r="LUN52"/>
      <c r="LUO52"/>
      <c r="LUP52"/>
      <c r="LUQ52"/>
      <c r="LUR52"/>
      <c r="LUS52"/>
      <c r="LUT52"/>
      <c r="LUU52"/>
      <c r="LUV52"/>
      <c r="LUW52"/>
      <c r="LUX52"/>
      <c r="LUY52"/>
      <c r="LUZ52"/>
      <c r="LVA52"/>
      <c r="LVB52"/>
      <c r="LVC52"/>
      <c r="LVD52"/>
      <c r="LVE52"/>
      <c r="LVF52"/>
      <c r="LVG52"/>
      <c r="LVH52"/>
      <c r="LVI52"/>
      <c r="LVJ52"/>
      <c r="LVK52"/>
      <c r="LVL52"/>
      <c r="LVM52"/>
      <c r="LVN52"/>
      <c r="LVO52"/>
      <c r="LVP52"/>
      <c r="LVQ52"/>
      <c r="LVR52"/>
      <c r="LVS52"/>
      <c r="LVT52"/>
      <c r="LVU52"/>
      <c r="LVV52"/>
      <c r="LVW52"/>
      <c r="LVX52"/>
      <c r="LVY52"/>
      <c r="LVZ52"/>
      <c r="LWA52"/>
      <c r="LWB52"/>
      <c r="LWC52"/>
      <c r="LWD52"/>
      <c r="LWE52"/>
      <c r="LWF52"/>
      <c r="LWG52"/>
      <c r="LWH52"/>
      <c r="LWI52"/>
      <c r="LWJ52"/>
      <c r="LWK52"/>
      <c r="LWL52"/>
      <c r="LWM52"/>
      <c r="LWN52"/>
      <c r="LWO52"/>
      <c r="LWP52"/>
      <c r="LWQ52"/>
      <c r="LWR52"/>
      <c r="LWS52"/>
      <c r="LWT52"/>
      <c r="LWU52"/>
      <c r="LWV52"/>
      <c r="LWW52"/>
      <c r="LWX52"/>
      <c r="LWY52"/>
      <c r="LWZ52"/>
      <c r="LXA52"/>
      <c r="LXB52"/>
      <c r="LXC52"/>
      <c r="LXD52"/>
      <c r="LXE52"/>
      <c r="LXF52"/>
      <c r="LXG52"/>
      <c r="LXH52"/>
      <c r="LXI52"/>
      <c r="LXJ52"/>
      <c r="LXK52"/>
      <c r="LXL52"/>
      <c r="LXM52"/>
      <c r="LXN52"/>
      <c r="LXO52"/>
      <c r="LXP52"/>
      <c r="LXQ52"/>
      <c r="LXR52"/>
      <c r="LXS52"/>
      <c r="LXT52"/>
      <c r="LXU52"/>
      <c r="LXV52"/>
      <c r="LXW52"/>
      <c r="LXX52"/>
      <c r="LXY52"/>
      <c r="LXZ52"/>
      <c r="LYA52"/>
      <c r="LYB52"/>
      <c r="LYC52"/>
      <c r="LYD52"/>
      <c r="LYE52"/>
      <c r="LYF52"/>
      <c r="LYG52"/>
      <c r="LYH52"/>
      <c r="LYI52"/>
      <c r="LYJ52"/>
      <c r="LYK52"/>
      <c r="LYL52"/>
      <c r="LYM52"/>
      <c r="LYN52"/>
      <c r="LYO52"/>
      <c r="LYP52"/>
      <c r="LYQ52"/>
      <c r="LYR52"/>
      <c r="LYS52"/>
      <c r="LYT52"/>
      <c r="LYU52"/>
      <c r="LYV52"/>
      <c r="LYW52"/>
      <c r="LYX52"/>
      <c r="LYY52"/>
      <c r="LYZ52"/>
      <c r="LZA52"/>
      <c r="LZB52"/>
      <c r="LZC52"/>
      <c r="LZD52"/>
      <c r="LZE52"/>
      <c r="LZF52"/>
      <c r="LZG52"/>
      <c r="LZH52"/>
      <c r="LZI52"/>
      <c r="LZJ52"/>
      <c r="LZK52"/>
      <c r="LZL52"/>
      <c r="LZM52"/>
      <c r="LZN52"/>
      <c r="LZO52"/>
      <c r="LZP52"/>
      <c r="LZQ52"/>
      <c r="LZR52"/>
      <c r="LZS52"/>
      <c r="LZT52"/>
      <c r="LZU52"/>
      <c r="LZV52"/>
      <c r="LZW52"/>
      <c r="LZX52"/>
      <c r="LZY52"/>
      <c r="LZZ52"/>
      <c r="MAA52"/>
      <c r="MAB52"/>
      <c r="MAC52"/>
      <c r="MAD52"/>
      <c r="MAE52"/>
      <c r="MAF52"/>
      <c r="MAG52"/>
      <c r="MAH52"/>
      <c r="MAI52"/>
      <c r="MAJ52"/>
      <c r="MAK52"/>
      <c r="MAL52"/>
      <c r="MAM52"/>
      <c r="MAN52"/>
      <c r="MAO52"/>
      <c r="MAP52"/>
      <c r="MAQ52"/>
      <c r="MAR52"/>
      <c r="MAS52"/>
      <c r="MAT52"/>
      <c r="MAU52"/>
      <c r="MAV52"/>
      <c r="MAW52"/>
      <c r="MAX52"/>
      <c r="MAY52"/>
      <c r="MAZ52"/>
      <c r="MBA52"/>
      <c r="MBB52"/>
      <c r="MBC52"/>
      <c r="MBD52"/>
      <c r="MBE52"/>
      <c r="MBF52"/>
      <c r="MBG52"/>
      <c r="MBH52"/>
      <c r="MBI52"/>
      <c r="MBJ52"/>
      <c r="MBK52"/>
      <c r="MBL52"/>
      <c r="MBM52"/>
      <c r="MBN52"/>
      <c r="MBO52"/>
      <c r="MBP52"/>
      <c r="MBQ52"/>
      <c r="MBR52"/>
      <c r="MBS52"/>
      <c r="MBT52"/>
      <c r="MBU52"/>
      <c r="MBV52"/>
      <c r="MBW52"/>
      <c r="MBX52"/>
      <c r="MBY52"/>
      <c r="MBZ52"/>
      <c r="MCA52"/>
      <c r="MCB52"/>
      <c r="MCC52"/>
      <c r="MCD52"/>
      <c r="MCE52"/>
      <c r="MCF52"/>
      <c r="MCG52"/>
      <c r="MCH52"/>
      <c r="MCI52"/>
      <c r="MCJ52"/>
      <c r="MCK52"/>
      <c r="MCL52"/>
      <c r="MCM52"/>
      <c r="MCN52"/>
      <c r="MCO52"/>
      <c r="MCP52"/>
      <c r="MCQ52"/>
      <c r="MCR52"/>
      <c r="MCS52"/>
      <c r="MCT52"/>
      <c r="MCU52"/>
      <c r="MCV52"/>
      <c r="MCW52"/>
      <c r="MCX52"/>
      <c r="MCY52"/>
      <c r="MCZ52"/>
      <c r="MDA52"/>
      <c r="MDB52"/>
      <c r="MDC52"/>
      <c r="MDD52"/>
      <c r="MDE52"/>
      <c r="MDF52"/>
      <c r="MDG52"/>
      <c r="MDH52"/>
      <c r="MDI52"/>
      <c r="MDJ52"/>
      <c r="MDK52"/>
      <c r="MDL52"/>
      <c r="MDM52"/>
      <c r="MDN52"/>
      <c r="MDO52"/>
      <c r="MDP52"/>
      <c r="MDQ52"/>
      <c r="MDR52"/>
      <c r="MDS52"/>
      <c r="MDT52"/>
      <c r="MDU52"/>
      <c r="MDV52"/>
      <c r="MDW52"/>
      <c r="MDX52"/>
      <c r="MDY52"/>
      <c r="MDZ52"/>
      <c r="MEA52"/>
      <c r="MEB52"/>
      <c r="MEC52"/>
      <c r="MED52"/>
      <c r="MEE52"/>
      <c r="MEF52"/>
      <c r="MEG52"/>
      <c r="MEH52"/>
      <c r="MEI52"/>
      <c r="MEJ52"/>
      <c r="MEK52"/>
      <c r="MEL52"/>
      <c r="MEM52"/>
      <c r="MEN52"/>
      <c r="MEO52"/>
      <c r="MEP52"/>
      <c r="MEQ52"/>
      <c r="MER52"/>
      <c r="MES52"/>
      <c r="MET52"/>
      <c r="MEU52"/>
      <c r="MEV52"/>
      <c r="MEW52"/>
      <c r="MEX52"/>
      <c r="MEY52"/>
      <c r="MEZ52"/>
      <c r="MFA52"/>
      <c r="MFB52"/>
      <c r="MFC52"/>
      <c r="MFD52"/>
      <c r="MFE52"/>
      <c r="MFF52"/>
      <c r="MFG52"/>
      <c r="MFH52"/>
      <c r="MFI52"/>
      <c r="MFJ52"/>
      <c r="MFK52"/>
      <c r="MFL52"/>
      <c r="MFM52"/>
      <c r="MFN52"/>
      <c r="MFO52"/>
      <c r="MFP52"/>
      <c r="MFQ52"/>
      <c r="MFR52"/>
      <c r="MFS52"/>
      <c r="MFT52"/>
      <c r="MFU52"/>
      <c r="MFV52"/>
      <c r="MFW52"/>
      <c r="MFX52"/>
      <c r="MFY52"/>
      <c r="MFZ52"/>
      <c r="MGA52"/>
      <c r="MGB52"/>
      <c r="MGC52"/>
      <c r="MGD52"/>
      <c r="MGE52"/>
      <c r="MGF52"/>
      <c r="MGG52"/>
      <c r="MGH52"/>
      <c r="MGI52"/>
      <c r="MGJ52"/>
      <c r="MGK52"/>
      <c r="MGL52"/>
      <c r="MGM52"/>
      <c r="MGN52"/>
      <c r="MGO52"/>
      <c r="MGP52"/>
      <c r="MGQ52"/>
      <c r="MGR52"/>
      <c r="MGS52"/>
      <c r="MGT52"/>
      <c r="MGU52"/>
      <c r="MGV52"/>
      <c r="MGW52"/>
      <c r="MGX52"/>
      <c r="MGY52"/>
      <c r="MGZ52"/>
      <c r="MHA52"/>
      <c r="MHB52"/>
      <c r="MHC52"/>
      <c r="MHD52"/>
      <c r="MHE52"/>
      <c r="MHF52"/>
      <c r="MHG52"/>
      <c r="MHH52"/>
      <c r="MHI52"/>
      <c r="MHJ52"/>
      <c r="MHK52"/>
      <c r="MHL52"/>
      <c r="MHM52"/>
      <c r="MHN52"/>
      <c r="MHO52"/>
      <c r="MHP52"/>
      <c r="MHQ52"/>
      <c r="MHR52"/>
      <c r="MHS52"/>
      <c r="MHT52"/>
      <c r="MHU52"/>
      <c r="MHV52"/>
      <c r="MHW52"/>
      <c r="MHX52"/>
      <c r="MHY52"/>
      <c r="MHZ52"/>
      <c r="MIA52"/>
      <c r="MIB52"/>
      <c r="MIC52"/>
      <c r="MID52"/>
      <c r="MIE52"/>
      <c r="MIF52"/>
      <c r="MIG52"/>
      <c r="MIH52"/>
      <c r="MII52"/>
      <c r="MIJ52"/>
      <c r="MIK52"/>
      <c r="MIL52"/>
      <c r="MIM52"/>
      <c r="MIN52"/>
      <c r="MIO52"/>
      <c r="MIP52"/>
      <c r="MIQ52"/>
      <c r="MIR52"/>
      <c r="MIS52"/>
      <c r="MIT52"/>
      <c r="MIU52"/>
      <c r="MIV52"/>
      <c r="MIW52"/>
      <c r="MIX52"/>
      <c r="MIY52"/>
      <c r="MIZ52"/>
      <c r="MJA52"/>
      <c r="MJB52"/>
      <c r="MJC52"/>
      <c r="MJD52"/>
      <c r="MJE52"/>
      <c r="MJF52"/>
      <c r="MJG52"/>
      <c r="MJH52"/>
      <c r="MJI52"/>
      <c r="MJJ52"/>
      <c r="MJK52"/>
      <c r="MJL52"/>
      <c r="MJM52"/>
      <c r="MJN52"/>
      <c r="MJO52"/>
      <c r="MJP52"/>
      <c r="MJQ52"/>
      <c r="MJR52"/>
      <c r="MJS52"/>
      <c r="MJT52"/>
      <c r="MJU52"/>
      <c r="MJV52"/>
      <c r="MJW52"/>
      <c r="MJX52"/>
      <c r="MJY52"/>
      <c r="MJZ52"/>
      <c r="MKA52"/>
      <c r="MKB52"/>
      <c r="MKC52"/>
      <c r="MKD52"/>
      <c r="MKE52"/>
      <c r="MKF52"/>
      <c r="MKG52"/>
      <c r="MKH52"/>
      <c r="MKI52"/>
      <c r="MKJ52"/>
      <c r="MKK52"/>
      <c r="MKL52"/>
      <c r="MKM52"/>
      <c r="MKN52"/>
      <c r="MKO52"/>
      <c r="MKP52"/>
      <c r="MKQ52"/>
      <c r="MKR52"/>
      <c r="MKS52"/>
      <c r="MKT52"/>
      <c r="MKU52"/>
      <c r="MKV52"/>
      <c r="MKW52"/>
      <c r="MKX52"/>
      <c r="MKY52"/>
      <c r="MKZ52"/>
      <c r="MLA52"/>
      <c r="MLB52"/>
      <c r="MLC52"/>
      <c r="MLD52"/>
      <c r="MLE52"/>
      <c r="MLF52"/>
      <c r="MLG52"/>
      <c r="MLH52"/>
      <c r="MLI52"/>
      <c r="MLJ52"/>
      <c r="MLK52"/>
      <c r="MLL52"/>
      <c r="MLM52"/>
      <c r="MLN52"/>
      <c r="MLO52"/>
      <c r="MLP52"/>
      <c r="MLQ52"/>
      <c r="MLR52"/>
      <c r="MLS52"/>
      <c r="MLT52"/>
      <c r="MLU52"/>
      <c r="MLV52"/>
      <c r="MLW52"/>
      <c r="MLX52"/>
      <c r="MLY52"/>
      <c r="MLZ52"/>
      <c r="MMA52"/>
      <c r="MMB52"/>
      <c r="MMC52"/>
      <c r="MMD52"/>
      <c r="MME52"/>
      <c r="MMF52"/>
      <c r="MMG52"/>
      <c r="MMH52"/>
      <c r="MMI52"/>
      <c r="MMJ52"/>
      <c r="MMK52"/>
      <c r="MML52"/>
      <c r="MMM52"/>
      <c r="MMN52"/>
      <c r="MMO52"/>
      <c r="MMP52"/>
      <c r="MMQ52"/>
      <c r="MMR52"/>
      <c r="MMS52"/>
      <c r="MMT52"/>
      <c r="MMU52"/>
      <c r="MMV52"/>
      <c r="MMW52"/>
      <c r="MMX52"/>
      <c r="MMY52"/>
      <c r="MMZ52"/>
      <c r="MNA52"/>
      <c r="MNB52"/>
      <c r="MNC52"/>
      <c r="MND52"/>
      <c r="MNE52"/>
      <c r="MNF52"/>
      <c r="MNG52"/>
      <c r="MNH52"/>
      <c r="MNI52"/>
      <c r="MNJ52"/>
      <c r="MNK52"/>
      <c r="MNL52"/>
      <c r="MNM52"/>
      <c r="MNN52"/>
      <c r="MNO52"/>
      <c r="MNP52"/>
      <c r="MNQ52"/>
      <c r="MNR52"/>
      <c r="MNS52"/>
      <c r="MNT52"/>
      <c r="MNU52"/>
      <c r="MNV52"/>
      <c r="MNW52"/>
      <c r="MNX52"/>
      <c r="MNY52"/>
      <c r="MNZ52"/>
      <c r="MOA52"/>
      <c r="MOB52"/>
      <c r="MOC52"/>
      <c r="MOD52"/>
      <c r="MOE52"/>
      <c r="MOF52"/>
      <c r="MOG52"/>
      <c r="MOH52"/>
      <c r="MOI52"/>
      <c r="MOJ52"/>
      <c r="MOK52"/>
      <c r="MOL52"/>
      <c r="MOM52"/>
      <c r="MON52"/>
      <c r="MOO52"/>
      <c r="MOP52"/>
      <c r="MOQ52"/>
      <c r="MOR52"/>
      <c r="MOS52"/>
      <c r="MOT52"/>
      <c r="MOU52"/>
      <c r="MOV52"/>
      <c r="MOW52"/>
      <c r="MOX52"/>
      <c r="MOY52"/>
      <c r="MOZ52"/>
      <c r="MPA52"/>
      <c r="MPB52"/>
      <c r="MPC52"/>
      <c r="MPD52"/>
      <c r="MPE52"/>
      <c r="MPF52"/>
      <c r="MPG52"/>
      <c r="MPH52"/>
      <c r="MPI52"/>
      <c r="MPJ52"/>
      <c r="MPK52"/>
      <c r="MPL52"/>
      <c r="MPM52"/>
      <c r="MPN52"/>
      <c r="MPO52"/>
      <c r="MPP52"/>
      <c r="MPQ52"/>
      <c r="MPR52"/>
      <c r="MPS52"/>
      <c r="MPT52"/>
      <c r="MPU52"/>
      <c r="MPV52"/>
      <c r="MPW52"/>
      <c r="MPX52"/>
      <c r="MPY52"/>
      <c r="MPZ52"/>
      <c r="MQA52"/>
      <c r="MQB52"/>
      <c r="MQC52"/>
      <c r="MQD52"/>
      <c r="MQE52"/>
      <c r="MQF52"/>
      <c r="MQG52"/>
      <c r="MQH52"/>
      <c r="MQI52"/>
      <c r="MQJ52"/>
      <c r="MQK52"/>
      <c r="MQL52"/>
      <c r="MQM52"/>
      <c r="MQN52"/>
      <c r="MQO52"/>
      <c r="MQP52"/>
      <c r="MQQ52"/>
      <c r="MQR52"/>
      <c r="MQS52"/>
      <c r="MQT52"/>
      <c r="MQU52"/>
      <c r="MQV52"/>
      <c r="MQW52"/>
      <c r="MQX52"/>
      <c r="MQY52"/>
      <c r="MQZ52"/>
      <c r="MRA52"/>
      <c r="MRB52"/>
      <c r="MRC52"/>
      <c r="MRD52"/>
      <c r="MRE52"/>
      <c r="MRF52"/>
      <c r="MRG52"/>
      <c r="MRH52"/>
      <c r="MRI52"/>
      <c r="MRJ52"/>
      <c r="MRK52"/>
      <c r="MRL52"/>
      <c r="MRM52"/>
      <c r="MRN52"/>
      <c r="MRO52"/>
      <c r="MRP52"/>
      <c r="MRQ52"/>
      <c r="MRR52"/>
      <c r="MRS52"/>
      <c r="MRT52"/>
      <c r="MRU52"/>
      <c r="MRV52"/>
      <c r="MRW52"/>
      <c r="MRX52"/>
      <c r="MRY52"/>
      <c r="MRZ52"/>
      <c r="MSA52"/>
      <c r="MSB52"/>
      <c r="MSC52"/>
      <c r="MSD52"/>
      <c r="MSE52"/>
      <c r="MSF52"/>
      <c r="MSG52"/>
      <c r="MSH52"/>
      <c r="MSI52"/>
      <c r="MSJ52"/>
      <c r="MSK52"/>
      <c r="MSL52"/>
      <c r="MSM52"/>
      <c r="MSN52"/>
      <c r="MSO52"/>
      <c r="MSP52"/>
      <c r="MSQ52"/>
      <c r="MSR52"/>
      <c r="MSS52"/>
      <c r="MST52"/>
      <c r="MSU52"/>
      <c r="MSV52"/>
      <c r="MSW52"/>
      <c r="MSX52"/>
      <c r="MSY52"/>
      <c r="MSZ52"/>
      <c r="MTA52"/>
      <c r="MTB52"/>
      <c r="MTC52"/>
      <c r="MTD52"/>
      <c r="MTE52"/>
      <c r="MTF52"/>
      <c r="MTG52"/>
      <c r="MTH52"/>
      <c r="MTI52"/>
      <c r="MTJ52"/>
      <c r="MTK52"/>
      <c r="MTL52"/>
      <c r="MTM52"/>
      <c r="MTN52"/>
      <c r="MTO52"/>
      <c r="MTP52"/>
      <c r="MTQ52"/>
      <c r="MTR52"/>
      <c r="MTS52"/>
      <c r="MTT52"/>
      <c r="MTU52"/>
      <c r="MTV52"/>
      <c r="MTW52"/>
      <c r="MTX52"/>
      <c r="MTY52"/>
      <c r="MTZ52"/>
      <c r="MUA52"/>
      <c r="MUB52"/>
      <c r="MUC52"/>
      <c r="MUD52"/>
      <c r="MUE52"/>
      <c r="MUF52"/>
      <c r="MUG52"/>
      <c r="MUH52"/>
      <c r="MUI52"/>
      <c r="MUJ52"/>
      <c r="MUK52"/>
      <c r="MUL52"/>
      <c r="MUM52"/>
      <c r="MUN52"/>
      <c r="MUO52"/>
      <c r="MUP52"/>
      <c r="MUQ52"/>
      <c r="MUR52"/>
      <c r="MUS52"/>
      <c r="MUT52"/>
      <c r="MUU52"/>
      <c r="MUV52"/>
      <c r="MUW52"/>
      <c r="MUX52"/>
      <c r="MUY52"/>
      <c r="MUZ52"/>
      <c r="MVA52"/>
      <c r="MVB52"/>
      <c r="MVC52"/>
      <c r="MVD52"/>
      <c r="MVE52"/>
      <c r="MVF52"/>
      <c r="MVG52"/>
      <c r="MVH52"/>
      <c r="MVI52"/>
      <c r="MVJ52"/>
      <c r="MVK52"/>
      <c r="MVL52"/>
      <c r="MVM52"/>
      <c r="MVN52"/>
      <c r="MVO52"/>
      <c r="MVP52"/>
      <c r="MVQ52"/>
      <c r="MVR52"/>
      <c r="MVS52"/>
      <c r="MVT52"/>
      <c r="MVU52"/>
      <c r="MVV52"/>
      <c r="MVW52"/>
      <c r="MVX52"/>
      <c r="MVY52"/>
      <c r="MVZ52"/>
      <c r="MWA52"/>
      <c r="MWB52"/>
      <c r="MWC52"/>
      <c r="MWD52"/>
      <c r="MWE52"/>
      <c r="MWF52"/>
      <c r="MWG52"/>
      <c r="MWH52"/>
      <c r="MWI52"/>
      <c r="MWJ52"/>
      <c r="MWK52"/>
      <c r="MWL52"/>
      <c r="MWM52"/>
      <c r="MWN52"/>
      <c r="MWO52"/>
      <c r="MWP52"/>
      <c r="MWQ52"/>
      <c r="MWR52"/>
      <c r="MWS52"/>
      <c r="MWT52"/>
      <c r="MWU52"/>
      <c r="MWV52"/>
      <c r="MWW52"/>
      <c r="MWX52"/>
      <c r="MWY52"/>
      <c r="MWZ52"/>
      <c r="MXA52"/>
      <c r="MXB52"/>
      <c r="MXC52"/>
      <c r="MXD52"/>
      <c r="MXE52"/>
      <c r="MXF52"/>
      <c r="MXG52"/>
      <c r="MXH52"/>
      <c r="MXI52"/>
      <c r="MXJ52"/>
      <c r="MXK52"/>
      <c r="MXL52"/>
      <c r="MXM52"/>
      <c r="MXN52"/>
      <c r="MXO52"/>
      <c r="MXP52"/>
      <c r="MXQ52"/>
      <c r="MXR52"/>
      <c r="MXS52"/>
      <c r="MXT52"/>
      <c r="MXU52"/>
      <c r="MXV52"/>
      <c r="MXW52"/>
      <c r="MXX52"/>
      <c r="MXY52"/>
      <c r="MXZ52"/>
      <c r="MYA52"/>
      <c r="MYB52"/>
      <c r="MYC52"/>
      <c r="MYD52"/>
      <c r="MYE52"/>
      <c r="MYF52"/>
      <c r="MYG52"/>
      <c r="MYH52"/>
      <c r="MYI52"/>
      <c r="MYJ52"/>
      <c r="MYK52"/>
      <c r="MYL52"/>
      <c r="MYM52"/>
      <c r="MYN52"/>
      <c r="MYO52"/>
      <c r="MYP52"/>
      <c r="MYQ52"/>
      <c r="MYR52"/>
      <c r="MYS52"/>
      <c r="MYT52"/>
      <c r="MYU52"/>
      <c r="MYV52"/>
      <c r="MYW52"/>
      <c r="MYX52"/>
      <c r="MYY52"/>
      <c r="MYZ52"/>
      <c r="MZA52"/>
      <c r="MZB52"/>
      <c r="MZC52"/>
      <c r="MZD52"/>
      <c r="MZE52"/>
      <c r="MZF52"/>
      <c r="MZG52"/>
      <c r="MZH52"/>
      <c r="MZI52"/>
      <c r="MZJ52"/>
      <c r="MZK52"/>
      <c r="MZL52"/>
      <c r="MZM52"/>
      <c r="MZN52"/>
      <c r="MZO52"/>
      <c r="MZP52"/>
      <c r="MZQ52"/>
      <c r="MZR52"/>
      <c r="MZS52"/>
      <c r="MZT52"/>
      <c r="MZU52"/>
      <c r="MZV52"/>
      <c r="MZW52"/>
      <c r="MZX52"/>
      <c r="MZY52"/>
      <c r="MZZ52"/>
      <c r="NAA52"/>
      <c r="NAB52"/>
      <c r="NAC52"/>
      <c r="NAD52"/>
      <c r="NAE52"/>
      <c r="NAF52"/>
      <c r="NAG52"/>
      <c r="NAH52"/>
      <c r="NAI52"/>
      <c r="NAJ52"/>
      <c r="NAK52"/>
      <c r="NAL52"/>
      <c r="NAM52"/>
      <c r="NAN52"/>
      <c r="NAO52"/>
      <c r="NAP52"/>
      <c r="NAQ52"/>
      <c r="NAR52"/>
      <c r="NAS52"/>
      <c r="NAT52"/>
      <c r="NAU52"/>
      <c r="NAV52"/>
      <c r="NAW52"/>
      <c r="NAX52"/>
      <c r="NAY52"/>
      <c r="NAZ52"/>
      <c r="NBA52"/>
      <c r="NBB52"/>
      <c r="NBC52"/>
      <c r="NBD52"/>
      <c r="NBE52"/>
      <c r="NBF52"/>
      <c r="NBG52"/>
      <c r="NBH52"/>
      <c r="NBI52"/>
      <c r="NBJ52"/>
      <c r="NBK52"/>
      <c r="NBL52"/>
      <c r="NBM52"/>
      <c r="NBN52"/>
      <c r="NBO52"/>
      <c r="NBP52"/>
      <c r="NBQ52"/>
      <c r="NBR52"/>
      <c r="NBS52"/>
      <c r="NBT52"/>
      <c r="NBU52"/>
      <c r="NBV52"/>
      <c r="NBW52"/>
      <c r="NBX52"/>
      <c r="NBY52"/>
      <c r="NBZ52"/>
      <c r="NCA52"/>
      <c r="NCB52"/>
      <c r="NCC52"/>
      <c r="NCD52"/>
      <c r="NCE52"/>
      <c r="NCF52"/>
      <c r="NCG52"/>
      <c r="NCH52"/>
      <c r="NCI52"/>
      <c r="NCJ52"/>
      <c r="NCK52"/>
      <c r="NCL52"/>
      <c r="NCM52"/>
      <c r="NCN52"/>
      <c r="NCO52"/>
      <c r="NCP52"/>
      <c r="NCQ52"/>
      <c r="NCR52"/>
      <c r="NCS52"/>
      <c r="NCT52"/>
      <c r="NCU52"/>
      <c r="NCV52"/>
      <c r="NCW52"/>
      <c r="NCX52"/>
      <c r="NCY52"/>
      <c r="NCZ52"/>
      <c r="NDA52"/>
      <c r="NDB52"/>
      <c r="NDC52"/>
      <c r="NDD52"/>
      <c r="NDE52"/>
      <c r="NDF52"/>
      <c r="NDG52"/>
      <c r="NDH52"/>
      <c r="NDI52"/>
      <c r="NDJ52"/>
      <c r="NDK52"/>
      <c r="NDL52"/>
      <c r="NDM52"/>
      <c r="NDN52"/>
      <c r="NDO52"/>
      <c r="NDP52"/>
      <c r="NDQ52"/>
      <c r="NDR52"/>
      <c r="NDS52"/>
      <c r="NDT52"/>
      <c r="NDU52"/>
      <c r="NDV52"/>
      <c r="NDW52"/>
      <c r="NDX52"/>
      <c r="NDY52"/>
      <c r="NDZ52"/>
      <c r="NEA52"/>
      <c r="NEB52"/>
      <c r="NEC52"/>
      <c r="NED52"/>
      <c r="NEE52"/>
      <c r="NEF52"/>
      <c r="NEG52"/>
      <c r="NEH52"/>
      <c r="NEI52"/>
      <c r="NEJ52"/>
      <c r="NEK52"/>
      <c r="NEL52"/>
      <c r="NEM52"/>
      <c r="NEN52"/>
      <c r="NEO52"/>
      <c r="NEP52"/>
      <c r="NEQ52"/>
      <c r="NER52"/>
      <c r="NES52"/>
      <c r="NET52"/>
      <c r="NEU52"/>
      <c r="NEV52"/>
      <c r="NEW52"/>
      <c r="NEX52"/>
      <c r="NEY52"/>
      <c r="NEZ52"/>
      <c r="NFA52"/>
      <c r="NFB52"/>
      <c r="NFC52"/>
      <c r="NFD52"/>
      <c r="NFE52"/>
      <c r="NFF52"/>
      <c r="NFG52"/>
      <c r="NFH52"/>
      <c r="NFI52"/>
      <c r="NFJ52"/>
      <c r="NFK52"/>
      <c r="NFL52"/>
      <c r="NFM52"/>
      <c r="NFN52"/>
      <c r="NFO52"/>
      <c r="NFP52"/>
      <c r="NFQ52"/>
      <c r="NFR52"/>
      <c r="NFS52"/>
      <c r="NFT52"/>
      <c r="NFU52"/>
      <c r="NFV52"/>
      <c r="NFW52"/>
      <c r="NFX52"/>
      <c r="NFY52"/>
      <c r="NFZ52"/>
      <c r="NGA52"/>
      <c r="NGB52"/>
      <c r="NGC52"/>
      <c r="NGD52"/>
      <c r="NGE52"/>
      <c r="NGF52"/>
      <c r="NGG52"/>
      <c r="NGH52"/>
      <c r="NGI52"/>
      <c r="NGJ52"/>
      <c r="NGK52"/>
      <c r="NGL52"/>
      <c r="NGM52"/>
      <c r="NGN52"/>
      <c r="NGO52"/>
      <c r="NGP52"/>
      <c r="NGQ52"/>
      <c r="NGR52"/>
      <c r="NGS52"/>
      <c r="NGT52"/>
      <c r="NGU52"/>
      <c r="NGV52"/>
      <c r="NGW52"/>
      <c r="NGX52"/>
      <c r="NGY52"/>
      <c r="NGZ52"/>
      <c r="NHA52"/>
      <c r="NHB52"/>
      <c r="NHC52"/>
      <c r="NHD52"/>
      <c r="NHE52"/>
      <c r="NHF52"/>
      <c r="NHG52"/>
      <c r="NHH52"/>
      <c r="NHI52"/>
      <c r="NHJ52"/>
      <c r="NHK52"/>
      <c r="NHL52"/>
      <c r="NHM52"/>
      <c r="NHN52"/>
      <c r="NHO52"/>
      <c r="NHP52"/>
      <c r="NHQ52"/>
      <c r="NHR52"/>
      <c r="NHS52"/>
      <c r="NHT52"/>
      <c r="NHU52"/>
      <c r="NHV52"/>
      <c r="NHW52"/>
      <c r="NHX52"/>
      <c r="NHY52"/>
      <c r="NHZ52"/>
      <c r="NIA52"/>
      <c r="NIB52"/>
      <c r="NIC52"/>
      <c r="NID52"/>
      <c r="NIE52"/>
      <c r="NIF52"/>
      <c r="NIG52"/>
      <c r="NIH52"/>
      <c r="NII52"/>
      <c r="NIJ52"/>
      <c r="NIK52"/>
      <c r="NIL52"/>
      <c r="NIM52"/>
      <c r="NIN52"/>
      <c r="NIO52"/>
      <c r="NIP52"/>
      <c r="NIQ52"/>
      <c r="NIR52"/>
      <c r="NIS52"/>
      <c r="NIT52"/>
      <c r="NIU52"/>
      <c r="NIV52"/>
      <c r="NIW52"/>
      <c r="NIX52"/>
      <c r="NIY52"/>
      <c r="NIZ52"/>
      <c r="NJA52"/>
      <c r="NJB52"/>
      <c r="NJC52"/>
      <c r="NJD52"/>
      <c r="NJE52"/>
      <c r="NJF52"/>
      <c r="NJG52"/>
      <c r="NJH52"/>
      <c r="NJI52"/>
      <c r="NJJ52"/>
      <c r="NJK52"/>
      <c r="NJL52"/>
      <c r="NJM52"/>
      <c r="NJN52"/>
      <c r="NJO52"/>
      <c r="NJP52"/>
      <c r="NJQ52"/>
      <c r="NJR52"/>
      <c r="NJS52"/>
      <c r="NJT52"/>
      <c r="NJU52"/>
      <c r="NJV52"/>
      <c r="NJW52"/>
      <c r="NJX52"/>
      <c r="NJY52"/>
      <c r="NJZ52"/>
      <c r="NKA52"/>
      <c r="NKB52"/>
      <c r="NKC52"/>
      <c r="NKD52"/>
      <c r="NKE52"/>
      <c r="NKF52"/>
      <c r="NKG52"/>
      <c r="NKH52"/>
      <c r="NKI52"/>
      <c r="NKJ52"/>
      <c r="NKK52"/>
      <c r="NKL52"/>
      <c r="NKM52"/>
      <c r="NKN52"/>
      <c r="NKO52"/>
      <c r="NKP52"/>
      <c r="NKQ52"/>
      <c r="NKR52"/>
      <c r="NKS52"/>
      <c r="NKT52"/>
      <c r="NKU52"/>
      <c r="NKV52"/>
      <c r="NKW52"/>
      <c r="NKX52"/>
      <c r="NKY52"/>
      <c r="NKZ52"/>
      <c r="NLA52"/>
      <c r="NLB52"/>
      <c r="NLC52"/>
      <c r="NLD52"/>
      <c r="NLE52"/>
      <c r="NLF52"/>
      <c r="NLG52"/>
      <c r="NLH52"/>
      <c r="NLI52"/>
      <c r="NLJ52"/>
      <c r="NLK52"/>
      <c r="NLL52"/>
      <c r="NLM52"/>
      <c r="NLN52"/>
      <c r="NLO52"/>
      <c r="NLP52"/>
      <c r="NLQ52"/>
      <c r="NLR52"/>
      <c r="NLS52"/>
      <c r="NLT52"/>
      <c r="NLU52"/>
      <c r="NLV52"/>
      <c r="NLW52"/>
      <c r="NLX52"/>
      <c r="NLY52"/>
      <c r="NLZ52"/>
      <c r="NMA52"/>
      <c r="NMB52"/>
      <c r="NMC52"/>
      <c r="NMD52"/>
      <c r="NME52"/>
      <c r="NMF52"/>
      <c r="NMG52"/>
      <c r="NMH52"/>
      <c r="NMI52"/>
      <c r="NMJ52"/>
      <c r="NMK52"/>
      <c r="NML52"/>
      <c r="NMM52"/>
      <c r="NMN52"/>
      <c r="NMO52"/>
      <c r="NMP52"/>
      <c r="NMQ52"/>
      <c r="NMR52"/>
      <c r="NMS52"/>
      <c r="NMT52"/>
      <c r="NMU52"/>
      <c r="NMV52"/>
      <c r="NMW52"/>
      <c r="NMX52"/>
      <c r="NMY52"/>
      <c r="NMZ52"/>
      <c r="NNA52"/>
      <c r="NNB52"/>
      <c r="NNC52"/>
      <c r="NND52"/>
      <c r="NNE52"/>
      <c r="NNF52"/>
      <c r="NNG52"/>
      <c r="NNH52"/>
      <c r="NNI52"/>
      <c r="NNJ52"/>
      <c r="NNK52"/>
      <c r="NNL52"/>
      <c r="NNM52"/>
      <c r="NNN52"/>
      <c r="NNO52"/>
      <c r="NNP52"/>
      <c r="NNQ52"/>
      <c r="NNR52"/>
      <c r="NNS52"/>
      <c r="NNT52"/>
      <c r="NNU52"/>
      <c r="NNV52"/>
      <c r="NNW52"/>
      <c r="NNX52"/>
      <c r="NNY52"/>
      <c r="NNZ52"/>
      <c r="NOA52"/>
      <c r="NOB52"/>
      <c r="NOC52"/>
      <c r="NOD52"/>
      <c r="NOE52"/>
      <c r="NOF52"/>
      <c r="NOG52"/>
      <c r="NOH52"/>
      <c r="NOI52"/>
      <c r="NOJ52"/>
      <c r="NOK52"/>
      <c r="NOL52"/>
      <c r="NOM52"/>
      <c r="NON52"/>
      <c r="NOO52"/>
      <c r="NOP52"/>
      <c r="NOQ52"/>
      <c r="NOR52"/>
      <c r="NOS52"/>
      <c r="NOT52"/>
      <c r="NOU52"/>
      <c r="NOV52"/>
      <c r="NOW52"/>
      <c r="NOX52"/>
      <c r="NOY52"/>
      <c r="NOZ52"/>
      <c r="NPA52"/>
      <c r="NPB52"/>
      <c r="NPC52"/>
      <c r="NPD52"/>
      <c r="NPE52"/>
      <c r="NPF52"/>
      <c r="NPG52"/>
      <c r="NPH52"/>
      <c r="NPI52"/>
      <c r="NPJ52"/>
      <c r="NPK52"/>
      <c r="NPL52"/>
      <c r="NPM52"/>
      <c r="NPN52"/>
      <c r="NPO52"/>
      <c r="NPP52"/>
      <c r="NPQ52"/>
      <c r="NPR52"/>
      <c r="NPS52"/>
      <c r="NPT52"/>
      <c r="NPU52"/>
      <c r="NPV52"/>
      <c r="NPW52"/>
      <c r="NPX52"/>
      <c r="NPY52"/>
      <c r="NPZ52"/>
      <c r="NQA52"/>
      <c r="NQB52"/>
      <c r="NQC52"/>
      <c r="NQD52"/>
      <c r="NQE52"/>
      <c r="NQF52"/>
      <c r="NQG52"/>
      <c r="NQH52"/>
      <c r="NQI52"/>
      <c r="NQJ52"/>
      <c r="NQK52"/>
      <c r="NQL52"/>
      <c r="NQM52"/>
      <c r="NQN52"/>
      <c r="NQO52"/>
      <c r="NQP52"/>
      <c r="NQQ52"/>
      <c r="NQR52"/>
      <c r="NQS52"/>
      <c r="NQT52"/>
      <c r="NQU52"/>
      <c r="NQV52"/>
      <c r="NQW52"/>
      <c r="NQX52"/>
      <c r="NQY52"/>
      <c r="NQZ52"/>
      <c r="NRA52"/>
      <c r="NRB52"/>
      <c r="NRC52"/>
      <c r="NRD52"/>
      <c r="NRE52"/>
      <c r="NRF52"/>
      <c r="NRG52"/>
      <c r="NRH52"/>
      <c r="NRI52"/>
      <c r="NRJ52"/>
      <c r="NRK52"/>
      <c r="NRL52"/>
      <c r="NRM52"/>
      <c r="NRN52"/>
      <c r="NRO52"/>
      <c r="NRP52"/>
      <c r="NRQ52"/>
      <c r="NRR52"/>
      <c r="NRS52"/>
      <c r="NRT52"/>
      <c r="NRU52"/>
      <c r="NRV52"/>
      <c r="NRW52"/>
      <c r="NRX52"/>
      <c r="NRY52"/>
      <c r="NRZ52"/>
      <c r="NSA52"/>
      <c r="NSB52"/>
      <c r="NSC52"/>
      <c r="NSD52"/>
      <c r="NSE52"/>
      <c r="NSF52"/>
      <c r="NSG52"/>
      <c r="NSH52"/>
      <c r="NSI52"/>
      <c r="NSJ52"/>
      <c r="NSK52"/>
      <c r="NSL52"/>
      <c r="NSM52"/>
      <c r="NSN52"/>
      <c r="NSO52"/>
      <c r="NSP52"/>
      <c r="NSQ52"/>
      <c r="NSR52"/>
      <c r="NSS52"/>
      <c r="NST52"/>
      <c r="NSU52"/>
      <c r="NSV52"/>
      <c r="NSW52"/>
      <c r="NSX52"/>
      <c r="NSY52"/>
      <c r="NSZ52"/>
      <c r="NTA52"/>
      <c r="NTB52"/>
      <c r="NTC52"/>
      <c r="NTD52"/>
      <c r="NTE52"/>
      <c r="NTF52"/>
      <c r="NTG52"/>
      <c r="NTH52"/>
      <c r="NTI52"/>
      <c r="NTJ52"/>
      <c r="NTK52"/>
      <c r="NTL52"/>
      <c r="NTM52"/>
      <c r="NTN52"/>
      <c r="NTO52"/>
      <c r="NTP52"/>
      <c r="NTQ52"/>
      <c r="NTR52"/>
      <c r="NTS52"/>
      <c r="NTT52"/>
      <c r="NTU52"/>
      <c r="NTV52"/>
      <c r="NTW52"/>
      <c r="NTX52"/>
      <c r="NTY52"/>
      <c r="NTZ52"/>
      <c r="NUA52"/>
      <c r="NUB52"/>
      <c r="NUC52"/>
      <c r="NUD52"/>
      <c r="NUE52"/>
      <c r="NUF52"/>
      <c r="NUG52"/>
      <c r="NUH52"/>
      <c r="NUI52"/>
      <c r="NUJ52"/>
      <c r="NUK52"/>
      <c r="NUL52"/>
      <c r="NUM52"/>
      <c r="NUN52"/>
      <c r="NUO52"/>
      <c r="NUP52"/>
      <c r="NUQ52"/>
      <c r="NUR52"/>
      <c r="NUS52"/>
      <c r="NUT52"/>
      <c r="NUU52"/>
      <c r="NUV52"/>
      <c r="NUW52"/>
      <c r="NUX52"/>
      <c r="NUY52"/>
      <c r="NUZ52"/>
      <c r="NVA52"/>
      <c r="NVB52"/>
      <c r="NVC52"/>
      <c r="NVD52"/>
      <c r="NVE52"/>
      <c r="NVF52"/>
      <c r="NVG52"/>
      <c r="NVH52"/>
      <c r="NVI52"/>
      <c r="NVJ52"/>
      <c r="NVK52"/>
      <c r="NVL52"/>
      <c r="NVM52"/>
      <c r="NVN52"/>
      <c r="NVO52"/>
      <c r="NVP52"/>
      <c r="NVQ52"/>
      <c r="NVR52"/>
      <c r="NVS52"/>
      <c r="NVT52"/>
      <c r="NVU52"/>
      <c r="NVV52"/>
      <c r="NVW52"/>
      <c r="NVX52"/>
      <c r="NVY52"/>
      <c r="NVZ52"/>
      <c r="NWA52"/>
      <c r="NWB52"/>
      <c r="NWC52"/>
      <c r="NWD52"/>
      <c r="NWE52"/>
      <c r="NWF52"/>
      <c r="NWG52"/>
      <c r="NWH52"/>
      <c r="NWI52"/>
      <c r="NWJ52"/>
      <c r="NWK52"/>
      <c r="NWL52"/>
      <c r="NWM52"/>
      <c r="NWN52"/>
      <c r="NWO52"/>
      <c r="NWP52"/>
      <c r="NWQ52"/>
      <c r="NWR52"/>
      <c r="NWS52"/>
      <c r="NWT52"/>
      <c r="NWU52"/>
      <c r="NWV52"/>
      <c r="NWW52"/>
      <c r="NWX52"/>
      <c r="NWY52"/>
      <c r="NWZ52"/>
      <c r="NXA52"/>
      <c r="NXB52"/>
      <c r="NXC52"/>
      <c r="NXD52"/>
      <c r="NXE52"/>
      <c r="NXF52"/>
      <c r="NXG52"/>
      <c r="NXH52"/>
      <c r="NXI52"/>
      <c r="NXJ52"/>
      <c r="NXK52"/>
      <c r="NXL52"/>
      <c r="NXM52"/>
      <c r="NXN52"/>
      <c r="NXO52"/>
      <c r="NXP52"/>
      <c r="NXQ52"/>
      <c r="NXR52"/>
      <c r="NXS52"/>
      <c r="NXT52"/>
      <c r="NXU52"/>
      <c r="NXV52"/>
      <c r="NXW52"/>
      <c r="NXX52"/>
      <c r="NXY52"/>
      <c r="NXZ52"/>
      <c r="NYA52"/>
      <c r="NYB52"/>
      <c r="NYC52"/>
      <c r="NYD52"/>
      <c r="NYE52"/>
      <c r="NYF52"/>
      <c r="NYG52"/>
      <c r="NYH52"/>
      <c r="NYI52"/>
      <c r="NYJ52"/>
      <c r="NYK52"/>
      <c r="NYL52"/>
      <c r="NYM52"/>
      <c r="NYN52"/>
      <c r="NYO52"/>
      <c r="NYP52"/>
      <c r="NYQ52"/>
      <c r="NYR52"/>
      <c r="NYS52"/>
      <c r="NYT52"/>
      <c r="NYU52"/>
      <c r="NYV52"/>
      <c r="NYW52"/>
      <c r="NYX52"/>
      <c r="NYY52"/>
      <c r="NYZ52"/>
      <c r="NZA52"/>
      <c r="NZB52"/>
      <c r="NZC52"/>
      <c r="NZD52"/>
      <c r="NZE52"/>
      <c r="NZF52"/>
      <c r="NZG52"/>
      <c r="NZH52"/>
      <c r="NZI52"/>
      <c r="NZJ52"/>
      <c r="NZK52"/>
      <c r="NZL52"/>
      <c r="NZM52"/>
      <c r="NZN52"/>
      <c r="NZO52"/>
      <c r="NZP52"/>
      <c r="NZQ52"/>
      <c r="NZR52"/>
      <c r="NZS52"/>
      <c r="NZT52"/>
      <c r="NZU52"/>
      <c r="NZV52"/>
      <c r="NZW52"/>
      <c r="NZX52"/>
      <c r="NZY52"/>
      <c r="NZZ52"/>
      <c r="OAA52"/>
      <c r="OAB52"/>
      <c r="OAC52"/>
      <c r="OAD52"/>
      <c r="OAE52"/>
      <c r="OAF52"/>
      <c r="OAG52"/>
      <c r="OAH52"/>
      <c r="OAI52"/>
      <c r="OAJ52"/>
      <c r="OAK52"/>
      <c r="OAL52"/>
      <c r="OAM52"/>
      <c r="OAN52"/>
      <c r="OAO52"/>
      <c r="OAP52"/>
      <c r="OAQ52"/>
      <c r="OAR52"/>
      <c r="OAS52"/>
      <c r="OAT52"/>
      <c r="OAU52"/>
      <c r="OAV52"/>
      <c r="OAW52"/>
      <c r="OAX52"/>
      <c r="OAY52"/>
      <c r="OAZ52"/>
      <c r="OBA52"/>
      <c r="OBB52"/>
      <c r="OBC52"/>
      <c r="OBD52"/>
      <c r="OBE52"/>
      <c r="OBF52"/>
      <c r="OBG52"/>
      <c r="OBH52"/>
      <c r="OBI52"/>
      <c r="OBJ52"/>
      <c r="OBK52"/>
      <c r="OBL52"/>
      <c r="OBM52"/>
      <c r="OBN52"/>
      <c r="OBO52"/>
      <c r="OBP52"/>
      <c r="OBQ52"/>
      <c r="OBR52"/>
      <c r="OBS52"/>
      <c r="OBT52"/>
      <c r="OBU52"/>
      <c r="OBV52"/>
      <c r="OBW52"/>
      <c r="OBX52"/>
      <c r="OBY52"/>
      <c r="OBZ52"/>
      <c r="OCA52"/>
      <c r="OCB52"/>
      <c r="OCC52"/>
      <c r="OCD52"/>
      <c r="OCE52"/>
      <c r="OCF52"/>
      <c r="OCG52"/>
      <c r="OCH52"/>
      <c r="OCI52"/>
      <c r="OCJ52"/>
      <c r="OCK52"/>
      <c r="OCL52"/>
      <c r="OCM52"/>
      <c r="OCN52"/>
      <c r="OCO52"/>
      <c r="OCP52"/>
      <c r="OCQ52"/>
      <c r="OCR52"/>
      <c r="OCS52"/>
      <c r="OCT52"/>
      <c r="OCU52"/>
      <c r="OCV52"/>
      <c r="OCW52"/>
      <c r="OCX52"/>
      <c r="OCY52"/>
      <c r="OCZ52"/>
      <c r="ODA52"/>
      <c r="ODB52"/>
      <c r="ODC52"/>
      <c r="ODD52"/>
      <c r="ODE52"/>
      <c r="ODF52"/>
      <c r="ODG52"/>
      <c r="ODH52"/>
      <c r="ODI52"/>
      <c r="ODJ52"/>
      <c r="ODK52"/>
      <c r="ODL52"/>
      <c r="ODM52"/>
      <c r="ODN52"/>
      <c r="ODO52"/>
      <c r="ODP52"/>
      <c r="ODQ52"/>
      <c r="ODR52"/>
      <c r="ODS52"/>
      <c r="ODT52"/>
      <c r="ODU52"/>
      <c r="ODV52"/>
      <c r="ODW52"/>
      <c r="ODX52"/>
      <c r="ODY52"/>
      <c r="ODZ52"/>
      <c r="OEA52"/>
      <c r="OEB52"/>
      <c r="OEC52"/>
      <c r="OED52"/>
      <c r="OEE52"/>
      <c r="OEF52"/>
      <c r="OEG52"/>
      <c r="OEH52"/>
      <c r="OEI52"/>
      <c r="OEJ52"/>
      <c r="OEK52"/>
      <c r="OEL52"/>
      <c r="OEM52"/>
      <c r="OEN52"/>
      <c r="OEO52"/>
      <c r="OEP52"/>
      <c r="OEQ52"/>
      <c r="OER52"/>
      <c r="OES52"/>
      <c r="OET52"/>
      <c r="OEU52"/>
      <c r="OEV52"/>
      <c r="OEW52"/>
      <c r="OEX52"/>
      <c r="OEY52"/>
      <c r="OEZ52"/>
      <c r="OFA52"/>
      <c r="OFB52"/>
      <c r="OFC52"/>
      <c r="OFD52"/>
      <c r="OFE52"/>
      <c r="OFF52"/>
      <c r="OFG52"/>
      <c r="OFH52"/>
      <c r="OFI52"/>
      <c r="OFJ52"/>
      <c r="OFK52"/>
      <c r="OFL52"/>
      <c r="OFM52"/>
      <c r="OFN52"/>
      <c r="OFO52"/>
      <c r="OFP52"/>
      <c r="OFQ52"/>
      <c r="OFR52"/>
      <c r="OFS52"/>
      <c r="OFT52"/>
      <c r="OFU52"/>
      <c r="OFV52"/>
      <c r="OFW52"/>
      <c r="OFX52"/>
      <c r="OFY52"/>
      <c r="OFZ52"/>
      <c r="OGA52"/>
      <c r="OGB52"/>
      <c r="OGC52"/>
      <c r="OGD52"/>
      <c r="OGE52"/>
      <c r="OGF52"/>
      <c r="OGG52"/>
      <c r="OGH52"/>
      <c r="OGI52"/>
      <c r="OGJ52"/>
      <c r="OGK52"/>
      <c r="OGL52"/>
      <c r="OGM52"/>
      <c r="OGN52"/>
      <c r="OGO52"/>
      <c r="OGP52"/>
      <c r="OGQ52"/>
      <c r="OGR52"/>
      <c r="OGS52"/>
      <c r="OGT52"/>
      <c r="OGU52"/>
      <c r="OGV52"/>
      <c r="OGW52"/>
      <c r="OGX52"/>
      <c r="OGY52"/>
      <c r="OGZ52"/>
      <c r="OHA52"/>
      <c r="OHB52"/>
      <c r="OHC52"/>
      <c r="OHD52"/>
      <c r="OHE52"/>
      <c r="OHF52"/>
      <c r="OHG52"/>
      <c r="OHH52"/>
      <c r="OHI52"/>
      <c r="OHJ52"/>
      <c r="OHK52"/>
      <c r="OHL52"/>
      <c r="OHM52"/>
      <c r="OHN52"/>
      <c r="OHO52"/>
      <c r="OHP52"/>
      <c r="OHQ52"/>
      <c r="OHR52"/>
      <c r="OHS52"/>
      <c r="OHT52"/>
      <c r="OHU52"/>
      <c r="OHV52"/>
      <c r="OHW52"/>
      <c r="OHX52"/>
      <c r="OHY52"/>
      <c r="OHZ52"/>
      <c r="OIA52"/>
      <c r="OIB52"/>
      <c r="OIC52"/>
      <c r="OID52"/>
      <c r="OIE52"/>
      <c r="OIF52"/>
      <c r="OIG52"/>
      <c r="OIH52"/>
      <c r="OII52"/>
      <c r="OIJ52"/>
      <c r="OIK52"/>
      <c r="OIL52"/>
      <c r="OIM52"/>
      <c r="OIN52"/>
      <c r="OIO52"/>
      <c r="OIP52"/>
      <c r="OIQ52"/>
      <c r="OIR52"/>
      <c r="OIS52"/>
      <c r="OIT52"/>
      <c r="OIU52"/>
      <c r="OIV52"/>
      <c r="OIW52"/>
      <c r="OIX52"/>
      <c r="OIY52"/>
      <c r="OIZ52"/>
      <c r="OJA52"/>
      <c r="OJB52"/>
      <c r="OJC52"/>
      <c r="OJD52"/>
      <c r="OJE52"/>
      <c r="OJF52"/>
      <c r="OJG52"/>
      <c r="OJH52"/>
      <c r="OJI52"/>
      <c r="OJJ52"/>
      <c r="OJK52"/>
      <c r="OJL52"/>
      <c r="OJM52"/>
      <c r="OJN52"/>
      <c r="OJO52"/>
      <c r="OJP52"/>
      <c r="OJQ52"/>
      <c r="OJR52"/>
      <c r="OJS52"/>
      <c r="OJT52"/>
      <c r="OJU52"/>
      <c r="OJV52"/>
      <c r="OJW52"/>
      <c r="OJX52"/>
      <c r="OJY52"/>
      <c r="OJZ52"/>
      <c r="OKA52"/>
      <c r="OKB52"/>
      <c r="OKC52"/>
      <c r="OKD52"/>
      <c r="OKE52"/>
      <c r="OKF52"/>
      <c r="OKG52"/>
      <c r="OKH52"/>
      <c r="OKI52"/>
      <c r="OKJ52"/>
      <c r="OKK52"/>
      <c r="OKL52"/>
      <c r="OKM52"/>
      <c r="OKN52"/>
      <c r="OKO52"/>
      <c r="OKP52"/>
      <c r="OKQ52"/>
      <c r="OKR52"/>
      <c r="OKS52"/>
      <c r="OKT52"/>
      <c r="OKU52"/>
      <c r="OKV52"/>
      <c r="OKW52"/>
      <c r="OKX52"/>
      <c r="OKY52"/>
      <c r="OKZ52"/>
      <c r="OLA52"/>
      <c r="OLB52"/>
      <c r="OLC52"/>
      <c r="OLD52"/>
      <c r="OLE52"/>
      <c r="OLF52"/>
      <c r="OLG52"/>
      <c r="OLH52"/>
      <c r="OLI52"/>
      <c r="OLJ52"/>
      <c r="OLK52"/>
      <c r="OLL52"/>
      <c r="OLM52"/>
      <c r="OLN52"/>
      <c r="OLO52"/>
      <c r="OLP52"/>
      <c r="OLQ52"/>
      <c r="OLR52"/>
      <c r="OLS52"/>
      <c r="OLT52"/>
      <c r="OLU52"/>
      <c r="OLV52"/>
      <c r="OLW52"/>
      <c r="OLX52"/>
      <c r="OLY52"/>
      <c r="OLZ52"/>
      <c r="OMA52"/>
      <c r="OMB52"/>
      <c r="OMC52"/>
      <c r="OMD52"/>
      <c r="OME52"/>
      <c r="OMF52"/>
      <c r="OMG52"/>
      <c r="OMH52"/>
      <c r="OMI52"/>
      <c r="OMJ52"/>
      <c r="OMK52"/>
      <c r="OML52"/>
      <c r="OMM52"/>
      <c r="OMN52"/>
      <c r="OMO52"/>
      <c r="OMP52"/>
      <c r="OMQ52"/>
      <c r="OMR52"/>
      <c r="OMS52"/>
      <c r="OMT52"/>
      <c r="OMU52"/>
      <c r="OMV52"/>
      <c r="OMW52"/>
      <c r="OMX52"/>
      <c r="OMY52"/>
      <c r="OMZ52"/>
      <c r="ONA52"/>
      <c r="ONB52"/>
      <c r="ONC52"/>
      <c r="OND52"/>
      <c r="ONE52"/>
      <c r="ONF52"/>
      <c r="ONG52"/>
      <c r="ONH52"/>
      <c r="ONI52"/>
      <c r="ONJ52"/>
      <c r="ONK52"/>
      <c r="ONL52"/>
      <c r="ONM52"/>
      <c r="ONN52"/>
      <c r="ONO52"/>
      <c r="ONP52"/>
      <c r="ONQ52"/>
      <c r="ONR52"/>
      <c r="ONS52"/>
      <c r="ONT52"/>
      <c r="ONU52"/>
      <c r="ONV52"/>
      <c r="ONW52"/>
      <c r="ONX52"/>
      <c r="ONY52"/>
      <c r="ONZ52"/>
      <c r="OOA52"/>
      <c r="OOB52"/>
      <c r="OOC52"/>
      <c r="OOD52"/>
      <c r="OOE52"/>
      <c r="OOF52"/>
      <c r="OOG52"/>
      <c r="OOH52"/>
      <c r="OOI52"/>
      <c r="OOJ52"/>
      <c r="OOK52"/>
      <c r="OOL52"/>
      <c r="OOM52"/>
      <c r="OON52"/>
      <c r="OOO52"/>
      <c r="OOP52"/>
      <c r="OOQ52"/>
      <c r="OOR52"/>
      <c r="OOS52"/>
      <c r="OOT52"/>
      <c r="OOU52"/>
      <c r="OOV52"/>
      <c r="OOW52"/>
      <c r="OOX52"/>
      <c r="OOY52"/>
      <c r="OOZ52"/>
      <c r="OPA52"/>
      <c r="OPB52"/>
      <c r="OPC52"/>
      <c r="OPD52"/>
      <c r="OPE52"/>
      <c r="OPF52"/>
      <c r="OPG52"/>
      <c r="OPH52"/>
      <c r="OPI52"/>
      <c r="OPJ52"/>
      <c r="OPK52"/>
      <c r="OPL52"/>
      <c r="OPM52"/>
      <c r="OPN52"/>
      <c r="OPO52"/>
      <c r="OPP52"/>
      <c r="OPQ52"/>
      <c r="OPR52"/>
      <c r="OPS52"/>
      <c r="OPT52"/>
      <c r="OPU52"/>
      <c r="OPV52"/>
      <c r="OPW52"/>
      <c r="OPX52"/>
      <c r="OPY52"/>
      <c r="OPZ52"/>
      <c r="OQA52"/>
      <c r="OQB52"/>
      <c r="OQC52"/>
      <c r="OQD52"/>
      <c r="OQE52"/>
      <c r="OQF52"/>
      <c r="OQG52"/>
      <c r="OQH52"/>
      <c r="OQI52"/>
      <c r="OQJ52"/>
      <c r="OQK52"/>
      <c r="OQL52"/>
      <c r="OQM52"/>
      <c r="OQN52"/>
      <c r="OQO52"/>
      <c r="OQP52"/>
      <c r="OQQ52"/>
      <c r="OQR52"/>
      <c r="OQS52"/>
      <c r="OQT52"/>
      <c r="OQU52"/>
      <c r="OQV52"/>
      <c r="OQW52"/>
      <c r="OQX52"/>
      <c r="OQY52"/>
      <c r="OQZ52"/>
      <c r="ORA52"/>
      <c r="ORB52"/>
      <c r="ORC52"/>
      <c r="ORD52"/>
      <c r="ORE52"/>
      <c r="ORF52"/>
      <c r="ORG52"/>
      <c r="ORH52"/>
      <c r="ORI52"/>
      <c r="ORJ52"/>
      <c r="ORK52"/>
      <c r="ORL52"/>
      <c r="ORM52"/>
      <c r="ORN52"/>
      <c r="ORO52"/>
      <c r="ORP52"/>
      <c r="ORQ52"/>
      <c r="ORR52"/>
      <c r="ORS52"/>
      <c r="ORT52"/>
      <c r="ORU52"/>
      <c r="ORV52"/>
      <c r="ORW52"/>
      <c r="ORX52"/>
      <c r="ORY52"/>
      <c r="ORZ52"/>
      <c r="OSA52"/>
      <c r="OSB52"/>
      <c r="OSC52"/>
      <c r="OSD52"/>
      <c r="OSE52"/>
      <c r="OSF52"/>
      <c r="OSG52"/>
      <c r="OSH52"/>
      <c r="OSI52"/>
      <c r="OSJ52"/>
      <c r="OSK52"/>
      <c r="OSL52"/>
      <c r="OSM52"/>
      <c r="OSN52"/>
      <c r="OSO52"/>
      <c r="OSP52"/>
      <c r="OSQ52"/>
      <c r="OSR52"/>
      <c r="OSS52"/>
      <c r="OST52"/>
      <c r="OSU52"/>
      <c r="OSV52"/>
      <c r="OSW52"/>
      <c r="OSX52"/>
      <c r="OSY52"/>
      <c r="OSZ52"/>
      <c r="OTA52"/>
      <c r="OTB52"/>
      <c r="OTC52"/>
      <c r="OTD52"/>
      <c r="OTE52"/>
      <c r="OTF52"/>
      <c r="OTG52"/>
      <c r="OTH52"/>
      <c r="OTI52"/>
      <c r="OTJ52"/>
      <c r="OTK52"/>
      <c r="OTL52"/>
      <c r="OTM52"/>
      <c r="OTN52"/>
      <c r="OTO52"/>
      <c r="OTP52"/>
      <c r="OTQ52"/>
      <c r="OTR52"/>
      <c r="OTS52"/>
      <c r="OTT52"/>
      <c r="OTU52"/>
      <c r="OTV52"/>
      <c r="OTW52"/>
      <c r="OTX52"/>
      <c r="OTY52"/>
      <c r="OTZ52"/>
      <c r="OUA52"/>
      <c r="OUB52"/>
      <c r="OUC52"/>
      <c r="OUD52"/>
      <c r="OUE52"/>
      <c r="OUF52"/>
      <c r="OUG52"/>
      <c r="OUH52"/>
      <c r="OUI52"/>
      <c r="OUJ52"/>
      <c r="OUK52"/>
      <c r="OUL52"/>
      <c r="OUM52"/>
      <c r="OUN52"/>
      <c r="OUO52"/>
      <c r="OUP52"/>
      <c r="OUQ52"/>
      <c r="OUR52"/>
      <c r="OUS52"/>
      <c r="OUT52"/>
      <c r="OUU52"/>
      <c r="OUV52"/>
      <c r="OUW52"/>
      <c r="OUX52"/>
      <c r="OUY52"/>
      <c r="OUZ52"/>
      <c r="OVA52"/>
      <c r="OVB52"/>
      <c r="OVC52"/>
      <c r="OVD52"/>
      <c r="OVE52"/>
      <c r="OVF52"/>
      <c r="OVG52"/>
      <c r="OVH52"/>
      <c r="OVI52"/>
      <c r="OVJ52"/>
      <c r="OVK52"/>
      <c r="OVL52"/>
      <c r="OVM52"/>
      <c r="OVN52"/>
      <c r="OVO52"/>
      <c r="OVP52"/>
      <c r="OVQ52"/>
      <c r="OVR52"/>
      <c r="OVS52"/>
      <c r="OVT52"/>
      <c r="OVU52"/>
      <c r="OVV52"/>
      <c r="OVW52"/>
      <c r="OVX52"/>
      <c r="OVY52"/>
      <c r="OVZ52"/>
      <c r="OWA52"/>
      <c r="OWB52"/>
      <c r="OWC52"/>
      <c r="OWD52"/>
      <c r="OWE52"/>
      <c r="OWF52"/>
      <c r="OWG52"/>
      <c r="OWH52"/>
      <c r="OWI52"/>
      <c r="OWJ52"/>
      <c r="OWK52"/>
      <c r="OWL52"/>
      <c r="OWM52"/>
      <c r="OWN52"/>
      <c r="OWO52"/>
      <c r="OWP52"/>
      <c r="OWQ52"/>
      <c r="OWR52"/>
      <c r="OWS52"/>
      <c r="OWT52"/>
      <c r="OWU52"/>
      <c r="OWV52"/>
      <c r="OWW52"/>
      <c r="OWX52"/>
      <c r="OWY52"/>
      <c r="OWZ52"/>
      <c r="OXA52"/>
      <c r="OXB52"/>
      <c r="OXC52"/>
      <c r="OXD52"/>
      <c r="OXE52"/>
      <c r="OXF52"/>
      <c r="OXG52"/>
      <c r="OXH52"/>
      <c r="OXI52"/>
      <c r="OXJ52"/>
      <c r="OXK52"/>
      <c r="OXL52"/>
      <c r="OXM52"/>
      <c r="OXN52"/>
      <c r="OXO52"/>
      <c r="OXP52"/>
      <c r="OXQ52"/>
      <c r="OXR52"/>
      <c r="OXS52"/>
      <c r="OXT52"/>
      <c r="OXU52"/>
      <c r="OXV52"/>
      <c r="OXW52"/>
      <c r="OXX52"/>
      <c r="OXY52"/>
      <c r="OXZ52"/>
      <c r="OYA52"/>
      <c r="OYB52"/>
      <c r="OYC52"/>
      <c r="OYD52"/>
      <c r="OYE52"/>
      <c r="OYF52"/>
      <c r="OYG52"/>
      <c r="OYH52"/>
      <c r="OYI52"/>
      <c r="OYJ52"/>
      <c r="OYK52"/>
      <c r="OYL52"/>
      <c r="OYM52"/>
      <c r="OYN52"/>
      <c r="OYO52"/>
      <c r="OYP52"/>
      <c r="OYQ52"/>
      <c r="OYR52"/>
      <c r="OYS52"/>
      <c r="OYT52"/>
      <c r="OYU52"/>
      <c r="OYV52"/>
      <c r="OYW52"/>
      <c r="OYX52"/>
      <c r="OYY52"/>
      <c r="OYZ52"/>
      <c r="OZA52"/>
      <c r="OZB52"/>
      <c r="OZC52"/>
      <c r="OZD52"/>
      <c r="OZE52"/>
      <c r="OZF52"/>
      <c r="OZG52"/>
      <c r="OZH52"/>
      <c r="OZI52"/>
      <c r="OZJ52"/>
      <c r="OZK52"/>
      <c r="OZL52"/>
      <c r="OZM52"/>
      <c r="OZN52"/>
      <c r="OZO52"/>
      <c r="OZP52"/>
      <c r="OZQ52"/>
      <c r="OZR52"/>
      <c r="OZS52"/>
      <c r="OZT52"/>
      <c r="OZU52"/>
      <c r="OZV52"/>
      <c r="OZW52"/>
      <c r="OZX52"/>
      <c r="OZY52"/>
      <c r="OZZ52"/>
      <c r="PAA52"/>
      <c r="PAB52"/>
      <c r="PAC52"/>
      <c r="PAD52"/>
      <c r="PAE52"/>
      <c r="PAF52"/>
      <c r="PAG52"/>
      <c r="PAH52"/>
      <c r="PAI52"/>
      <c r="PAJ52"/>
      <c r="PAK52"/>
      <c r="PAL52"/>
      <c r="PAM52"/>
      <c r="PAN52"/>
      <c r="PAO52"/>
      <c r="PAP52"/>
      <c r="PAQ52"/>
      <c r="PAR52"/>
      <c r="PAS52"/>
      <c r="PAT52"/>
      <c r="PAU52"/>
      <c r="PAV52"/>
      <c r="PAW52"/>
      <c r="PAX52"/>
      <c r="PAY52"/>
      <c r="PAZ52"/>
      <c r="PBA52"/>
      <c r="PBB52"/>
      <c r="PBC52"/>
      <c r="PBD52"/>
      <c r="PBE52"/>
      <c r="PBF52"/>
      <c r="PBG52"/>
      <c r="PBH52"/>
      <c r="PBI52"/>
      <c r="PBJ52"/>
      <c r="PBK52"/>
      <c r="PBL52"/>
      <c r="PBM52"/>
      <c r="PBN52"/>
      <c r="PBO52"/>
      <c r="PBP52"/>
      <c r="PBQ52"/>
      <c r="PBR52"/>
      <c r="PBS52"/>
      <c r="PBT52"/>
      <c r="PBU52"/>
      <c r="PBV52"/>
      <c r="PBW52"/>
      <c r="PBX52"/>
      <c r="PBY52"/>
      <c r="PBZ52"/>
      <c r="PCA52"/>
      <c r="PCB52"/>
      <c r="PCC52"/>
      <c r="PCD52"/>
      <c r="PCE52"/>
      <c r="PCF52"/>
      <c r="PCG52"/>
      <c r="PCH52"/>
      <c r="PCI52"/>
      <c r="PCJ52"/>
      <c r="PCK52"/>
      <c r="PCL52"/>
      <c r="PCM52"/>
      <c r="PCN52"/>
      <c r="PCO52"/>
      <c r="PCP52"/>
      <c r="PCQ52"/>
      <c r="PCR52"/>
      <c r="PCS52"/>
      <c r="PCT52"/>
      <c r="PCU52"/>
      <c r="PCV52"/>
      <c r="PCW52"/>
      <c r="PCX52"/>
      <c r="PCY52"/>
      <c r="PCZ52"/>
      <c r="PDA52"/>
      <c r="PDB52"/>
      <c r="PDC52"/>
      <c r="PDD52"/>
      <c r="PDE52"/>
      <c r="PDF52"/>
      <c r="PDG52"/>
      <c r="PDH52"/>
      <c r="PDI52"/>
      <c r="PDJ52"/>
      <c r="PDK52"/>
      <c r="PDL52"/>
      <c r="PDM52"/>
      <c r="PDN52"/>
      <c r="PDO52"/>
      <c r="PDP52"/>
      <c r="PDQ52"/>
      <c r="PDR52"/>
      <c r="PDS52"/>
      <c r="PDT52"/>
      <c r="PDU52"/>
      <c r="PDV52"/>
      <c r="PDW52"/>
      <c r="PDX52"/>
      <c r="PDY52"/>
      <c r="PDZ52"/>
      <c r="PEA52"/>
      <c r="PEB52"/>
      <c r="PEC52"/>
      <c r="PED52"/>
      <c r="PEE52"/>
      <c r="PEF52"/>
      <c r="PEG52"/>
      <c r="PEH52"/>
      <c r="PEI52"/>
      <c r="PEJ52"/>
      <c r="PEK52"/>
      <c r="PEL52"/>
      <c r="PEM52"/>
      <c r="PEN52"/>
      <c r="PEO52"/>
      <c r="PEP52"/>
      <c r="PEQ52"/>
      <c r="PER52"/>
      <c r="PES52"/>
      <c r="PET52"/>
      <c r="PEU52"/>
      <c r="PEV52"/>
      <c r="PEW52"/>
      <c r="PEX52"/>
      <c r="PEY52"/>
      <c r="PEZ52"/>
      <c r="PFA52"/>
      <c r="PFB52"/>
      <c r="PFC52"/>
      <c r="PFD52"/>
      <c r="PFE52"/>
      <c r="PFF52"/>
      <c r="PFG52"/>
      <c r="PFH52"/>
      <c r="PFI52"/>
      <c r="PFJ52"/>
      <c r="PFK52"/>
      <c r="PFL52"/>
      <c r="PFM52"/>
      <c r="PFN52"/>
      <c r="PFO52"/>
      <c r="PFP52"/>
      <c r="PFQ52"/>
      <c r="PFR52"/>
      <c r="PFS52"/>
      <c r="PFT52"/>
      <c r="PFU52"/>
      <c r="PFV52"/>
      <c r="PFW52"/>
      <c r="PFX52"/>
      <c r="PFY52"/>
      <c r="PFZ52"/>
      <c r="PGA52"/>
      <c r="PGB52"/>
      <c r="PGC52"/>
      <c r="PGD52"/>
      <c r="PGE52"/>
      <c r="PGF52"/>
      <c r="PGG52"/>
      <c r="PGH52"/>
      <c r="PGI52"/>
      <c r="PGJ52"/>
      <c r="PGK52"/>
      <c r="PGL52"/>
      <c r="PGM52"/>
      <c r="PGN52"/>
      <c r="PGO52"/>
      <c r="PGP52"/>
      <c r="PGQ52"/>
      <c r="PGR52"/>
      <c r="PGS52"/>
      <c r="PGT52"/>
      <c r="PGU52"/>
      <c r="PGV52"/>
      <c r="PGW52"/>
      <c r="PGX52"/>
      <c r="PGY52"/>
      <c r="PGZ52"/>
      <c r="PHA52"/>
      <c r="PHB52"/>
      <c r="PHC52"/>
      <c r="PHD52"/>
      <c r="PHE52"/>
      <c r="PHF52"/>
      <c r="PHG52"/>
      <c r="PHH52"/>
      <c r="PHI52"/>
      <c r="PHJ52"/>
      <c r="PHK52"/>
      <c r="PHL52"/>
      <c r="PHM52"/>
      <c r="PHN52"/>
      <c r="PHO52"/>
      <c r="PHP52"/>
      <c r="PHQ52"/>
      <c r="PHR52"/>
      <c r="PHS52"/>
      <c r="PHT52"/>
      <c r="PHU52"/>
      <c r="PHV52"/>
      <c r="PHW52"/>
      <c r="PHX52"/>
      <c r="PHY52"/>
      <c r="PHZ52"/>
      <c r="PIA52"/>
      <c r="PIB52"/>
      <c r="PIC52"/>
      <c r="PID52"/>
      <c r="PIE52"/>
      <c r="PIF52"/>
      <c r="PIG52"/>
      <c r="PIH52"/>
      <c r="PII52"/>
      <c r="PIJ52"/>
      <c r="PIK52"/>
      <c r="PIL52"/>
      <c r="PIM52"/>
      <c r="PIN52"/>
      <c r="PIO52"/>
      <c r="PIP52"/>
      <c r="PIQ52"/>
      <c r="PIR52"/>
      <c r="PIS52"/>
      <c r="PIT52"/>
      <c r="PIU52"/>
      <c r="PIV52"/>
      <c r="PIW52"/>
      <c r="PIX52"/>
      <c r="PIY52"/>
      <c r="PIZ52"/>
      <c r="PJA52"/>
      <c r="PJB52"/>
      <c r="PJC52"/>
      <c r="PJD52"/>
      <c r="PJE52"/>
      <c r="PJF52"/>
      <c r="PJG52"/>
      <c r="PJH52"/>
      <c r="PJI52"/>
      <c r="PJJ52"/>
      <c r="PJK52"/>
      <c r="PJL52"/>
      <c r="PJM52"/>
      <c r="PJN52"/>
      <c r="PJO52"/>
      <c r="PJP52"/>
      <c r="PJQ52"/>
      <c r="PJR52"/>
      <c r="PJS52"/>
      <c r="PJT52"/>
      <c r="PJU52"/>
      <c r="PJV52"/>
      <c r="PJW52"/>
      <c r="PJX52"/>
      <c r="PJY52"/>
      <c r="PJZ52"/>
      <c r="PKA52"/>
      <c r="PKB52"/>
      <c r="PKC52"/>
      <c r="PKD52"/>
      <c r="PKE52"/>
      <c r="PKF52"/>
      <c r="PKG52"/>
      <c r="PKH52"/>
      <c r="PKI52"/>
      <c r="PKJ52"/>
      <c r="PKK52"/>
      <c r="PKL52"/>
      <c r="PKM52"/>
      <c r="PKN52"/>
      <c r="PKO52"/>
      <c r="PKP52"/>
      <c r="PKQ52"/>
      <c r="PKR52"/>
      <c r="PKS52"/>
      <c r="PKT52"/>
      <c r="PKU52"/>
      <c r="PKV52"/>
      <c r="PKW52"/>
      <c r="PKX52"/>
      <c r="PKY52"/>
      <c r="PKZ52"/>
      <c r="PLA52"/>
      <c r="PLB52"/>
      <c r="PLC52"/>
      <c r="PLD52"/>
      <c r="PLE52"/>
      <c r="PLF52"/>
      <c r="PLG52"/>
      <c r="PLH52"/>
      <c r="PLI52"/>
      <c r="PLJ52"/>
      <c r="PLK52"/>
      <c r="PLL52"/>
      <c r="PLM52"/>
      <c r="PLN52"/>
      <c r="PLO52"/>
      <c r="PLP52"/>
      <c r="PLQ52"/>
      <c r="PLR52"/>
      <c r="PLS52"/>
      <c r="PLT52"/>
      <c r="PLU52"/>
      <c r="PLV52"/>
      <c r="PLW52"/>
      <c r="PLX52"/>
      <c r="PLY52"/>
      <c r="PLZ52"/>
      <c r="PMA52"/>
      <c r="PMB52"/>
      <c r="PMC52"/>
      <c r="PMD52"/>
      <c r="PME52"/>
      <c r="PMF52"/>
      <c r="PMG52"/>
      <c r="PMH52"/>
      <c r="PMI52"/>
      <c r="PMJ52"/>
      <c r="PMK52"/>
      <c r="PML52"/>
      <c r="PMM52"/>
      <c r="PMN52"/>
      <c r="PMO52"/>
      <c r="PMP52"/>
      <c r="PMQ52"/>
      <c r="PMR52"/>
      <c r="PMS52"/>
      <c r="PMT52"/>
      <c r="PMU52"/>
      <c r="PMV52"/>
      <c r="PMW52"/>
      <c r="PMX52"/>
      <c r="PMY52"/>
      <c r="PMZ52"/>
      <c r="PNA52"/>
      <c r="PNB52"/>
      <c r="PNC52"/>
      <c r="PND52"/>
      <c r="PNE52"/>
      <c r="PNF52"/>
      <c r="PNG52"/>
      <c r="PNH52"/>
      <c r="PNI52"/>
      <c r="PNJ52"/>
      <c r="PNK52"/>
      <c r="PNL52"/>
      <c r="PNM52"/>
      <c r="PNN52"/>
      <c r="PNO52"/>
      <c r="PNP52"/>
      <c r="PNQ52"/>
      <c r="PNR52"/>
      <c r="PNS52"/>
      <c r="PNT52"/>
      <c r="PNU52"/>
      <c r="PNV52"/>
      <c r="PNW52"/>
      <c r="PNX52"/>
      <c r="PNY52"/>
      <c r="PNZ52"/>
      <c r="POA52"/>
      <c r="POB52"/>
      <c r="POC52"/>
      <c r="POD52"/>
      <c r="POE52"/>
      <c r="POF52"/>
      <c r="POG52"/>
      <c r="POH52"/>
      <c r="POI52"/>
      <c r="POJ52"/>
      <c r="POK52"/>
      <c r="POL52"/>
      <c r="POM52"/>
      <c r="PON52"/>
      <c r="POO52"/>
      <c r="POP52"/>
      <c r="POQ52"/>
      <c r="POR52"/>
      <c r="POS52"/>
      <c r="POT52"/>
      <c r="POU52"/>
      <c r="POV52"/>
      <c r="POW52"/>
      <c r="POX52"/>
      <c r="POY52"/>
      <c r="POZ52"/>
      <c r="PPA52"/>
      <c r="PPB52"/>
      <c r="PPC52"/>
      <c r="PPD52"/>
      <c r="PPE52"/>
      <c r="PPF52"/>
      <c r="PPG52"/>
      <c r="PPH52"/>
      <c r="PPI52"/>
      <c r="PPJ52"/>
      <c r="PPK52"/>
      <c r="PPL52"/>
      <c r="PPM52"/>
      <c r="PPN52"/>
      <c r="PPO52"/>
      <c r="PPP52"/>
      <c r="PPQ52"/>
      <c r="PPR52"/>
      <c r="PPS52"/>
      <c r="PPT52"/>
      <c r="PPU52"/>
      <c r="PPV52"/>
      <c r="PPW52"/>
      <c r="PPX52"/>
      <c r="PPY52"/>
      <c r="PPZ52"/>
      <c r="PQA52"/>
      <c r="PQB52"/>
      <c r="PQC52"/>
      <c r="PQD52"/>
      <c r="PQE52"/>
      <c r="PQF52"/>
      <c r="PQG52"/>
      <c r="PQH52"/>
      <c r="PQI52"/>
      <c r="PQJ52"/>
      <c r="PQK52"/>
      <c r="PQL52"/>
      <c r="PQM52"/>
      <c r="PQN52"/>
      <c r="PQO52"/>
      <c r="PQP52"/>
      <c r="PQQ52"/>
      <c r="PQR52"/>
      <c r="PQS52"/>
      <c r="PQT52"/>
      <c r="PQU52"/>
      <c r="PQV52"/>
      <c r="PQW52"/>
      <c r="PQX52"/>
      <c r="PQY52"/>
      <c r="PQZ52"/>
      <c r="PRA52"/>
      <c r="PRB52"/>
      <c r="PRC52"/>
      <c r="PRD52"/>
      <c r="PRE52"/>
      <c r="PRF52"/>
      <c r="PRG52"/>
      <c r="PRH52"/>
      <c r="PRI52"/>
      <c r="PRJ52"/>
      <c r="PRK52"/>
      <c r="PRL52"/>
      <c r="PRM52"/>
      <c r="PRN52"/>
      <c r="PRO52"/>
      <c r="PRP52"/>
      <c r="PRQ52"/>
      <c r="PRR52"/>
      <c r="PRS52"/>
      <c r="PRT52"/>
      <c r="PRU52"/>
      <c r="PRV52"/>
      <c r="PRW52"/>
      <c r="PRX52"/>
      <c r="PRY52"/>
      <c r="PRZ52"/>
      <c r="PSA52"/>
      <c r="PSB52"/>
      <c r="PSC52"/>
      <c r="PSD52"/>
      <c r="PSE52"/>
      <c r="PSF52"/>
      <c r="PSG52"/>
      <c r="PSH52"/>
      <c r="PSI52"/>
      <c r="PSJ52"/>
      <c r="PSK52"/>
      <c r="PSL52"/>
      <c r="PSM52"/>
      <c r="PSN52"/>
      <c r="PSO52"/>
      <c r="PSP52"/>
      <c r="PSQ52"/>
      <c r="PSR52"/>
      <c r="PSS52"/>
      <c r="PST52"/>
      <c r="PSU52"/>
      <c r="PSV52"/>
      <c r="PSW52"/>
      <c r="PSX52"/>
      <c r="PSY52"/>
      <c r="PSZ52"/>
      <c r="PTA52"/>
      <c r="PTB52"/>
      <c r="PTC52"/>
      <c r="PTD52"/>
      <c r="PTE52"/>
      <c r="PTF52"/>
      <c r="PTG52"/>
      <c r="PTH52"/>
      <c r="PTI52"/>
      <c r="PTJ52"/>
      <c r="PTK52"/>
      <c r="PTL52"/>
      <c r="PTM52"/>
      <c r="PTN52"/>
      <c r="PTO52"/>
      <c r="PTP52"/>
      <c r="PTQ52"/>
      <c r="PTR52"/>
      <c r="PTS52"/>
      <c r="PTT52"/>
      <c r="PTU52"/>
      <c r="PTV52"/>
      <c r="PTW52"/>
      <c r="PTX52"/>
      <c r="PTY52"/>
      <c r="PTZ52"/>
      <c r="PUA52"/>
      <c r="PUB52"/>
      <c r="PUC52"/>
      <c r="PUD52"/>
      <c r="PUE52"/>
      <c r="PUF52"/>
      <c r="PUG52"/>
      <c r="PUH52"/>
      <c r="PUI52"/>
      <c r="PUJ52"/>
      <c r="PUK52"/>
      <c r="PUL52"/>
      <c r="PUM52"/>
      <c r="PUN52"/>
      <c r="PUO52"/>
      <c r="PUP52"/>
      <c r="PUQ52"/>
      <c r="PUR52"/>
      <c r="PUS52"/>
      <c r="PUT52"/>
      <c r="PUU52"/>
      <c r="PUV52"/>
      <c r="PUW52"/>
      <c r="PUX52"/>
      <c r="PUY52"/>
      <c r="PUZ52"/>
      <c r="PVA52"/>
      <c r="PVB52"/>
      <c r="PVC52"/>
      <c r="PVD52"/>
      <c r="PVE52"/>
      <c r="PVF52"/>
      <c r="PVG52"/>
      <c r="PVH52"/>
      <c r="PVI52"/>
      <c r="PVJ52"/>
      <c r="PVK52"/>
      <c r="PVL52"/>
      <c r="PVM52"/>
      <c r="PVN52"/>
      <c r="PVO52"/>
      <c r="PVP52"/>
      <c r="PVQ52"/>
      <c r="PVR52"/>
      <c r="PVS52"/>
      <c r="PVT52"/>
      <c r="PVU52"/>
      <c r="PVV52"/>
      <c r="PVW52"/>
      <c r="PVX52"/>
      <c r="PVY52"/>
      <c r="PVZ52"/>
      <c r="PWA52"/>
      <c r="PWB52"/>
      <c r="PWC52"/>
      <c r="PWD52"/>
      <c r="PWE52"/>
      <c r="PWF52"/>
      <c r="PWG52"/>
      <c r="PWH52"/>
      <c r="PWI52"/>
      <c r="PWJ52"/>
      <c r="PWK52"/>
      <c r="PWL52"/>
      <c r="PWM52"/>
      <c r="PWN52"/>
      <c r="PWO52"/>
      <c r="PWP52"/>
      <c r="PWQ52"/>
      <c r="PWR52"/>
      <c r="PWS52"/>
      <c r="PWT52"/>
      <c r="PWU52"/>
      <c r="PWV52"/>
      <c r="PWW52"/>
      <c r="PWX52"/>
      <c r="PWY52"/>
      <c r="PWZ52"/>
      <c r="PXA52"/>
      <c r="PXB52"/>
      <c r="PXC52"/>
      <c r="PXD52"/>
      <c r="PXE52"/>
      <c r="PXF52"/>
      <c r="PXG52"/>
      <c r="PXH52"/>
      <c r="PXI52"/>
      <c r="PXJ52"/>
      <c r="PXK52"/>
      <c r="PXL52"/>
      <c r="PXM52"/>
      <c r="PXN52"/>
      <c r="PXO52"/>
      <c r="PXP52"/>
      <c r="PXQ52"/>
      <c r="PXR52"/>
      <c r="PXS52"/>
      <c r="PXT52"/>
      <c r="PXU52"/>
      <c r="PXV52"/>
      <c r="PXW52"/>
      <c r="PXX52"/>
      <c r="PXY52"/>
      <c r="PXZ52"/>
      <c r="PYA52"/>
      <c r="PYB52"/>
      <c r="PYC52"/>
      <c r="PYD52"/>
      <c r="PYE52"/>
      <c r="PYF52"/>
      <c r="PYG52"/>
      <c r="PYH52"/>
      <c r="PYI52"/>
      <c r="PYJ52"/>
      <c r="PYK52"/>
      <c r="PYL52"/>
      <c r="PYM52"/>
      <c r="PYN52"/>
      <c r="PYO52"/>
      <c r="PYP52"/>
      <c r="PYQ52"/>
      <c r="PYR52"/>
      <c r="PYS52"/>
      <c r="PYT52"/>
      <c r="PYU52"/>
      <c r="PYV52"/>
      <c r="PYW52"/>
      <c r="PYX52"/>
      <c r="PYY52"/>
      <c r="PYZ52"/>
      <c r="PZA52"/>
      <c r="PZB52"/>
      <c r="PZC52"/>
      <c r="PZD52"/>
      <c r="PZE52"/>
      <c r="PZF52"/>
      <c r="PZG52"/>
      <c r="PZH52"/>
      <c r="PZI52"/>
      <c r="PZJ52"/>
      <c r="PZK52"/>
      <c r="PZL52"/>
      <c r="PZM52"/>
      <c r="PZN52"/>
      <c r="PZO52"/>
      <c r="PZP52"/>
      <c r="PZQ52"/>
      <c r="PZR52"/>
      <c r="PZS52"/>
      <c r="PZT52"/>
      <c r="PZU52"/>
      <c r="PZV52"/>
      <c r="PZW52"/>
      <c r="PZX52"/>
      <c r="PZY52"/>
      <c r="PZZ52"/>
      <c r="QAA52"/>
      <c r="QAB52"/>
      <c r="QAC52"/>
      <c r="QAD52"/>
      <c r="QAE52"/>
      <c r="QAF52"/>
      <c r="QAG52"/>
      <c r="QAH52"/>
      <c r="QAI52"/>
      <c r="QAJ52"/>
      <c r="QAK52"/>
      <c r="QAL52"/>
      <c r="QAM52"/>
      <c r="QAN52"/>
      <c r="QAO52"/>
      <c r="QAP52"/>
      <c r="QAQ52"/>
      <c r="QAR52"/>
      <c r="QAS52"/>
      <c r="QAT52"/>
      <c r="QAU52"/>
      <c r="QAV52"/>
      <c r="QAW52"/>
      <c r="QAX52"/>
      <c r="QAY52"/>
      <c r="QAZ52"/>
      <c r="QBA52"/>
      <c r="QBB52"/>
      <c r="QBC52"/>
      <c r="QBD52"/>
      <c r="QBE52"/>
      <c r="QBF52"/>
      <c r="QBG52"/>
      <c r="QBH52"/>
      <c r="QBI52"/>
      <c r="QBJ52"/>
      <c r="QBK52"/>
      <c r="QBL52"/>
      <c r="QBM52"/>
      <c r="QBN52"/>
      <c r="QBO52"/>
      <c r="QBP52"/>
      <c r="QBQ52"/>
      <c r="QBR52"/>
      <c r="QBS52"/>
      <c r="QBT52"/>
      <c r="QBU52"/>
      <c r="QBV52"/>
      <c r="QBW52"/>
      <c r="QBX52"/>
      <c r="QBY52"/>
      <c r="QBZ52"/>
      <c r="QCA52"/>
      <c r="QCB52"/>
      <c r="QCC52"/>
      <c r="QCD52"/>
      <c r="QCE52"/>
      <c r="QCF52"/>
      <c r="QCG52"/>
      <c r="QCH52"/>
      <c r="QCI52"/>
      <c r="QCJ52"/>
      <c r="QCK52"/>
      <c r="QCL52"/>
      <c r="QCM52"/>
      <c r="QCN52"/>
      <c r="QCO52"/>
      <c r="QCP52"/>
      <c r="QCQ52"/>
      <c r="QCR52"/>
      <c r="QCS52"/>
      <c r="QCT52"/>
      <c r="QCU52"/>
      <c r="QCV52"/>
      <c r="QCW52"/>
      <c r="QCX52"/>
      <c r="QCY52"/>
      <c r="QCZ52"/>
      <c r="QDA52"/>
      <c r="QDB52"/>
      <c r="QDC52"/>
      <c r="QDD52"/>
      <c r="QDE52"/>
      <c r="QDF52"/>
      <c r="QDG52"/>
      <c r="QDH52"/>
      <c r="QDI52"/>
      <c r="QDJ52"/>
      <c r="QDK52"/>
      <c r="QDL52"/>
      <c r="QDM52"/>
      <c r="QDN52"/>
      <c r="QDO52"/>
      <c r="QDP52"/>
      <c r="QDQ52"/>
      <c r="QDR52"/>
      <c r="QDS52"/>
      <c r="QDT52"/>
      <c r="QDU52"/>
      <c r="QDV52"/>
      <c r="QDW52"/>
      <c r="QDX52"/>
      <c r="QDY52"/>
      <c r="QDZ52"/>
      <c r="QEA52"/>
      <c r="QEB52"/>
      <c r="QEC52"/>
      <c r="QED52"/>
      <c r="QEE52"/>
      <c r="QEF52"/>
      <c r="QEG52"/>
      <c r="QEH52"/>
      <c r="QEI52"/>
      <c r="QEJ52"/>
      <c r="QEK52"/>
      <c r="QEL52"/>
      <c r="QEM52"/>
      <c r="QEN52"/>
      <c r="QEO52"/>
      <c r="QEP52"/>
      <c r="QEQ52"/>
      <c r="QER52"/>
      <c r="QES52"/>
      <c r="QET52"/>
      <c r="QEU52"/>
      <c r="QEV52"/>
      <c r="QEW52"/>
      <c r="QEX52"/>
      <c r="QEY52"/>
      <c r="QEZ52"/>
      <c r="QFA52"/>
      <c r="QFB52"/>
      <c r="QFC52"/>
      <c r="QFD52"/>
      <c r="QFE52"/>
      <c r="QFF52"/>
      <c r="QFG52"/>
      <c r="QFH52"/>
      <c r="QFI52"/>
      <c r="QFJ52"/>
      <c r="QFK52"/>
      <c r="QFL52"/>
      <c r="QFM52"/>
      <c r="QFN52"/>
      <c r="QFO52"/>
      <c r="QFP52"/>
      <c r="QFQ52"/>
      <c r="QFR52"/>
      <c r="QFS52"/>
      <c r="QFT52"/>
      <c r="QFU52"/>
      <c r="QFV52"/>
      <c r="QFW52"/>
      <c r="QFX52"/>
      <c r="QFY52"/>
      <c r="QFZ52"/>
      <c r="QGA52"/>
      <c r="QGB52"/>
      <c r="QGC52"/>
      <c r="QGD52"/>
      <c r="QGE52"/>
      <c r="QGF52"/>
      <c r="QGG52"/>
      <c r="QGH52"/>
      <c r="QGI52"/>
      <c r="QGJ52"/>
      <c r="QGK52"/>
      <c r="QGL52"/>
      <c r="QGM52"/>
      <c r="QGN52"/>
      <c r="QGO52"/>
      <c r="QGP52"/>
      <c r="QGQ52"/>
      <c r="QGR52"/>
      <c r="QGS52"/>
      <c r="QGT52"/>
      <c r="QGU52"/>
      <c r="QGV52"/>
      <c r="QGW52"/>
      <c r="QGX52"/>
      <c r="QGY52"/>
      <c r="QGZ52"/>
      <c r="QHA52"/>
      <c r="QHB52"/>
      <c r="QHC52"/>
      <c r="QHD52"/>
      <c r="QHE52"/>
      <c r="QHF52"/>
      <c r="QHG52"/>
      <c r="QHH52"/>
      <c r="QHI52"/>
      <c r="QHJ52"/>
      <c r="QHK52"/>
      <c r="QHL52"/>
      <c r="QHM52"/>
      <c r="QHN52"/>
      <c r="QHO52"/>
      <c r="QHP52"/>
      <c r="QHQ52"/>
      <c r="QHR52"/>
      <c r="QHS52"/>
      <c r="QHT52"/>
      <c r="QHU52"/>
      <c r="QHV52"/>
      <c r="QHW52"/>
      <c r="QHX52"/>
      <c r="QHY52"/>
      <c r="QHZ52"/>
      <c r="QIA52"/>
      <c r="QIB52"/>
      <c r="QIC52"/>
      <c r="QID52"/>
      <c r="QIE52"/>
      <c r="QIF52"/>
      <c r="QIG52"/>
      <c r="QIH52"/>
      <c r="QII52"/>
      <c r="QIJ52"/>
      <c r="QIK52"/>
      <c r="QIL52"/>
      <c r="QIM52"/>
      <c r="QIN52"/>
      <c r="QIO52"/>
      <c r="QIP52"/>
      <c r="QIQ52"/>
      <c r="QIR52"/>
      <c r="QIS52"/>
      <c r="QIT52"/>
      <c r="QIU52"/>
      <c r="QIV52"/>
      <c r="QIW52"/>
      <c r="QIX52"/>
      <c r="QIY52"/>
      <c r="QIZ52"/>
      <c r="QJA52"/>
      <c r="QJB52"/>
      <c r="QJC52"/>
      <c r="QJD52"/>
      <c r="QJE52"/>
      <c r="QJF52"/>
      <c r="QJG52"/>
      <c r="QJH52"/>
      <c r="QJI52"/>
      <c r="QJJ52"/>
      <c r="QJK52"/>
      <c r="QJL52"/>
      <c r="QJM52"/>
      <c r="QJN52"/>
      <c r="QJO52"/>
      <c r="QJP52"/>
      <c r="QJQ52"/>
      <c r="QJR52"/>
      <c r="QJS52"/>
      <c r="QJT52"/>
      <c r="QJU52"/>
      <c r="QJV52"/>
      <c r="QJW52"/>
      <c r="QJX52"/>
      <c r="QJY52"/>
      <c r="QJZ52"/>
      <c r="QKA52"/>
      <c r="QKB52"/>
      <c r="QKC52"/>
      <c r="QKD52"/>
      <c r="QKE52"/>
      <c r="QKF52"/>
      <c r="QKG52"/>
      <c r="QKH52"/>
      <c r="QKI52"/>
      <c r="QKJ52"/>
      <c r="QKK52"/>
      <c r="QKL52"/>
      <c r="QKM52"/>
      <c r="QKN52"/>
      <c r="QKO52"/>
      <c r="QKP52"/>
      <c r="QKQ52"/>
      <c r="QKR52"/>
      <c r="QKS52"/>
      <c r="QKT52"/>
      <c r="QKU52"/>
      <c r="QKV52"/>
      <c r="QKW52"/>
      <c r="QKX52"/>
      <c r="QKY52"/>
      <c r="QKZ52"/>
      <c r="QLA52"/>
      <c r="QLB52"/>
      <c r="QLC52"/>
      <c r="QLD52"/>
      <c r="QLE52"/>
      <c r="QLF52"/>
      <c r="QLG52"/>
      <c r="QLH52"/>
      <c r="QLI52"/>
      <c r="QLJ52"/>
      <c r="QLK52"/>
      <c r="QLL52"/>
      <c r="QLM52"/>
      <c r="QLN52"/>
      <c r="QLO52"/>
      <c r="QLP52"/>
      <c r="QLQ52"/>
      <c r="QLR52"/>
      <c r="QLS52"/>
      <c r="QLT52"/>
      <c r="QLU52"/>
      <c r="QLV52"/>
      <c r="QLW52"/>
      <c r="QLX52"/>
      <c r="QLY52"/>
      <c r="QLZ52"/>
      <c r="QMA52"/>
      <c r="QMB52"/>
      <c r="QMC52"/>
      <c r="QMD52"/>
      <c r="QME52"/>
      <c r="QMF52"/>
      <c r="QMG52"/>
      <c r="QMH52"/>
      <c r="QMI52"/>
      <c r="QMJ52"/>
      <c r="QMK52"/>
      <c r="QML52"/>
      <c r="QMM52"/>
      <c r="QMN52"/>
      <c r="QMO52"/>
      <c r="QMP52"/>
      <c r="QMQ52"/>
      <c r="QMR52"/>
      <c r="QMS52"/>
      <c r="QMT52"/>
      <c r="QMU52"/>
      <c r="QMV52"/>
      <c r="QMW52"/>
      <c r="QMX52"/>
      <c r="QMY52"/>
      <c r="QMZ52"/>
      <c r="QNA52"/>
      <c r="QNB52"/>
      <c r="QNC52"/>
      <c r="QND52"/>
      <c r="QNE52"/>
      <c r="QNF52"/>
      <c r="QNG52"/>
      <c r="QNH52"/>
      <c r="QNI52"/>
      <c r="QNJ52"/>
      <c r="QNK52"/>
      <c r="QNL52"/>
      <c r="QNM52"/>
      <c r="QNN52"/>
      <c r="QNO52"/>
      <c r="QNP52"/>
      <c r="QNQ52"/>
      <c r="QNR52"/>
      <c r="QNS52"/>
      <c r="QNT52"/>
      <c r="QNU52"/>
      <c r="QNV52"/>
      <c r="QNW52"/>
      <c r="QNX52"/>
      <c r="QNY52"/>
      <c r="QNZ52"/>
      <c r="QOA52"/>
      <c r="QOB52"/>
      <c r="QOC52"/>
      <c r="QOD52"/>
      <c r="QOE52"/>
      <c r="QOF52"/>
      <c r="QOG52"/>
      <c r="QOH52"/>
      <c r="QOI52"/>
      <c r="QOJ52"/>
      <c r="QOK52"/>
      <c r="QOL52"/>
      <c r="QOM52"/>
      <c r="QON52"/>
      <c r="QOO52"/>
      <c r="QOP52"/>
      <c r="QOQ52"/>
      <c r="QOR52"/>
      <c r="QOS52"/>
      <c r="QOT52"/>
      <c r="QOU52"/>
      <c r="QOV52"/>
      <c r="QOW52"/>
      <c r="QOX52"/>
      <c r="QOY52"/>
      <c r="QOZ52"/>
      <c r="QPA52"/>
      <c r="QPB52"/>
      <c r="QPC52"/>
      <c r="QPD52"/>
      <c r="QPE52"/>
      <c r="QPF52"/>
      <c r="QPG52"/>
      <c r="QPH52"/>
      <c r="QPI52"/>
      <c r="QPJ52"/>
      <c r="QPK52"/>
      <c r="QPL52"/>
      <c r="QPM52"/>
      <c r="QPN52"/>
      <c r="QPO52"/>
      <c r="QPP52"/>
      <c r="QPQ52"/>
      <c r="QPR52"/>
      <c r="QPS52"/>
      <c r="QPT52"/>
      <c r="QPU52"/>
      <c r="QPV52"/>
      <c r="QPW52"/>
      <c r="QPX52"/>
      <c r="QPY52"/>
      <c r="QPZ52"/>
      <c r="QQA52"/>
      <c r="QQB52"/>
      <c r="QQC52"/>
      <c r="QQD52"/>
      <c r="QQE52"/>
      <c r="QQF52"/>
      <c r="QQG52"/>
      <c r="QQH52"/>
      <c r="QQI52"/>
      <c r="QQJ52"/>
      <c r="QQK52"/>
      <c r="QQL52"/>
      <c r="QQM52"/>
      <c r="QQN52"/>
      <c r="QQO52"/>
      <c r="QQP52"/>
      <c r="QQQ52"/>
      <c r="QQR52"/>
      <c r="QQS52"/>
      <c r="QQT52"/>
      <c r="QQU52"/>
      <c r="QQV52"/>
      <c r="QQW52"/>
      <c r="QQX52"/>
      <c r="QQY52"/>
      <c r="QQZ52"/>
      <c r="QRA52"/>
      <c r="QRB52"/>
      <c r="QRC52"/>
      <c r="QRD52"/>
      <c r="QRE52"/>
      <c r="QRF52"/>
      <c r="QRG52"/>
      <c r="QRH52"/>
      <c r="QRI52"/>
      <c r="QRJ52"/>
      <c r="QRK52"/>
      <c r="QRL52"/>
      <c r="QRM52"/>
      <c r="QRN52"/>
      <c r="QRO52"/>
      <c r="QRP52"/>
      <c r="QRQ52"/>
      <c r="QRR52"/>
      <c r="QRS52"/>
      <c r="QRT52"/>
      <c r="QRU52"/>
      <c r="QRV52"/>
      <c r="QRW52"/>
      <c r="QRX52"/>
      <c r="QRY52"/>
      <c r="QRZ52"/>
      <c r="QSA52"/>
      <c r="QSB52"/>
      <c r="QSC52"/>
      <c r="QSD52"/>
      <c r="QSE52"/>
      <c r="QSF52"/>
      <c r="QSG52"/>
      <c r="QSH52"/>
      <c r="QSI52"/>
      <c r="QSJ52"/>
      <c r="QSK52"/>
      <c r="QSL52"/>
      <c r="QSM52"/>
      <c r="QSN52"/>
      <c r="QSO52"/>
      <c r="QSP52"/>
      <c r="QSQ52"/>
      <c r="QSR52"/>
      <c r="QSS52"/>
      <c r="QST52"/>
      <c r="QSU52"/>
      <c r="QSV52"/>
      <c r="QSW52"/>
      <c r="QSX52"/>
      <c r="QSY52"/>
      <c r="QSZ52"/>
      <c r="QTA52"/>
      <c r="QTB52"/>
      <c r="QTC52"/>
      <c r="QTD52"/>
      <c r="QTE52"/>
      <c r="QTF52"/>
      <c r="QTG52"/>
      <c r="QTH52"/>
      <c r="QTI52"/>
      <c r="QTJ52"/>
      <c r="QTK52"/>
      <c r="QTL52"/>
      <c r="QTM52"/>
      <c r="QTN52"/>
      <c r="QTO52"/>
      <c r="QTP52"/>
      <c r="QTQ52"/>
      <c r="QTR52"/>
      <c r="QTS52"/>
      <c r="QTT52"/>
      <c r="QTU52"/>
      <c r="QTV52"/>
      <c r="QTW52"/>
      <c r="QTX52"/>
      <c r="QTY52"/>
      <c r="QTZ52"/>
      <c r="QUA52"/>
      <c r="QUB52"/>
      <c r="QUC52"/>
      <c r="QUD52"/>
      <c r="QUE52"/>
      <c r="QUF52"/>
      <c r="QUG52"/>
      <c r="QUH52"/>
      <c r="QUI52"/>
      <c r="QUJ52"/>
      <c r="QUK52"/>
      <c r="QUL52"/>
      <c r="QUM52"/>
      <c r="QUN52"/>
      <c r="QUO52"/>
      <c r="QUP52"/>
      <c r="QUQ52"/>
      <c r="QUR52"/>
      <c r="QUS52"/>
      <c r="QUT52"/>
      <c r="QUU52"/>
      <c r="QUV52"/>
      <c r="QUW52"/>
      <c r="QUX52"/>
      <c r="QUY52"/>
      <c r="QUZ52"/>
      <c r="QVA52"/>
      <c r="QVB52"/>
      <c r="QVC52"/>
      <c r="QVD52"/>
      <c r="QVE52"/>
      <c r="QVF52"/>
      <c r="QVG52"/>
      <c r="QVH52"/>
      <c r="QVI52"/>
      <c r="QVJ52"/>
      <c r="QVK52"/>
      <c r="QVL52"/>
      <c r="QVM52"/>
      <c r="QVN52"/>
      <c r="QVO52"/>
      <c r="QVP52"/>
      <c r="QVQ52"/>
      <c r="QVR52"/>
      <c r="QVS52"/>
      <c r="QVT52"/>
      <c r="QVU52"/>
      <c r="QVV52"/>
      <c r="QVW52"/>
      <c r="QVX52"/>
      <c r="QVY52"/>
      <c r="QVZ52"/>
      <c r="QWA52"/>
      <c r="QWB52"/>
      <c r="QWC52"/>
      <c r="QWD52"/>
      <c r="QWE52"/>
      <c r="QWF52"/>
      <c r="QWG52"/>
      <c r="QWH52"/>
      <c r="QWI52"/>
      <c r="QWJ52"/>
      <c r="QWK52"/>
      <c r="QWL52"/>
      <c r="QWM52"/>
      <c r="QWN52"/>
      <c r="QWO52"/>
      <c r="QWP52"/>
      <c r="QWQ52"/>
      <c r="QWR52"/>
      <c r="QWS52"/>
      <c r="QWT52"/>
      <c r="QWU52"/>
      <c r="QWV52"/>
      <c r="QWW52"/>
      <c r="QWX52"/>
      <c r="QWY52"/>
      <c r="QWZ52"/>
      <c r="QXA52"/>
      <c r="QXB52"/>
      <c r="QXC52"/>
      <c r="QXD52"/>
      <c r="QXE52"/>
      <c r="QXF52"/>
      <c r="QXG52"/>
      <c r="QXH52"/>
      <c r="QXI52"/>
      <c r="QXJ52"/>
      <c r="QXK52"/>
      <c r="QXL52"/>
      <c r="QXM52"/>
      <c r="QXN52"/>
      <c r="QXO52"/>
      <c r="QXP52"/>
      <c r="QXQ52"/>
      <c r="QXR52"/>
      <c r="QXS52"/>
      <c r="QXT52"/>
      <c r="QXU52"/>
      <c r="QXV52"/>
      <c r="QXW52"/>
      <c r="QXX52"/>
      <c r="QXY52"/>
      <c r="QXZ52"/>
      <c r="QYA52"/>
      <c r="QYB52"/>
      <c r="QYC52"/>
      <c r="QYD52"/>
      <c r="QYE52"/>
      <c r="QYF52"/>
      <c r="QYG52"/>
      <c r="QYH52"/>
      <c r="QYI52"/>
      <c r="QYJ52"/>
      <c r="QYK52"/>
      <c r="QYL52"/>
      <c r="QYM52"/>
      <c r="QYN52"/>
      <c r="QYO52"/>
      <c r="QYP52"/>
      <c r="QYQ52"/>
      <c r="QYR52"/>
      <c r="QYS52"/>
      <c r="QYT52"/>
      <c r="QYU52"/>
      <c r="QYV52"/>
      <c r="QYW52"/>
      <c r="QYX52"/>
      <c r="QYY52"/>
      <c r="QYZ52"/>
      <c r="QZA52"/>
      <c r="QZB52"/>
      <c r="QZC52"/>
      <c r="QZD52"/>
      <c r="QZE52"/>
      <c r="QZF52"/>
      <c r="QZG52"/>
      <c r="QZH52"/>
      <c r="QZI52"/>
      <c r="QZJ52"/>
      <c r="QZK52"/>
      <c r="QZL52"/>
      <c r="QZM52"/>
      <c r="QZN52"/>
      <c r="QZO52"/>
      <c r="QZP52"/>
      <c r="QZQ52"/>
      <c r="QZR52"/>
      <c r="QZS52"/>
      <c r="QZT52"/>
      <c r="QZU52"/>
      <c r="QZV52"/>
      <c r="QZW52"/>
      <c r="QZX52"/>
      <c r="QZY52"/>
      <c r="QZZ52"/>
      <c r="RAA52"/>
      <c r="RAB52"/>
      <c r="RAC52"/>
      <c r="RAD52"/>
      <c r="RAE52"/>
      <c r="RAF52"/>
      <c r="RAG52"/>
      <c r="RAH52"/>
      <c r="RAI52"/>
      <c r="RAJ52"/>
      <c r="RAK52"/>
      <c r="RAL52"/>
      <c r="RAM52"/>
      <c r="RAN52"/>
      <c r="RAO52"/>
      <c r="RAP52"/>
      <c r="RAQ52"/>
      <c r="RAR52"/>
      <c r="RAS52"/>
      <c r="RAT52"/>
      <c r="RAU52"/>
      <c r="RAV52"/>
      <c r="RAW52"/>
      <c r="RAX52"/>
      <c r="RAY52"/>
      <c r="RAZ52"/>
      <c r="RBA52"/>
      <c r="RBB52"/>
      <c r="RBC52"/>
      <c r="RBD52"/>
      <c r="RBE52"/>
      <c r="RBF52"/>
      <c r="RBG52"/>
      <c r="RBH52"/>
      <c r="RBI52"/>
      <c r="RBJ52"/>
      <c r="RBK52"/>
      <c r="RBL52"/>
      <c r="RBM52"/>
      <c r="RBN52"/>
      <c r="RBO52"/>
      <c r="RBP52"/>
      <c r="RBQ52"/>
      <c r="RBR52"/>
      <c r="RBS52"/>
      <c r="RBT52"/>
      <c r="RBU52"/>
      <c r="RBV52"/>
      <c r="RBW52"/>
      <c r="RBX52"/>
      <c r="RBY52"/>
      <c r="RBZ52"/>
      <c r="RCA52"/>
      <c r="RCB52"/>
      <c r="RCC52"/>
      <c r="RCD52"/>
      <c r="RCE52"/>
      <c r="RCF52"/>
      <c r="RCG52"/>
      <c r="RCH52"/>
      <c r="RCI52"/>
      <c r="RCJ52"/>
      <c r="RCK52"/>
      <c r="RCL52"/>
      <c r="RCM52"/>
      <c r="RCN52"/>
      <c r="RCO52"/>
      <c r="RCP52"/>
      <c r="RCQ52"/>
      <c r="RCR52"/>
      <c r="RCS52"/>
      <c r="RCT52"/>
      <c r="RCU52"/>
      <c r="RCV52"/>
      <c r="RCW52"/>
      <c r="RCX52"/>
      <c r="RCY52"/>
      <c r="RCZ52"/>
      <c r="RDA52"/>
      <c r="RDB52"/>
      <c r="RDC52"/>
      <c r="RDD52"/>
      <c r="RDE52"/>
      <c r="RDF52"/>
      <c r="RDG52"/>
      <c r="RDH52"/>
      <c r="RDI52"/>
      <c r="RDJ52"/>
      <c r="RDK52"/>
      <c r="RDL52"/>
      <c r="RDM52"/>
      <c r="RDN52"/>
      <c r="RDO52"/>
      <c r="RDP52"/>
      <c r="RDQ52"/>
      <c r="RDR52"/>
      <c r="RDS52"/>
      <c r="RDT52"/>
      <c r="RDU52"/>
      <c r="RDV52"/>
      <c r="RDW52"/>
      <c r="RDX52"/>
      <c r="RDY52"/>
      <c r="RDZ52"/>
      <c r="REA52"/>
      <c r="REB52"/>
      <c r="REC52"/>
      <c r="RED52"/>
      <c r="REE52"/>
      <c r="REF52"/>
      <c r="REG52"/>
      <c r="REH52"/>
      <c r="REI52"/>
      <c r="REJ52"/>
      <c r="REK52"/>
      <c r="REL52"/>
      <c r="REM52"/>
      <c r="REN52"/>
      <c r="REO52"/>
      <c r="REP52"/>
      <c r="REQ52"/>
      <c r="RER52"/>
      <c r="RES52"/>
      <c r="RET52"/>
      <c r="REU52"/>
      <c r="REV52"/>
      <c r="REW52"/>
      <c r="REX52"/>
      <c r="REY52"/>
      <c r="REZ52"/>
      <c r="RFA52"/>
      <c r="RFB52"/>
      <c r="RFC52"/>
      <c r="RFD52"/>
      <c r="RFE52"/>
      <c r="RFF52"/>
      <c r="RFG52"/>
      <c r="RFH52"/>
      <c r="RFI52"/>
      <c r="RFJ52"/>
      <c r="RFK52"/>
      <c r="RFL52"/>
      <c r="RFM52"/>
      <c r="RFN52"/>
      <c r="RFO52"/>
      <c r="RFP52"/>
      <c r="RFQ52"/>
      <c r="RFR52"/>
      <c r="RFS52"/>
      <c r="RFT52"/>
      <c r="RFU52"/>
      <c r="RFV52"/>
      <c r="RFW52"/>
      <c r="RFX52"/>
      <c r="RFY52"/>
      <c r="RFZ52"/>
      <c r="RGA52"/>
      <c r="RGB52"/>
      <c r="RGC52"/>
      <c r="RGD52"/>
      <c r="RGE52"/>
      <c r="RGF52"/>
      <c r="RGG52"/>
      <c r="RGH52"/>
      <c r="RGI52"/>
      <c r="RGJ52"/>
      <c r="RGK52"/>
      <c r="RGL52"/>
      <c r="RGM52"/>
      <c r="RGN52"/>
      <c r="RGO52"/>
      <c r="RGP52"/>
      <c r="RGQ52"/>
      <c r="RGR52"/>
      <c r="RGS52"/>
      <c r="RGT52"/>
      <c r="RGU52"/>
      <c r="RGV52"/>
      <c r="RGW52"/>
      <c r="RGX52"/>
      <c r="RGY52"/>
      <c r="RGZ52"/>
      <c r="RHA52"/>
      <c r="RHB52"/>
      <c r="RHC52"/>
      <c r="RHD52"/>
      <c r="RHE52"/>
      <c r="RHF52"/>
      <c r="RHG52"/>
      <c r="RHH52"/>
      <c r="RHI52"/>
      <c r="RHJ52"/>
      <c r="RHK52"/>
      <c r="RHL52"/>
      <c r="RHM52"/>
      <c r="RHN52"/>
      <c r="RHO52"/>
      <c r="RHP52"/>
      <c r="RHQ52"/>
      <c r="RHR52"/>
      <c r="RHS52"/>
      <c r="RHT52"/>
      <c r="RHU52"/>
      <c r="RHV52"/>
      <c r="RHW52"/>
      <c r="RHX52"/>
      <c r="RHY52"/>
      <c r="RHZ52"/>
      <c r="RIA52"/>
      <c r="RIB52"/>
      <c r="RIC52"/>
      <c r="RID52"/>
      <c r="RIE52"/>
      <c r="RIF52"/>
      <c r="RIG52"/>
      <c r="RIH52"/>
      <c r="RII52"/>
      <c r="RIJ52"/>
      <c r="RIK52"/>
      <c r="RIL52"/>
      <c r="RIM52"/>
      <c r="RIN52"/>
      <c r="RIO52"/>
      <c r="RIP52"/>
      <c r="RIQ52"/>
      <c r="RIR52"/>
      <c r="RIS52"/>
      <c r="RIT52"/>
      <c r="RIU52"/>
      <c r="RIV52"/>
      <c r="RIW52"/>
      <c r="RIX52"/>
      <c r="RIY52"/>
      <c r="RIZ52"/>
      <c r="RJA52"/>
      <c r="RJB52"/>
      <c r="RJC52"/>
      <c r="RJD52"/>
      <c r="RJE52"/>
      <c r="RJF52"/>
      <c r="RJG52"/>
      <c r="RJH52"/>
      <c r="RJI52"/>
      <c r="RJJ52"/>
      <c r="RJK52"/>
      <c r="RJL52"/>
      <c r="RJM52"/>
      <c r="RJN52"/>
      <c r="RJO52"/>
      <c r="RJP52"/>
      <c r="RJQ52"/>
      <c r="RJR52"/>
      <c r="RJS52"/>
      <c r="RJT52"/>
      <c r="RJU52"/>
      <c r="RJV52"/>
      <c r="RJW52"/>
      <c r="RJX52"/>
      <c r="RJY52"/>
      <c r="RJZ52"/>
      <c r="RKA52"/>
      <c r="RKB52"/>
      <c r="RKC52"/>
      <c r="RKD52"/>
      <c r="RKE52"/>
      <c r="RKF52"/>
      <c r="RKG52"/>
      <c r="RKH52"/>
      <c r="RKI52"/>
      <c r="RKJ52"/>
      <c r="RKK52"/>
      <c r="RKL52"/>
      <c r="RKM52"/>
      <c r="RKN52"/>
      <c r="RKO52"/>
      <c r="RKP52"/>
      <c r="RKQ52"/>
      <c r="RKR52"/>
      <c r="RKS52"/>
      <c r="RKT52"/>
      <c r="RKU52"/>
      <c r="RKV52"/>
      <c r="RKW52"/>
      <c r="RKX52"/>
      <c r="RKY52"/>
      <c r="RKZ52"/>
      <c r="RLA52"/>
      <c r="RLB52"/>
      <c r="RLC52"/>
      <c r="RLD52"/>
      <c r="RLE52"/>
      <c r="RLF52"/>
      <c r="RLG52"/>
      <c r="RLH52"/>
      <c r="RLI52"/>
      <c r="RLJ52"/>
      <c r="RLK52"/>
      <c r="RLL52"/>
      <c r="RLM52"/>
      <c r="RLN52"/>
      <c r="RLO52"/>
      <c r="RLP52"/>
      <c r="RLQ52"/>
      <c r="RLR52"/>
      <c r="RLS52"/>
      <c r="RLT52"/>
      <c r="RLU52"/>
      <c r="RLV52"/>
      <c r="RLW52"/>
      <c r="RLX52"/>
      <c r="RLY52"/>
      <c r="RLZ52"/>
      <c r="RMA52"/>
      <c r="RMB52"/>
      <c r="RMC52"/>
      <c r="RMD52"/>
      <c r="RME52"/>
      <c r="RMF52"/>
      <c r="RMG52"/>
      <c r="RMH52"/>
      <c r="RMI52"/>
      <c r="RMJ52"/>
      <c r="RMK52"/>
      <c r="RML52"/>
      <c r="RMM52"/>
      <c r="RMN52"/>
      <c r="RMO52"/>
      <c r="RMP52"/>
      <c r="RMQ52"/>
      <c r="RMR52"/>
      <c r="RMS52"/>
      <c r="RMT52"/>
      <c r="RMU52"/>
      <c r="RMV52"/>
      <c r="RMW52"/>
      <c r="RMX52"/>
      <c r="RMY52"/>
      <c r="RMZ52"/>
      <c r="RNA52"/>
      <c r="RNB52"/>
      <c r="RNC52"/>
      <c r="RND52"/>
      <c r="RNE52"/>
      <c r="RNF52"/>
      <c r="RNG52"/>
      <c r="RNH52"/>
      <c r="RNI52"/>
      <c r="RNJ52"/>
      <c r="RNK52"/>
      <c r="RNL52"/>
      <c r="RNM52"/>
      <c r="RNN52"/>
      <c r="RNO52"/>
      <c r="RNP52"/>
      <c r="RNQ52"/>
      <c r="RNR52"/>
      <c r="RNS52"/>
      <c r="RNT52"/>
      <c r="RNU52"/>
      <c r="RNV52"/>
      <c r="RNW52"/>
      <c r="RNX52"/>
      <c r="RNY52"/>
      <c r="RNZ52"/>
      <c r="ROA52"/>
      <c r="ROB52"/>
      <c r="ROC52"/>
      <c r="ROD52"/>
      <c r="ROE52"/>
      <c r="ROF52"/>
      <c r="ROG52"/>
      <c r="ROH52"/>
      <c r="ROI52"/>
      <c r="ROJ52"/>
      <c r="ROK52"/>
      <c r="ROL52"/>
      <c r="ROM52"/>
      <c r="RON52"/>
      <c r="ROO52"/>
      <c r="ROP52"/>
      <c r="ROQ52"/>
      <c r="ROR52"/>
      <c r="ROS52"/>
      <c r="ROT52"/>
      <c r="ROU52"/>
      <c r="ROV52"/>
      <c r="ROW52"/>
      <c r="ROX52"/>
      <c r="ROY52"/>
      <c r="ROZ52"/>
      <c r="RPA52"/>
      <c r="RPB52"/>
      <c r="RPC52"/>
      <c r="RPD52"/>
      <c r="RPE52"/>
      <c r="RPF52"/>
      <c r="RPG52"/>
      <c r="RPH52"/>
      <c r="RPI52"/>
      <c r="RPJ52"/>
      <c r="RPK52"/>
      <c r="RPL52"/>
      <c r="RPM52"/>
      <c r="RPN52"/>
      <c r="RPO52"/>
      <c r="RPP52"/>
      <c r="RPQ52"/>
      <c r="RPR52"/>
      <c r="RPS52"/>
      <c r="RPT52"/>
      <c r="RPU52"/>
      <c r="RPV52"/>
      <c r="RPW52"/>
      <c r="RPX52"/>
      <c r="RPY52"/>
      <c r="RPZ52"/>
      <c r="RQA52"/>
      <c r="RQB52"/>
      <c r="RQC52"/>
      <c r="RQD52"/>
      <c r="RQE52"/>
      <c r="RQF52"/>
      <c r="RQG52"/>
      <c r="RQH52"/>
      <c r="RQI52"/>
      <c r="RQJ52"/>
      <c r="RQK52"/>
      <c r="RQL52"/>
      <c r="RQM52"/>
      <c r="RQN52"/>
      <c r="RQO52"/>
      <c r="RQP52"/>
      <c r="RQQ52"/>
      <c r="RQR52"/>
      <c r="RQS52"/>
      <c r="RQT52"/>
      <c r="RQU52"/>
      <c r="RQV52"/>
      <c r="RQW52"/>
      <c r="RQX52"/>
      <c r="RQY52"/>
      <c r="RQZ52"/>
      <c r="RRA52"/>
      <c r="RRB52"/>
      <c r="RRC52"/>
      <c r="RRD52"/>
      <c r="RRE52"/>
      <c r="RRF52"/>
      <c r="RRG52"/>
      <c r="RRH52"/>
      <c r="RRI52"/>
      <c r="RRJ52"/>
      <c r="RRK52"/>
      <c r="RRL52"/>
      <c r="RRM52"/>
      <c r="RRN52"/>
      <c r="RRO52"/>
      <c r="RRP52"/>
      <c r="RRQ52"/>
      <c r="RRR52"/>
      <c r="RRS52"/>
      <c r="RRT52"/>
      <c r="RRU52"/>
      <c r="RRV52"/>
      <c r="RRW52"/>
      <c r="RRX52"/>
      <c r="RRY52"/>
      <c r="RRZ52"/>
      <c r="RSA52"/>
      <c r="RSB52"/>
      <c r="RSC52"/>
      <c r="RSD52"/>
      <c r="RSE52"/>
      <c r="RSF52"/>
      <c r="RSG52"/>
      <c r="RSH52"/>
      <c r="RSI52"/>
      <c r="RSJ52"/>
      <c r="RSK52"/>
      <c r="RSL52"/>
      <c r="RSM52"/>
      <c r="RSN52"/>
      <c r="RSO52"/>
      <c r="RSP52"/>
      <c r="RSQ52"/>
      <c r="RSR52"/>
      <c r="RSS52"/>
      <c r="RST52"/>
      <c r="RSU52"/>
      <c r="RSV52"/>
      <c r="RSW52"/>
      <c r="RSX52"/>
      <c r="RSY52"/>
      <c r="RSZ52"/>
      <c r="RTA52"/>
      <c r="RTB52"/>
      <c r="RTC52"/>
      <c r="RTD52"/>
      <c r="RTE52"/>
      <c r="RTF52"/>
      <c r="RTG52"/>
      <c r="RTH52"/>
      <c r="RTI52"/>
      <c r="RTJ52"/>
      <c r="RTK52"/>
      <c r="RTL52"/>
      <c r="RTM52"/>
      <c r="RTN52"/>
      <c r="RTO52"/>
      <c r="RTP52"/>
      <c r="RTQ52"/>
      <c r="RTR52"/>
      <c r="RTS52"/>
      <c r="RTT52"/>
      <c r="RTU52"/>
      <c r="RTV52"/>
      <c r="RTW52"/>
      <c r="RTX52"/>
      <c r="RTY52"/>
      <c r="RTZ52"/>
      <c r="RUA52"/>
      <c r="RUB52"/>
      <c r="RUC52"/>
      <c r="RUD52"/>
      <c r="RUE52"/>
      <c r="RUF52"/>
      <c r="RUG52"/>
      <c r="RUH52"/>
      <c r="RUI52"/>
      <c r="RUJ52"/>
      <c r="RUK52"/>
      <c r="RUL52"/>
      <c r="RUM52"/>
      <c r="RUN52"/>
      <c r="RUO52"/>
      <c r="RUP52"/>
      <c r="RUQ52"/>
      <c r="RUR52"/>
      <c r="RUS52"/>
      <c r="RUT52"/>
      <c r="RUU52"/>
      <c r="RUV52"/>
      <c r="RUW52"/>
      <c r="RUX52"/>
      <c r="RUY52"/>
      <c r="RUZ52"/>
      <c r="RVA52"/>
      <c r="RVB52"/>
      <c r="RVC52"/>
      <c r="RVD52"/>
      <c r="RVE52"/>
      <c r="RVF52"/>
      <c r="RVG52"/>
      <c r="RVH52"/>
      <c r="RVI52"/>
      <c r="RVJ52"/>
      <c r="RVK52"/>
      <c r="RVL52"/>
      <c r="RVM52"/>
      <c r="RVN52"/>
      <c r="RVO52"/>
      <c r="RVP52"/>
      <c r="RVQ52"/>
      <c r="RVR52"/>
      <c r="RVS52"/>
      <c r="RVT52"/>
      <c r="RVU52"/>
      <c r="RVV52"/>
      <c r="RVW52"/>
      <c r="RVX52"/>
      <c r="RVY52"/>
      <c r="RVZ52"/>
      <c r="RWA52"/>
      <c r="RWB52"/>
      <c r="RWC52"/>
      <c r="RWD52"/>
      <c r="RWE52"/>
      <c r="RWF52"/>
      <c r="RWG52"/>
      <c r="RWH52"/>
      <c r="RWI52"/>
      <c r="RWJ52"/>
      <c r="RWK52"/>
      <c r="RWL52"/>
      <c r="RWM52"/>
      <c r="RWN52"/>
      <c r="RWO52"/>
      <c r="RWP52"/>
      <c r="RWQ52"/>
      <c r="RWR52"/>
      <c r="RWS52"/>
      <c r="RWT52"/>
      <c r="RWU52"/>
      <c r="RWV52"/>
      <c r="RWW52"/>
      <c r="RWX52"/>
      <c r="RWY52"/>
      <c r="RWZ52"/>
      <c r="RXA52"/>
      <c r="RXB52"/>
      <c r="RXC52"/>
      <c r="RXD52"/>
      <c r="RXE52"/>
      <c r="RXF52"/>
      <c r="RXG52"/>
      <c r="RXH52"/>
      <c r="RXI52"/>
      <c r="RXJ52"/>
      <c r="RXK52"/>
      <c r="RXL52"/>
      <c r="RXM52"/>
      <c r="RXN52"/>
      <c r="RXO52"/>
      <c r="RXP52"/>
      <c r="RXQ52"/>
      <c r="RXR52"/>
      <c r="RXS52"/>
      <c r="RXT52"/>
      <c r="RXU52"/>
      <c r="RXV52"/>
      <c r="RXW52"/>
      <c r="RXX52"/>
      <c r="RXY52"/>
      <c r="RXZ52"/>
      <c r="RYA52"/>
      <c r="RYB52"/>
      <c r="RYC52"/>
      <c r="RYD52"/>
      <c r="RYE52"/>
      <c r="RYF52"/>
      <c r="RYG52"/>
      <c r="RYH52"/>
      <c r="RYI52"/>
      <c r="RYJ52"/>
      <c r="RYK52"/>
      <c r="RYL52"/>
      <c r="RYM52"/>
      <c r="RYN52"/>
      <c r="RYO52"/>
      <c r="RYP52"/>
      <c r="RYQ52"/>
      <c r="RYR52"/>
      <c r="RYS52"/>
      <c r="RYT52"/>
      <c r="RYU52"/>
      <c r="RYV52"/>
      <c r="RYW52"/>
      <c r="RYX52"/>
      <c r="RYY52"/>
      <c r="RYZ52"/>
      <c r="RZA52"/>
      <c r="RZB52"/>
      <c r="RZC52"/>
      <c r="RZD52"/>
      <c r="RZE52"/>
      <c r="RZF52"/>
      <c r="RZG52"/>
      <c r="RZH52"/>
      <c r="RZI52"/>
      <c r="RZJ52"/>
      <c r="RZK52"/>
      <c r="RZL52"/>
      <c r="RZM52"/>
      <c r="RZN52"/>
      <c r="RZO52"/>
      <c r="RZP52"/>
      <c r="RZQ52"/>
      <c r="RZR52"/>
      <c r="RZS52"/>
      <c r="RZT52"/>
      <c r="RZU52"/>
      <c r="RZV52"/>
      <c r="RZW52"/>
      <c r="RZX52"/>
      <c r="RZY52"/>
      <c r="RZZ52"/>
      <c r="SAA52"/>
      <c r="SAB52"/>
      <c r="SAC52"/>
      <c r="SAD52"/>
      <c r="SAE52"/>
      <c r="SAF52"/>
      <c r="SAG52"/>
      <c r="SAH52"/>
      <c r="SAI52"/>
      <c r="SAJ52"/>
      <c r="SAK52"/>
      <c r="SAL52"/>
      <c r="SAM52"/>
      <c r="SAN52"/>
      <c r="SAO52"/>
      <c r="SAP52"/>
      <c r="SAQ52"/>
      <c r="SAR52"/>
      <c r="SAS52"/>
      <c r="SAT52"/>
      <c r="SAU52"/>
      <c r="SAV52"/>
      <c r="SAW52"/>
      <c r="SAX52"/>
      <c r="SAY52"/>
      <c r="SAZ52"/>
      <c r="SBA52"/>
      <c r="SBB52"/>
      <c r="SBC52"/>
      <c r="SBD52"/>
      <c r="SBE52"/>
      <c r="SBF52"/>
      <c r="SBG52"/>
      <c r="SBH52"/>
      <c r="SBI52"/>
      <c r="SBJ52"/>
      <c r="SBK52"/>
      <c r="SBL52"/>
      <c r="SBM52"/>
      <c r="SBN52"/>
      <c r="SBO52"/>
      <c r="SBP52"/>
      <c r="SBQ52"/>
      <c r="SBR52"/>
      <c r="SBS52"/>
      <c r="SBT52"/>
      <c r="SBU52"/>
      <c r="SBV52"/>
      <c r="SBW52"/>
      <c r="SBX52"/>
      <c r="SBY52"/>
      <c r="SBZ52"/>
      <c r="SCA52"/>
      <c r="SCB52"/>
      <c r="SCC52"/>
      <c r="SCD52"/>
      <c r="SCE52"/>
      <c r="SCF52"/>
      <c r="SCG52"/>
      <c r="SCH52"/>
      <c r="SCI52"/>
      <c r="SCJ52"/>
      <c r="SCK52"/>
      <c r="SCL52"/>
      <c r="SCM52"/>
      <c r="SCN52"/>
      <c r="SCO52"/>
      <c r="SCP52"/>
      <c r="SCQ52"/>
      <c r="SCR52"/>
      <c r="SCS52"/>
      <c r="SCT52"/>
      <c r="SCU52"/>
      <c r="SCV52"/>
      <c r="SCW52"/>
      <c r="SCX52"/>
      <c r="SCY52"/>
      <c r="SCZ52"/>
      <c r="SDA52"/>
      <c r="SDB52"/>
      <c r="SDC52"/>
      <c r="SDD52"/>
      <c r="SDE52"/>
      <c r="SDF52"/>
      <c r="SDG52"/>
      <c r="SDH52"/>
      <c r="SDI52"/>
      <c r="SDJ52"/>
      <c r="SDK52"/>
      <c r="SDL52"/>
      <c r="SDM52"/>
      <c r="SDN52"/>
      <c r="SDO52"/>
      <c r="SDP52"/>
      <c r="SDQ52"/>
      <c r="SDR52"/>
      <c r="SDS52"/>
      <c r="SDT52"/>
      <c r="SDU52"/>
      <c r="SDV52"/>
      <c r="SDW52"/>
      <c r="SDX52"/>
      <c r="SDY52"/>
      <c r="SDZ52"/>
      <c r="SEA52"/>
      <c r="SEB52"/>
      <c r="SEC52"/>
      <c r="SED52"/>
      <c r="SEE52"/>
      <c r="SEF52"/>
      <c r="SEG52"/>
      <c r="SEH52"/>
      <c r="SEI52"/>
      <c r="SEJ52"/>
      <c r="SEK52"/>
      <c r="SEL52"/>
      <c r="SEM52"/>
      <c r="SEN52"/>
      <c r="SEO52"/>
      <c r="SEP52"/>
      <c r="SEQ52"/>
      <c r="SER52"/>
      <c r="SES52"/>
      <c r="SET52"/>
      <c r="SEU52"/>
      <c r="SEV52"/>
      <c r="SEW52"/>
      <c r="SEX52"/>
      <c r="SEY52"/>
      <c r="SEZ52"/>
      <c r="SFA52"/>
      <c r="SFB52"/>
      <c r="SFC52"/>
      <c r="SFD52"/>
      <c r="SFE52"/>
      <c r="SFF52"/>
      <c r="SFG52"/>
      <c r="SFH52"/>
      <c r="SFI52"/>
      <c r="SFJ52"/>
      <c r="SFK52"/>
      <c r="SFL52"/>
      <c r="SFM52"/>
      <c r="SFN52"/>
      <c r="SFO52"/>
      <c r="SFP52"/>
      <c r="SFQ52"/>
      <c r="SFR52"/>
      <c r="SFS52"/>
      <c r="SFT52"/>
      <c r="SFU52"/>
      <c r="SFV52"/>
      <c r="SFW52"/>
      <c r="SFX52"/>
      <c r="SFY52"/>
      <c r="SFZ52"/>
      <c r="SGA52"/>
      <c r="SGB52"/>
      <c r="SGC52"/>
      <c r="SGD52"/>
      <c r="SGE52"/>
      <c r="SGF52"/>
      <c r="SGG52"/>
      <c r="SGH52"/>
      <c r="SGI52"/>
      <c r="SGJ52"/>
      <c r="SGK52"/>
      <c r="SGL52"/>
      <c r="SGM52"/>
      <c r="SGN52"/>
      <c r="SGO52"/>
      <c r="SGP52"/>
      <c r="SGQ52"/>
      <c r="SGR52"/>
      <c r="SGS52"/>
      <c r="SGT52"/>
      <c r="SGU52"/>
      <c r="SGV52"/>
      <c r="SGW52"/>
      <c r="SGX52"/>
      <c r="SGY52"/>
      <c r="SGZ52"/>
      <c r="SHA52"/>
      <c r="SHB52"/>
      <c r="SHC52"/>
      <c r="SHD52"/>
      <c r="SHE52"/>
      <c r="SHF52"/>
      <c r="SHG52"/>
      <c r="SHH52"/>
      <c r="SHI52"/>
      <c r="SHJ52"/>
      <c r="SHK52"/>
      <c r="SHL52"/>
      <c r="SHM52"/>
      <c r="SHN52"/>
      <c r="SHO52"/>
      <c r="SHP52"/>
      <c r="SHQ52"/>
      <c r="SHR52"/>
      <c r="SHS52"/>
      <c r="SHT52"/>
      <c r="SHU52"/>
      <c r="SHV52"/>
      <c r="SHW52"/>
      <c r="SHX52"/>
      <c r="SHY52"/>
      <c r="SHZ52"/>
      <c r="SIA52"/>
      <c r="SIB52"/>
      <c r="SIC52"/>
      <c r="SID52"/>
      <c r="SIE52"/>
      <c r="SIF52"/>
      <c r="SIG52"/>
      <c r="SIH52"/>
      <c r="SII52"/>
      <c r="SIJ52"/>
      <c r="SIK52"/>
      <c r="SIL52"/>
      <c r="SIM52"/>
      <c r="SIN52"/>
      <c r="SIO52"/>
      <c r="SIP52"/>
      <c r="SIQ52"/>
      <c r="SIR52"/>
      <c r="SIS52"/>
      <c r="SIT52"/>
      <c r="SIU52"/>
      <c r="SIV52"/>
      <c r="SIW52"/>
      <c r="SIX52"/>
      <c r="SIY52"/>
      <c r="SIZ52"/>
      <c r="SJA52"/>
      <c r="SJB52"/>
      <c r="SJC52"/>
      <c r="SJD52"/>
      <c r="SJE52"/>
      <c r="SJF52"/>
      <c r="SJG52"/>
      <c r="SJH52"/>
      <c r="SJI52"/>
      <c r="SJJ52"/>
      <c r="SJK52"/>
      <c r="SJL52"/>
      <c r="SJM52"/>
      <c r="SJN52"/>
      <c r="SJO52"/>
      <c r="SJP52"/>
      <c r="SJQ52"/>
      <c r="SJR52"/>
      <c r="SJS52"/>
      <c r="SJT52"/>
      <c r="SJU52"/>
      <c r="SJV52"/>
      <c r="SJW52"/>
      <c r="SJX52"/>
      <c r="SJY52"/>
      <c r="SJZ52"/>
      <c r="SKA52"/>
      <c r="SKB52"/>
      <c r="SKC52"/>
      <c r="SKD52"/>
      <c r="SKE52"/>
      <c r="SKF52"/>
      <c r="SKG52"/>
      <c r="SKH52"/>
      <c r="SKI52"/>
      <c r="SKJ52"/>
      <c r="SKK52"/>
      <c r="SKL52"/>
      <c r="SKM52"/>
      <c r="SKN52"/>
      <c r="SKO52"/>
      <c r="SKP52"/>
      <c r="SKQ52"/>
      <c r="SKR52"/>
      <c r="SKS52"/>
      <c r="SKT52"/>
      <c r="SKU52"/>
      <c r="SKV52"/>
      <c r="SKW52"/>
      <c r="SKX52"/>
      <c r="SKY52"/>
      <c r="SKZ52"/>
      <c r="SLA52"/>
      <c r="SLB52"/>
      <c r="SLC52"/>
      <c r="SLD52"/>
      <c r="SLE52"/>
      <c r="SLF52"/>
      <c r="SLG52"/>
      <c r="SLH52"/>
      <c r="SLI52"/>
      <c r="SLJ52"/>
      <c r="SLK52"/>
      <c r="SLL52"/>
      <c r="SLM52"/>
      <c r="SLN52"/>
      <c r="SLO52"/>
      <c r="SLP52"/>
      <c r="SLQ52"/>
      <c r="SLR52"/>
      <c r="SLS52"/>
      <c r="SLT52"/>
      <c r="SLU52"/>
      <c r="SLV52"/>
      <c r="SLW52"/>
      <c r="SLX52"/>
      <c r="SLY52"/>
      <c r="SLZ52"/>
      <c r="SMA52"/>
      <c r="SMB52"/>
      <c r="SMC52"/>
      <c r="SMD52"/>
      <c r="SME52"/>
      <c r="SMF52"/>
      <c r="SMG52"/>
      <c r="SMH52"/>
      <c r="SMI52"/>
      <c r="SMJ52"/>
      <c r="SMK52"/>
      <c r="SML52"/>
      <c r="SMM52"/>
      <c r="SMN52"/>
      <c r="SMO52"/>
      <c r="SMP52"/>
      <c r="SMQ52"/>
      <c r="SMR52"/>
      <c r="SMS52"/>
      <c r="SMT52"/>
      <c r="SMU52"/>
      <c r="SMV52"/>
      <c r="SMW52"/>
      <c r="SMX52"/>
      <c r="SMY52"/>
      <c r="SMZ52"/>
      <c r="SNA52"/>
      <c r="SNB52"/>
      <c r="SNC52"/>
      <c r="SND52"/>
      <c r="SNE52"/>
      <c r="SNF52"/>
      <c r="SNG52"/>
      <c r="SNH52"/>
      <c r="SNI52"/>
      <c r="SNJ52"/>
      <c r="SNK52"/>
      <c r="SNL52"/>
      <c r="SNM52"/>
      <c r="SNN52"/>
      <c r="SNO52"/>
      <c r="SNP52"/>
      <c r="SNQ52"/>
      <c r="SNR52"/>
      <c r="SNS52"/>
      <c r="SNT52"/>
      <c r="SNU52"/>
      <c r="SNV52"/>
      <c r="SNW52"/>
      <c r="SNX52"/>
      <c r="SNY52"/>
      <c r="SNZ52"/>
      <c r="SOA52"/>
      <c r="SOB52"/>
      <c r="SOC52"/>
      <c r="SOD52"/>
      <c r="SOE52"/>
      <c r="SOF52"/>
      <c r="SOG52"/>
      <c r="SOH52"/>
      <c r="SOI52"/>
      <c r="SOJ52"/>
      <c r="SOK52"/>
      <c r="SOL52"/>
      <c r="SOM52"/>
      <c r="SON52"/>
      <c r="SOO52"/>
      <c r="SOP52"/>
      <c r="SOQ52"/>
      <c r="SOR52"/>
      <c r="SOS52"/>
      <c r="SOT52"/>
      <c r="SOU52"/>
      <c r="SOV52"/>
      <c r="SOW52"/>
      <c r="SOX52"/>
      <c r="SOY52"/>
      <c r="SOZ52"/>
      <c r="SPA52"/>
      <c r="SPB52"/>
      <c r="SPC52"/>
      <c r="SPD52"/>
      <c r="SPE52"/>
      <c r="SPF52"/>
      <c r="SPG52"/>
      <c r="SPH52"/>
      <c r="SPI52"/>
      <c r="SPJ52"/>
      <c r="SPK52"/>
      <c r="SPL52"/>
      <c r="SPM52"/>
      <c r="SPN52"/>
      <c r="SPO52"/>
      <c r="SPP52"/>
      <c r="SPQ52"/>
      <c r="SPR52"/>
      <c r="SPS52"/>
      <c r="SPT52"/>
      <c r="SPU52"/>
      <c r="SPV52"/>
      <c r="SPW52"/>
      <c r="SPX52"/>
      <c r="SPY52"/>
      <c r="SPZ52"/>
      <c r="SQA52"/>
      <c r="SQB52"/>
      <c r="SQC52"/>
      <c r="SQD52"/>
      <c r="SQE52"/>
      <c r="SQF52"/>
      <c r="SQG52"/>
      <c r="SQH52"/>
      <c r="SQI52"/>
      <c r="SQJ52"/>
      <c r="SQK52"/>
      <c r="SQL52"/>
      <c r="SQM52"/>
      <c r="SQN52"/>
      <c r="SQO52"/>
      <c r="SQP52"/>
      <c r="SQQ52"/>
      <c r="SQR52"/>
      <c r="SQS52"/>
      <c r="SQT52"/>
      <c r="SQU52"/>
      <c r="SQV52"/>
      <c r="SQW52"/>
      <c r="SQX52"/>
      <c r="SQY52"/>
      <c r="SQZ52"/>
      <c r="SRA52"/>
      <c r="SRB52"/>
      <c r="SRC52"/>
      <c r="SRD52"/>
      <c r="SRE52"/>
      <c r="SRF52"/>
      <c r="SRG52"/>
      <c r="SRH52"/>
      <c r="SRI52"/>
      <c r="SRJ52"/>
      <c r="SRK52"/>
      <c r="SRL52"/>
      <c r="SRM52"/>
      <c r="SRN52"/>
      <c r="SRO52"/>
      <c r="SRP52"/>
      <c r="SRQ52"/>
      <c r="SRR52"/>
      <c r="SRS52"/>
      <c r="SRT52"/>
      <c r="SRU52"/>
      <c r="SRV52"/>
      <c r="SRW52"/>
      <c r="SRX52"/>
      <c r="SRY52"/>
      <c r="SRZ52"/>
      <c r="SSA52"/>
      <c r="SSB52"/>
      <c r="SSC52"/>
      <c r="SSD52"/>
      <c r="SSE52"/>
      <c r="SSF52"/>
      <c r="SSG52"/>
      <c r="SSH52"/>
      <c r="SSI52"/>
      <c r="SSJ52"/>
      <c r="SSK52"/>
      <c r="SSL52"/>
      <c r="SSM52"/>
      <c r="SSN52"/>
      <c r="SSO52"/>
      <c r="SSP52"/>
      <c r="SSQ52"/>
      <c r="SSR52"/>
      <c r="SSS52"/>
      <c r="SST52"/>
      <c r="SSU52"/>
      <c r="SSV52"/>
      <c r="SSW52"/>
      <c r="SSX52"/>
      <c r="SSY52"/>
      <c r="SSZ52"/>
      <c r="STA52"/>
      <c r="STB52"/>
      <c r="STC52"/>
      <c r="STD52"/>
      <c r="STE52"/>
      <c r="STF52"/>
      <c r="STG52"/>
      <c r="STH52"/>
      <c r="STI52"/>
      <c r="STJ52"/>
      <c r="STK52"/>
      <c r="STL52"/>
      <c r="STM52"/>
      <c r="STN52"/>
      <c r="STO52"/>
      <c r="STP52"/>
      <c r="STQ52"/>
      <c r="STR52"/>
      <c r="STS52"/>
      <c r="STT52"/>
      <c r="STU52"/>
      <c r="STV52"/>
      <c r="STW52"/>
      <c r="STX52"/>
      <c r="STY52"/>
      <c r="STZ52"/>
      <c r="SUA52"/>
      <c r="SUB52"/>
      <c r="SUC52"/>
      <c r="SUD52"/>
      <c r="SUE52"/>
      <c r="SUF52"/>
      <c r="SUG52"/>
      <c r="SUH52"/>
      <c r="SUI52"/>
      <c r="SUJ52"/>
      <c r="SUK52"/>
      <c r="SUL52"/>
      <c r="SUM52"/>
      <c r="SUN52"/>
      <c r="SUO52"/>
      <c r="SUP52"/>
      <c r="SUQ52"/>
      <c r="SUR52"/>
      <c r="SUS52"/>
      <c r="SUT52"/>
      <c r="SUU52"/>
      <c r="SUV52"/>
      <c r="SUW52"/>
      <c r="SUX52"/>
      <c r="SUY52"/>
      <c r="SUZ52"/>
      <c r="SVA52"/>
      <c r="SVB52"/>
      <c r="SVC52"/>
      <c r="SVD52"/>
      <c r="SVE52"/>
      <c r="SVF52"/>
      <c r="SVG52"/>
      <c r="SVH52"/>
      <c r="SVI52"/>
      <c r="SVJ52"/>
      <c r="SVK52"/>
      <c r="SVL52"/>
      <c r="SVM52"/>
      <c r="SVN52"/>
      <c r="SVO52"/>
      <c r="SVP52"/>
      <c r="SVQ52"/>
      <c r="SVR52"/>
      <c r="SVS52"/>
      <c r="SVT52"/>
      <c r="SVU52"/>
      <c r="SVV52"/>
      <c r="SVW52"/>
      <c r="SVX52"/>
      <c r="SVY52"/>
      <c r="SVZ52"/>
      <c r="SWA52"/>
      <c r="SWB52"/>
      <c r="SWC52"/>
      <c r="SWD52"/>
      <c r="SWE52"/>
      <c r="SWF52"/>
      <c r="SWG52"/>
      <c r="SWH52"/>
      <c r="SWI52"/>
      <c r="SWJ52"/>
      <c r="SWK52"/>
      <c r="SWL52"/>
      <c r="SWM52"/>
      <c r="SWN52"/>
      <c r="SWO52"/>
      <c r="SWP52"/>
      <c r="SWQ52"/>
      <c r="SWR52"/>
      <c r="SWS52"/>
      <c r="SWT52"/>
      <c r="SWU52"/>
      <c r="SWV52"/>
      <c r="SWW52"/>
      <c r="SWX52"/>
      <c r="SWY52"/>
      <c r="SWZ52"/>
      <c r="SXA52"/>
      <c r="SXB52"/>
      <c r="SXC52"/>
      <c r="SXD52"/>
      <c r="SXE52"/>
      <c r="SXF52"/>
      <c r="SXG52"/>
      <c r="SXH52"/>
      <c r="SXI52"/>
      <c r="SXJ52"/>
      <c r="SXK52"/>
      <c r="SXL52"/>
      <c r="SXM52"/>
      <c r="SXN52"/>
      <c r="SXO52"/>
      <c r="SXP52"/>
      <c r="SXQ52"/>
      <c r="SXR52"/>
      <c r="SXS52"/>
      <c r="SXT52"/>
      <c r="SXU52"/>
      <c r="SXV52"/>
      <c r="SXW52"/>
      <c r="SXX52"/>
      <c r="SXY52"/>
      <c r="SXZ52"/>
      <c r="SYA52"/>
      <c r="SYB52"/>
      <c r="SYC52"/>
      <c r="SYD52"/>
      <c r="SYE52"/>
      <c r="SYF52"/>
      <c r="SYG52"/>
      <c r="SYH52"/>
      <c r="SYI52"/>
      <c r="SYJ52"/>
      <c r="SYK52"/>
      <c r="SYL52"/>
      <c r="SYM52"/>
      <c r="SYN52"/>
      <c r="SYO52"/>
      <c r="SYP52"/>
      <c r="SYQ52"/>
      <c r="SYR52"/>
      <c r="SYS52"/>
      <c r="SYT52"/>
      <c r="SYU52"/>
      <c r="SYV52"/>
      <c r="SYW52"/>
      <c r="SYX52"/>
      <c r="SYY52"/>
      <c r="SYZ52"/>
      <c r="SZA52"/>
      <c r="SZB52"/>
      <c r="SZC52"/>
      <c r="SZD52"/>
      <c r="SZE52"/>
      <c r="SZF52"/>
      <c r="SZG52"/>
      <c r="SZH52"/>
      <c r="SZI52"/>
      <c r="SZJ52"/>
      <c r="SZK52"/>
      <c r="SZL52"/>
      <c r="SZM52"/>
      <c r="SZN52"/>
      <c r="SZO52"/>
      <c r="SZP52"/>
      <c r="SZQ52"/>
      <c r="SZR52"/>
      <c r="SZS52"/>
      <c r="SZT52"/>
      <c r="SZU52"/>
      <c r="SZV52"/>
      <c r="SZW52"/>
      <c r="SZX52"/>
      <c r="SZY52"/>
      <c r="SZZ52"/>
      <c r="TAA52"/>
      <c r="TAB52"/>
      <c r="TAC52"/>
      <c r="TAD52"/>
      <c r="TAE52"/>
      <c r="TAF52"/>
      <c r="TAG52"/>
      <c r="TAH52"/>
      <c r="TAI52"/>
      <c r="TAJ52"/>
      <c r="TAK52"/>
      <c r="TAL52"/>
      <c r="TAM52"/>
      <c r="TAN52"/>
      <c r="TAO52"/>
      <c r="TAP52"/>
      <c r="TAQ52"/>
      <c r="TAR52"/>
      <c r="TAS52"/>
      <c r="TAT52"/>
      <c r="TAU52"/>
      <c r="TAV52"/>
      <c r="TAW52"/>
      <c r="TAX52"/>
      <c r="TAY52"/>
      <c r="TAZ52"/>
      <c r="TBA52"/>
      <c r="TBB52"/>
      <c r="TBC52"/>
      <c r="TBD52"/>
      <c r="TBE52"/>
      <c r="TBF52"/>
      <c r="TBG52"/>
      <c r="TBH52"/>
      <c r="TBI52"/>
      <c r="TBJ52"/>
      <c r="TBK52"/>
      <c r="TBL52"/>
      <c r="TBM52"/>
      <c r="TBN52"/>
      <c r="TBO52"/>
      <c r="TBP52"/>
      <c r="TBQ52"/>
      <c r="TBR52"/>
      <c r="TBS52"/>
      <c r="TBT52"/>
      <c r="TBU52"/>
      <c r="TBV52"/>
      <c r="TBW52"/>
      <c r="TBX52"/>
      <c r="TBY52"/>
      <c r="TBZ52"/>
      <c r="TCA52"/>
      <c r="TCB52"/>
      <c r="TCC52"/>
      <c r="TCD52"/>
      <c r="TCE52"/>
      <c r="TCF52"/>
      <c r="TCG52"/>
      <c r="TCH52"/>
      <c r="TCI52"/>
      <c r="TCJ52"/>
      <c r="TCK52"/>
      <c r="TCL52"/>
      <c r="TCM52"/>
      <c r="TCN52"/>
      <c r="TCO52"/>
      <c r="TCP52"/>
      <c r="TCQ52"/>
      <c r="TCR52"/>
      <c r="TCS52"/>
      <c r="TCT52"/>
      <c r="TCU52"/>
      <c r="TCV52"/>
      <c r="TCW52"/>
      <c r="TCX52"/>
      <c r="TCY52"/>
      <c r="TCZ52"/>
      <c r="TDA52"/>
      <c r="TDB52"/>
      <c r="TDC52"/>
      <c r="TDD52"/>
      <c r="TDE52"/>
      <c r="TDF52"/>
      <c r="TDG52"/>
      <c r="TDH52"/>
      <c r="TDI52"/>
      <c r="TDJ52"/>
      <c r="TDK52"/>
      <c r="TDL52"/>
      <c r="TDM52"/>
      <c r="TDN52"/>
      <c r="TDO52"/>
      <c r="TDP52"/>
      <c r="TDQ52"/>
      <c r="TDR52"/>
      <c r="TDS52"/>
      <c r="TDT52"/>
      <c r="TDU52"/>
      <c r="TDV52"/>
      <c r="TDW52"/>
      <c r="TDX52"/>
      <c r="TDY52"/>
      <c r="TDZ52"/>
      <c r="TEA52"/>
      <c r="TEB52"/>
      <c r="TEC52"/>
      <c r="TED52"/>
      <c r="TEE52"/>
      <c r="TEF52"/>
      <c r="TEG52"/>
      <c r="TEH52"/>
      <c r="TEI52"/>
      <c r="TEJ52"/>
      <c r="TEK52"/>
      <c r="TEL52"/>
      <c r="TEM52"/>
      <c r="TEN52"/>
      <c r="TEO52"/>
      <c r="TEP52"/>
      <c r="TEQ52"/>
      <c r="TER52"/>
      <c r="TES52"/>
      <c r="TET52"/>
      <c r="TEU52"/>
      <c r="TEV52"/>
      <c r="TEW52"/>
      <c r="TEX52"/>
      <c r="TEY52"/>
      <c r="TEZ52"/>
      <c r="TFA52"/>
      <c r="TFB52"/>
      <c r="TFC52"/>
      <c r="TFD52"/>
      <c r="TFE52"/>
      <c r="TFF52"/>
      <c r="TFG52"/>
      <c r="TFH52"/>
      <c r="TFI52"/>
      <c r="TFJ52"/>
      <c r="TFK52"/>
      <c r="TFL52"/>
      <c r="TFM52"/>
      <c r="TFN52"/>
      <c r="TFO52"/>
      <c r="TFP52"/>
      <c r="TFQ52"/>
      <c r="TFR52"/>
      <c r="TFS52"/>
      <c r="TFT52"/>
      <c r="TFU52"/>
      <c r="TFV52"/>
      <c r="TFW52"/>
      <c r="TFX52"/>
      <c r="TFY52"/>
      <c r="TFZ52"/>
      <c r="TGA52"/>
      <c r="TGB52"/>
      <c r="TGC52"/>
      <c r="TGD52"/>
      <c r="TGE52"/>
      <c r="TGF52"/>
      <c r="TGG52"/>
      <c r="TGH52"/>
      <c r="TGI52"/>
      <c r="TGJ52"/>
      <c r="TGK52"/>
      <c r="TGL52"/>
      <c r="TGM52"/>
      <c r="TGN52"/>
      <c r="TGO52"/>
      <c r="TGP52"/>
      <c r="TGQ52"/>
      <c r="TGR52"/>
      <c r="TGS52"/>
      <c r="TGT52"/>
      <c r="TGU52"/>
      <c r="TGV52"/>
      <c r="TGW52"/>
      <c r="TGX52"/>
      <c r="TGY52"/>
      <c r="TGZ52"/>
      <c r="THA52"/>
      <c r="THB52"/>
      <c r="THC52"/>
      <c r="THD52"/>
      <c r="THE52"/>
      <c r="THF52"/>
      <c r="THG52"/>
      <c r="THH52"/>
      <c r="THI52"/>
      <c r="THJ52"/>
      <c r="THK52"/>
      <c r="THL52"/>
      <c r="THM52"/>
      <c r="THN52"/>
      <c r="THO52"/>
      <c r="THP52"/>
      <c r="THQ52"/>
      <c r="THR52"/>
      <c r="THS52"/>
      <c r="THT52"/>
      <c r="THU52"/>
      <c r="THV52"/>
      <c r="THW52"/>
      <c r="THX52"/>
      <c r="THY52"/>
      <c r="THZ52"/>
      <c r="TIA52"/>
      <c r="TIB52"/>
      <c r="TIC52"/>
      <c r="TID52"/>
      <c r="TIE52"/>
      <c r="TIF52"/>
      <c r="TIG52"/>
      <c r="TIH52"/>
      <c r="TII52"/>
      <c r="TIJ52"/>
      <c r="TIK52"/>
      <c r="TIL52"/>
      <c r="TIM52"/>
      <c r="TIN52"/>
      <c r="TIO52"/>
      <c r="TIP52"/>
      <c r="TIQ52"/>
      <c r="TIR52"/>
      <c r="TIS52"/>
      <c r="TIT52"/>
      <c r="TIU52"/>
      <c r="TIV52"/>
      <c r="TIW52"/>
      <c r="TIX52"/>
      <c r="TIY52"/>
      <c r="TIZ52"/>
      <c r="TJA52"/>
      <c r="TJB52"/>
      <c r="TJC52"/>
      <c r="TJD52"/>
      <c r="TJE52"/>
      <c r="TJF52"/>
      <c r="TJG52"/>
      <c r="TJH52"/>
      <c r="TJI52"/>
      <c r="TJJ52"/>
      <c r="TJK52"/>
      <c r="TJL52"/>
      <c r="TJM52"/>
      <c r="TJN52"/>
      <c r="TJO52"/>
      <c r="TJP52"/>
      <c r="TJQ52"/>
      <c r="TJR52"/>
      <c r="TJS52"/>
      <c r="TJT52"/>
      <c r="TJU52"/>
      <c r="TJV52"/>
      <c r="TJW52"/>
      <c r="TJX52"/>
      <c r="TJY52"/>
      <c r="TJZ52"/>
      <c r="TKA52"/>
      <c r="TKB52"/>
      <c r="TKC52"/>
      <c r="TKD52"/>
      <c r="TKE52"/>
      <c r="TKF52"/>
      <c r="TKG52"/>
      <c r="TKH52"/>
      <c r="TKI52"/>
      <c r="TKJ52"/>
      <c r="TKK52"/>
      <c r="TKL52"/>
      <c r="TKM52"/>
      <c r="TKN52"/>
      <c r="TKO52"/>
      <c r="TKP52"/>
      <c r="TKQ52"/>
      <c r="TKR52"/>
      <c r="TKS52"/>
      <c r="TKT52"/>
      <c r="TKU52"/>
      <c r="TKV52"/>
      <c r="TKW52"/>
      <c r="TKX52"/>
      <c r="TKY52"/>
      <c r="TKZ52"/>
      <c r="TLA52"/>
      <c r="TLB52"/>
      <c r="TLC52"/>
      <c r="TLD52"/>
      <c r="TLE52"/>
      <c r="TLF52"/>
      <c r="TLG52"/>
      <c r="TLH52"/>
      <c r="TLI52"/>
      <c r="TLJ52"/>
      <c r="TLK52"/>
      <c r="TLL52"/>
      <c r="TLM52"/>
      <c r="TLN52"/>
      <c r="TLO52"/>
      <c r="TLP52"/>
      <c r="TLQ52"/>
      <c r="TLR52"/>
      <c r="TLS52"/>
      <c r="TLT52"/>
      <c r="TLU52"/>
      <c r="TLV52"/>
      <c r="TLW52"/>
      <c r="TLX52"/>
      <c r="TLY52"/>
      <c r="TLZ52"/>
      <c r="TMA52"/>
      <c r="TMB52"/>
      <c r="TMC52"/>
      <c r="TMD52"/>
      <c r="TME52"/>
      <c r="TMF52"/>
      <c r="TMG52"/>
      <c r="TMH52"/>
      <c r="TMI52"/>
      <c r="TMJ52"/>
      <c r="TMK52"/>
      <c r="TML52"/>
      <c r="TMM52"/>
      <c r="TMN52"/>
      <c r="TMO52"/>
      <c r="TMP52"/>
      <c r="TMQ52"/>
      <c r="TMR52"/>
      <c r="TMS52"/>
      <c r="TMT52"/>
      <c r="TMU52"/>
      <c r="TMV52"/>
      <c r="TMW52"/>
      <c r="TMX52"/>
      <c r="TMY52"/>
      <c r="TMZ52"/>
      <c r="TNA52"/>
      <c r="TNB52"/>
      <c r="TNC52"/>
      <c r="TND52"/>
      <c r="TNE52"/>
      <c r="TNF52"/>
      <c r="TNG52"/>
      <c r="TNH52"/>
      <c r="TNI52"/>
      <c r="TNJ52"/>
      <c r="TNK52"/>
      <c r="TNL52"/>
      <c r="TNM52"/>
      <c r="TNN52"/>
      <c r="TNO52"/>
      <c r="TNP52"/>
      <c r="TNQ52"/>
      <c r="TNR52"/>
      <c r="TNS52"/>
      <c r="TNT52"/>
      <c r="TNU52"/>
      <c r="TNV52"/>
      <c r="TNW52"/>
      <c r="TNX52"/>
      <c r="TNY52"/>
      <c r="TNZ52"/>
      <c r="TOA52"/>
      <c r="TOB52"/>
      <c r="TOC52"/>
      <c r="TOD52"/>
      <c r="TOE52"/>
      <c r="TOF52"/>
      <c r="TOG52"/>
      <c r="TOH52"/>
      <c r="TOI52"/>
      <c r="TOJ52"/>
      <c r="TOK52"/>
      <c r="TOL52"/>
      <c r="TOM52"/>
      <c r="TON52"/>
      <c r="TOO52"/>
      <c r="TOP52"/>
      <c r="TOQ52"/>
      <c r="TOR52"/>
      <c r="TOS52"/>
      <c r="TOT52"/>
      <c r="TOU52"/>
      <c r="TOV52"/>
      <c r="TOW52"/>
      <c r="TOX52"/>
      <c r="TOY52"/>
      <c r="TOZ52"/>
      <c r="TPA52"/>
      <c r="TPB52"/>
      <c r="TPC52"/>
      <c r="TPD52"/>
      <c r="TPE52"/>
      <c r="TPF52"/>
      <c r="TPG52"/>
      <c r="TPH52"/>
      <c r="TPI52"/>
      <c r="TPJ52"/>
      <c r="TPK52"/>
      <c r="TPL52"/>
      <c r="TPM52"/>
      <c r="TPN52"/>
      <c r="TPO52"/>
      <c r="TPP52"/>
      <c r="TPQ52"/>
      <c r="TPR52"/>
      <c r="TPS52"/>
      <c r="TPT52"/>
      <c r="TPU52"/>
      <c r="TPV52"/>
      <c r="TPW52"/>
      <c r="TPX52"/>
      <c r="TPY52"/>
      <c r="TPZ52"/>
      <c r="TQA52"/>
      <c r="TQB52"/>
      <c r="TQC52"/>
      <c r="TQD52"/>
      <c r="TQE52"/>
      <c r="TQF52"/>
      <c r="TQG52"/>
      <c r="TQH52"/>
      <c r="TQI52"/>
      <c r="TQJ52"/>
      <c r="TQK52"/>
      <c r="TQL52"/>
      <c r="TQM52"/>
      <c r="TQN52"/>
      <c r="TQO52"/>
      <c r="TQP52"/>
      <c r="TQQ52"/>
      <c r="TQR52"/>
      <c r="TQS52"/>
      <c r="TQT52"/>
      <c r="TQU52"/>
      <c r="TQV52"/>
      <c r="TQW52"/>
      <c r="TQX52"/>
      <c r="TQY52"/>
      <c r="TQZ52"/>
      <c r="TRA52"/>
      <c r="TRB52"/>
      <c r="TRC52"/>
      <c r="TRD52"/>
      <c r="TRE52"/>
      <c r="TRF52"/>
      <c r="TRG52"/>
      <c r="TRH52"/>
      <c r="TRI52"/>
      <c r="TRJ52"/>
      <c r="TRK52"/>
      <c r="TRL52"/>
      <c r="TRM52"/>
      <c r="TRN52"/>
      <c r="TRO52"/>
      <c r="TRP52"/>
      <c r="TRQ52"/>
      <c r="TRR52"/>
      <c r="TRS52"/>
      <c r="TRT52"/>
      <c r="TRU52"/>
      <c r="TRV52"/>
      <c r="TRW52"/>
      <c r="TRX52"/>
      <c r="TRY52"/>
      <c r="TRZ52"/>
      <c r="TSA52"/>
      <c r="TSB52"/>
      <c r="TSC52"/>
      <c r="TSD52"/>
      <c r="TSE52"/>
      <c r="TSF52"/>
      <c r="TSG52"/>
      <c r="TSH52"/>
      <c r="TSI52"/>
      <c r="TSJ52"/>
      <c r="TSK52"/>
      <c r="TSL52"/>
      <c r="TSM52"/>
      <c r="TSN52"/>
      <c r="TSO52"/>
      <c r="TSP52"/>
      <c r="TSQ52"/>
      <c r="TSR52"/>
      <c r="TSS52"/>
      <c r="TST52"/>
      <c r="TSU52"/>
      <c r="TSV52"/>
      <c r="TSW52"/>
      <c r="TSX52"/>
      <c r="TSY52"/>
      <c r="TSZ52"/>
      <c r="TTA52"/>
      <c r="TTB52"/>
      <c r="TTC52"/>
      <c r="TTD52"/>
      <c r="TTE52"/>
      <c r="TTF52"/>
      <c r="TTG52"/>
      <c r="TTH52"/>
      <c r="TTI52"/>
      <c r="TTJ52"/>
      <c r="TTK52"/>
      <c r="TTL52"/>
      <c r="TTM52"/>
      <c r="TTN52"/>
      <c r="TTO52"/>
      <c r="TTP52"/>
      <c r="TTQ52"/>
      <c r="TTR52"/>
      <c r="TTS52"/>
      <c r="TTT52"/>
      <c r="TTU52"/>
      <c r="TTV52"/>
      <c r="TTW52"/>
      <c r="TTX52"/>
      <c r="TTY52"/>
      <c r="TTZ52"/>
      <c r="TUA52"/>
      <c r="TUB52"/>
      <c r="TUC52"/>
      <c r="TUD52"/>
      <c r="TUE52"/>
      <c r="TUF52"/>
      <c r="TUG52"/>
      <c r="TUH52"/>
      <c r="TUI52"/>
      <c r="TUJ52"/>
      <c r="TUK52"/>
      <c r="TUL52"/>
      <c r="TUM52"/>
      <c r="TUN52"/>
      <c r="TUO52"/>
      <c r="TUP52"/>
      <c r="TUQ52"/>
      <c r="TUR52"/>
      <c r="TUS52"/>
      <c r="TUT52"/>
      <c r="TUU52"/>
      <c r="TUV52"/>
      <c r="TUW52"/>
      <c r="TUX52"/>
      <c r="TUY52"/>
      <c r="TUZ52"/>
      <c r="TVA52"/>
      <c r="TVB52"/>
      <c r="TVC52"/>
      <c r="TVD52"/>
      <c r="TVE52"/>
      <c r="TVF52"/>
      <c r="TVG52"/>
      <c r="TVH52"/>
      <c r="TVI52"/>
      <c r="TVJ52"/>
      <c r="TVK52"/>
      <c r="TVL52"/>
      <c r="TVM52"/>
      <c r="TVN52"/>
      <c r="TVO52"/>
      <c r="TVP52"/>
      <c r="TVQ52"/>
      <c r="TVR52"/>
      <c r="TVS52"/>
      <c r="TVT52"/>
      <c r="TVU52"/>
      <c r="TVV52"/>
      <c r="TVW52"/>
      <c r="TVX52"/>
      <c r="TVY52"/>
      <c r="TVZ52"/>
      <c r="TWA52"/>
      <c r="TWB52"/>
      <c r="TWC52"/>
      <c r="TWD52"/>
      <c r="TWE52"/>
      <c r="TWF52"/>
      <c r="TWG52"/>
      <c r="TWH52"/>
      <c r="TWI52"/>
      <c r="TWJ52"/>
      <c r="TWK52"/>
      <c r="TWL52"/>
      <c r="TWM52"/>
      <c r="TWN52"/>
      <c r="TWO52"/>
      <c r="TWP52"/>
      <c r="TWQ52"/>
      <c r="TWR52"/>
      <c r="TWS52"/>
      <c r="TWT52"/>
      <c r="TWU52"/>
      <c r="TWV52"/>
      <c r="TWW52"/>
      <c r="TWX52"/>
      <c r="TWY52"/>
      <c r="TWZ52"/>
      <c r="TXA52"/>
      <c r="TXB52"/>
      <c r="TXC52"/>
      <c r="TXD52"/>
      <c r="TXE52"/>
      <c r="TXF52"/>
      <c r="TXG52"/>
      <c r="TXH52"/>
      <c r="TXI52"/>
      <c r="TXJ52"/>
      <c r="TXK52"/>
      <c r="TXL52"/>
      <c r="TXM52"/>
      <c r="TXN52"/>
      <c r="TXO52"/>
      <c r="TXP52"/>
      <c r="TXQ52"/>
      <c r="TXR52"/>
      <c r="TXS52"/>
      <c r="TXT52"/>
      <c r="TXU52"/>
      <c r="TXV52"/>
      <c r="TXW52"/>
      <c r="TXX52"/>
      <c r="TXY52"/>
      <c r="TXZ52"/>
      <c r="TYA52"/>
      <c r="TYB52"/>
      <c r="TYC52"/>
      <c r="TYD52"/>
      <c r="TYE52"/>
      <c r="TYF52"/>
      <c r="TYG52"/>
      <c r="TYH52"/>
      <c r="TYI52"/>
      <c r="TYJ52"/>
      <c r="TYK52"/>
      <c r="TYL52"/>
      <c r="TYM52"/>
      <c r="TYN52"/>
      <c r="TYO52"/>
      <c r="TYP52"/>
      <c r="TYQ52"/>
      <c r="TYR52"/>
      <c r="TYS52"/>
      <c r="TYT52"/>
      <c r="TYU52"/>
      <c r="TYV52"/>
      <c r="TYW52"/>
      <c r="TYX52"/>
      <c r="TYY52"/>
      <c r="TYZ52"/>
      <c r="TZA52"/>
      <c r="TZB52"/>
      <c r="TZC52"/>
      <c r="TZD52"/>
      <c r="TZE52"/>
      <c r="TZF52"/>
      <c r="TZG52"/>
      <c r="TZH52"/>
      <c r="TZI52"/>
      <c r="TZJ52"/>
      <c r="TZK52"/>
      <c r="TZL52"/>
      <c r="TZM52"/>
      <c r="TZN52"/>
      <c r="TZO52"/>
      <c r="TZP52"/>
      <c r="TZQ52"/>
      <c r="TZR52"/>
      <c r="TZS52"/>
      <c r="TZT52"/>
      <c r="TZU52"/>
      <c r="TZV52"/>
      <c r="TZW52"/>
      <c r="TZX52"/>
      <c r="TZY52"/>
      <c r="TZZ52"/>
      <c r="UAA52"/>
      <c r="UAB52"/>
      <c r="UAC52"/>
      <c r="UAD52"/>
      <c r="UAE52"/>
      <c r="UAF52"/>
      <c r="UAG52"/>
      <c r="UAH52"/>
      <c r="UAI52"/>
      <c r="UAJ52"/>
      <c r="UAK52"/>
      <c r="UAL52"/>
      <c r="UAM52"/>
      <c r="UAN52"/>
      <c r="UAO52"/>
      <c r="UAP52"/>
      <c r="UAQ52"/>
      <c r="UAR52"/>
      <c r="UAS52"/>
      <c r="UAT52"/>
      <c r="UAU52"/>
      <c r="UAV52"/>
      <c r="UAW52"/>
      <c r="UAX52"/>
      <c r="UAY52"/>
      <c r="UAZ52"/>
      <c r="UBA52"/>
      <c r="UBB52"/>
      <c r="UBC52"/>
      <c r="UBD52"/>
      <c r="UBE52"/>
      <c r="UBF52"/>
      <c r="UBG52"/>
      <c r="UBH52"/>
      <c r="UBI52"/>
      <c r="UBJ52"/>
      <c r="UBK52"/>
      <c r="UBL52"/>
      <c r="UBM52"/>
      <c r="UBN52"/>
      <c r="UBO52"/>
      <c r="UBP52"/>
      <c r="UBQ52"/>
      <c r="UBR52"/>
      <c r="UBS52"/>
      <c r="UBT52"/>
      <c r="UBU52"/>
      <c r="UBV52"/>
      <c r="UBW52"/>
      <c r="UBX52"/>
      <c r="UBY52"/>
      <c r="UBZ52"/>
      <c r="UCA52"/>
      <c r="UCB52"/>
      <c r="UCC52"/>
      <c r="UCD52"/>
      <c r="UCE52"/>
      <c r="UCF52"/>
      <c r="UCG52"/>
      <c r="UCH52"/>
      <c r="UCI52"/>
      <c r="UCJ52"/>
      <c r="UCK52"/>
      <c r="UCL52"/>
      <c r="UCM52"/>
      <c r="UCN52"/>
      <c r="UCO52"/>
      <c r="UCP52"/>
      <c r="UCQ52"/>
      <c r="UCR52"/>
      <c r="UCS52"/>
      <c r="UCT52"/>
      <c r="UCU52"/>
      <c r="UCV52"/>
      <c r="UCW52"/>
      <c r="UCX52"/>
      <c r="UCY52"/>
      <c r="UCZ52"/>
      <c r="UDA52"/>
      <c r="UDB52"/>
      <c r="UDC52"/>
      <c r="UDD52"/>
      <c r="UDE52"/>
      <c r="UDF52"/>
      <c r="UDG52"/>
      <c r="UDH52"/>
      <c r="UDI52"/>
      <c r="UDJ52"/>
      <c r="UDK52"/>
      <c r="UDL52"/>
      <c r="UDM52"/>
      <c r="UDN52"/>
      <c r="UDO52"/>
      <c r="UDP52"/>
      <c r="UDQ52"/>
      <c r="UDR52"/>
      <c r="UDS52"/>
      <c r="UDT52"/>
      <c r="UDU52"/>
      <c r="UDV52"/>
      <c r="UDW52"/>
      <c r="UDX52"/>
      <c r="UDY52"/>
      <c r="UDZ52"/>
      <c r="UEA52"/>
      <c r="UEB52"/>
      <c r="UEC52"/>
      <c r="UED52"/>
      <c r="UEE52"/>
      <c r="UEF52"/>
      <c r="UEG52"/>
      <c r="UEH52"/>
      <c r="UEI52"/>
      <c r="UEJ52"/>
      <c r="UEK52"/>
      <c r="UEL52"/>
      <c r="UEM52"/>
      <c r="UEN52"/>
      <c r="UEO52"/>
      <c r="UEP52"/>
      <c r="UEQ52"/>
      <c r="UER52"/>
      <c r="UES52"/>
      <c r="UET52"/>
      <c r="UEU52"/>
      <c r="UEV52"/>
      <c r="UEW52"/>
      <c r="UEX52"/>
      <c r="UEY52"/>
      <c r="UEZ52"/>
      <c r="UFA52"/>
      <c r="UFB52"/>
      <c r="UFC52"/>
      <c r="UFD52"/>
      <c r="UFE52"/>
      <c r="UFF52"/>
      <c r="UFG52"/>
      <c r="UFH52"/>
      <c r="UFI52"/>
      <c r="UFJ52"/>
      <c r="UFK52"/>
      <c r="UFL52"/>
      <c r="UFM52"/>
      <c r="UFN52"/>
      <c r="UFO52"/>
      <c r="UFP52"/>
      <c r="UFQ52"/>
      <c r="UFR52"/>
      <c r="UFS52"/>
      <c r="UFT52"/>
      <c r="UFU52"/>
      <c r="UFV52"/>
      <c r="UFW52"/>
      <c r="UFX52"/>
      <c r="UFY52"/>
      <c r="UFZ52"/>
      <c r="UGA52"/>
      <c r="UGB52"/>
      <c r="UGC52"/>
      <c r="UGD52"/>
      <c r="UGE52"/>
      <c r="UGF52"/>
      <c r="UGG52"/>
      <c r="UGH52"/>
      <c r="UGI52"/>
      <c r="UGJ52"/>
      <c r="UGK52"/>
      <c r="UGL52"/>
      <c r="UGM52"/>
      <c r="UGN52"/>
      <c r="UGO52"/>
      <c r="UGP52"/>
      <c r="UGQ52"/>
      <c r="UGR52"/>
      <c r="UGS52"/>
      <c r="UGT52"/>
      <c r="UGU52"/>
      <c r="UGV52"/>
      <c r="UGW52"/>
      <c r="UGX52"/>
      <c r="UGY52"/>
      <c r="UGZ52"/>
      <c r="UHA52"/>
      <c r="UHB52"/>
      <c r="UHC52"/>
      <c r="UHD52"/>
      <c r="UHE52"/>
      <c r="UHF52"/>
      <c r="UHG52"/>
      <c r="UHH52"/>
      <c r="UHI52"/>
      <c r="UHJ52"/>
      <c r="UHK52"/>
      <c r="UHL52"/>
      <c r="UHM52"/>
      <c r="UHN52"/>
      <c r="UHO52"/>
      <c r="UHP52"/>
      <c r="UHQ52"/>
      <c r="UHR52"/>
      <c r="UHS52"/>
      <c r="UHT52"/>
      <c r="UHU52"/>
      <c r="UHV52"/>
      <c r="UHW52"/>
      <c r="UHX52"/>
      <c r="UHY52"/>
      <c r="UHZ52"/>
      <c r="UIA52"/>
      <c r="UIB52"/>
      <c r="UIC52"/>
      <c r="UID52"/>
      <c r="UIE52"/>
      <c r="UIF52"/>
      <c r="UIG52"/>
      <c r="UIH52"/>
      <c r="UII52"/>
      <c r="UIJ52"/>
      <c r="UIK52"/>
      <c r="UIL52"/>
      <c r="UIM52"/>
      <c r="UIN52"/>
      <c r="UIO52"/>
      <c r="UIP52"/>
      <c r="UIQ52"/>
      <c r="UIR52"/>
      <c r="UIS52"/>
      <c r="UIT52"/>
      <c r="UIU52"/>
      <c r="UIV52"/>
      <c r="UIW52"/>
      <c r="UIX52"/>
      <c r="UIY52"/>
      <c r="UIZ52"/>
      <c r="UJA52"/>
      <c r="UJB52"/>
      <c r="UJC52"/>
      <c r="UJD52"/>
      <c r="UJE52"/>
      <c r="UJF52"/>
      <c r="UJG52"/>
      <c r="UJH52"/>
      <c r="UJI52"/>
      <c r="UJJ52"/>
      <c r="UJK52"/>
      <c r="UJL52"/>
      <c r="UJM52"/>
      <c r="UJN52"/>
      <c r="UJO52"/>
      <c r="UJP52"/>
      <c r="UJQ52"/>
      <c r="UJR52"/>
      <c r="UJS52"/>
      <c r="UJT52"/>
      <c r="UJU52"/>
      <c r="UJV52"/>
      <c r="UJW52"/>
      <c r="UJX52"/>
      <c r="UJY52"/>
      <c r="UJZ52"/>
      <c r="UKA52"/>
      <c r="UKB52"/>
      <c r="UKC52"/>
      <c r="UKD52"/>
      <c r="UKE52"/>
      <c r="UKF52"/>
      <c r="UKG52"/>
      <c r="UKH52"/>
      <c r="UKI52"/>
      <c r="UKJ52"/>
      <c r="UKK52"/>
      <c r="UKL52"/>
      <c r="UKM52"/>
      <c r="UKN52"/>
      <c r="UKO52"/>
      <c r="UKP52"/>
      <c r="UKQ52"/>
      <c r="UKR52"/>
      <c r="UKS52"/>
      <c r="UKT52"/>
      <c r="UKU52"/>
      <c r="UKV52"/>
      <c r="UKW52"/>
      <c r="UKX52"/>
      <c r="UKY52"/>
      <c r="UKZ52"/>
      <c r="ULA52"/>
      <c r="ULB52"/>
      <c r="ULC52"/>
      <c r="ULD52"/>
      <c r="ULE52"/>
      <c r="ULF52"/>
      <c r="ULG52"/>
      <c r="ULH52"/>
      <c r="ULI52"/>
      <c r="ULJ52"/>
      <c r="ULK52"/>
      <c r="ULL52"/>
      <c r="ULM52"/>
      <c r="ULN52"/>
      <c r="ULO52"/>
      <c r="ULP52"/>
      <c r="ULQ52"/>
      <c r="ULR52"/>
      <c r="ULS52"/>
      <c r="ULT52"/>
      <c r="ULU52"/>
      <c r="ULV52"/>
      <c r="ULW52"/>
      <c r="ULX52"/>
      <c r="ULY52"/>
      <c r="ULZ52"/>
      <c r="UMA52"/>
      <c r="UMB52"/>
      <c r="UMC52"/>
      <c r="UMD52"/>
      <c r="UME52"/>
      <c r="UMF52"/>
      <c r="UMG52"/>
      <c r="UMH52"/>
      <c r="UMI52"/>
      <c r="UMJ52"/>
      <c r="UMK52"/>
      <c r="UML52"/>
      <c r="UMM52"/>
      <c r="UMN52"/>
      <c r="UMO52"/>
      <c r="UMP52"/>
      <c r="UMQ52"/>
      <c r="UMR52"/>
      <c r="UMS52"/>
      <c r="UMT52"/>
      <c r="UMU52"/>
      <c r="UMV52"/>
      <c r="UMW52"/>
      <c r="UMX52"/>
      <c r="UMY52"/>
      <c r="UMZ52"/>
      <c r="UNA52"/>
      <c r="UNB52"/>
      <c r="UNC52"/>
      <c r="UND52"/>
      <c r="UNE52"/>
      <c r="UNF52"/>
      <c r="UNG52"/>
      <c r="UNH52"/>
      <c r="UNI52"/>
      <c r="UNJ52"/>
      <c r="UNK52"/>
      <c r="UNL52"/>
      <c r="UNM52"/>
      <c r="UNN52"/>
      <c r="UNO52"/>
      <c r="UNP52"/>
      <c r="UNQ52"/>
      <c r="UNR52"/>
      <c r="UNS52"/>
      <c r="UNT52"/>
      <c r="UNU52"/>
      <c r="UNV52"/>
      <c r="UNW52"/>
      <c r="UNX52"/>
      <c r="UNY52"/>
      <c r="UNZ52"/>
      <c r="UOA52"/>
      <c r="UOB52"/>
      <c r="UOC52"/>
      <c r="UOD52"/>
      <c r="UOE52"/>
      <c r="UOF52"/>
      <c r="UOG52"/>
      <c r="UOH52"/>
      <c r="UOI52"/>
      <c r="UOJ52"/>
      <c r="UOK52"/>
      <c r="UOL52"/>
      <c r="UOM52"/>
      <c r="UON52"/>
      <c r="UOO52"/>
      <c r="UOP52"/>
      <c r="UOQ52"/>
      <c r="UOR52"/>
      <c r="UOS52"/>
      <c r="UOT52"/>
      <c r="UOU52"/>
      <c r="UOV52"/>
      <c r="UOW52"/>
      <c r="UOX52"/>
      <c r="UOY52"/>
      <c r="UOZ52"/>
      <c r="UPA52"/>
      <c r="UPB52"/>
      <c r="UPC52"/>
      <c r="UPD52"/>
      <c r="UPE52"/>
      <c r="UPF52"/>
      <c r="UPG52"/>
      <c r="UPH52"/>
      <c r="UPI52"/>
      <c r="UPJ52"/>
      <c r="UPK52"/>
      <c r="UPL52"/>
      <c r="UPM52"/>
      <c r="UPN52"/>
      <c r="UPO52"/>
      <c r="UPP52"/>
      <c r="UPQ52"/>
      <c r="UPR52"/>
      <c r="UPS52"/>
      <c r="UPT52"/>
      <c r="UPU52"/>
      <c r="UPV52"/>
      <c r="UPW52"/>
      <c r="UPX52"/>
      <c r="UPY52"/>
      <c r="UPZ52"/>
      <c r="UQA52"/>
      <c r="UQB52"/>
      <c r="UQC52"/>
      <c r="UQD52"/>
      <c r="UQE52"/>
      <c r="UQF52"/>
      <c r="UQG52"/>
      <c r="UQH52"/>
      <c r="UQI52"/>
      <c r="UQJ52"/>
      <c r="UQK52"/>
      <c r="UQL52"/>
      <c r="UQM52"/>
      <c r="UQN52"/>
      <c r="UQO52"/>
      <c r="UQP52"/>
      <c r="UQQ52"/>
      <c r="UQR52"/>
      <c r="UQS52"/>
      <c r="UQT52"/>
      <c r="UQU52"/>
      <c r="UQV52"/>
      <c r="UQW52"/>
      <c r="UQX52"/>
      <c r="UQY52"/>
      <c r="UQZ52"/>
      <c r="URA52"/>
      <c r="URB52"/>
      <c r="URC52"/>
      <c r="URD52"/>
      <c r="URE52"/>
      <c r="URF52"/>
      <c r="URG52"/>
      <c r="URH52"/>
      <c r="URI52"/>
      <c r="URJ52"/>
      <c r="URK52"/>
      <c r="URL52"/>
      <c r="URM52"/>
      <c r="URN52"/>
      <c r="URO52"/>
      <c r="URP52"/>
      <c r="URQ52"/>
      <c r="URR52"/>
      <c r="URS52"/>
      <c r="URT52"/>
      <c r="URU52"/>
      <c r="URV52"/>
      <c r="URW52"/>
      <c r="URX52"/>
      <c r="URY52"/>
      <c r="URZ52"/>
      <c r="USA52"/>
      <c r="USB52"/>
      <c r="USC52"/>
      <c r="USD52"/>
      <c r="USE52"/>
      <c r="USF52"/>
      <c r="USG52"/>
      <c r="USH52"/>
      <c r="USI52"/>
      <c r="USJ52"/>
      <c r="USK52"/>
      <c r="USL52"/>
      <c r="USM52"/>
      <c r="USN52"/>
      <c r="USO52"/>
      <c r="USP52"/>
      <c r="USQ52"/>
      <c r="USR52"/>
      <c r="USS52"/>
      <c r="UST52"/>
      <c r="USU52"/>
      <c r="USV52"/>
      <c r="USW52"/>
      <c r="USX52"/>
      <c r="USY52"/>
      <c r="USZ52"/>
      <c r="UTA52"/>
      <c r="UTB52"/>
      <c r="UTC52"/>
      <c r="UTD52"/>
      <c r="UTE52"/>
      <c r="UTF52"/>
      <c r="UTG52"/>
      <c r="UTH52"/>
      <c r="UTI52"/>
      <c r="UTJ52"/>
      <c r="UTK52"/>
      <c r="UTL52"/>
      <c r="UTM52"/>
      <c r="UTN52"/>
      <c r="UTO52"/>
      <c r="UTP52"/>
      <c r="UTQ52"/>
      <c r="UTR52"/>
      <c r="UTS52"/>
      <c r="UTT52"/>
      <c r="UTU52"/>
      <c r="UTV52"/>
      <c r="UTW52"/>
      <c r="UTX52"/>
      <c r="UTY52"/>
      <c r="UTZ52"/>
      <c r="UUA52"/>
      <c r="UUB52"/>
      <c r="UUC52"/>
      <c r="UUD52"/>
      <c r="UUE52"/>
      <c r="UUF52"/>
      <c r="UUG52"/>
      <c r="UUH52"/>
      <c r="UUI52"/>
      <c r="UUJ52"/>
      <c r="UUK52"/>
      <c r="UUL52"/>
      <c r="UUM52"/>
      <c r="UUN52"/>
      <c r="UUO52"/>
      <c r="UUP52"/>
      <c r="UUQ52"/>
      <c r="UUR52"/>
      <c r="UUS52"/>
      <c r="UUT52"/>
      <c r="UUU52"/>
      <c r="UUV52"/>
      <c r="UUW52"/>
      <c r="UUX52"/>
      <c r="UUY52"/>
      <c r="UUZ52"/>
      <c r="UVA52"/>
      <c r="UVB52"/>
      <c r="UVC52"/>
      <c r="UVD52"/>
      <c r="UVE52"/>
      <c r="UVF52"/>
      <c r="UVG52"/>
      <c r="UVH52"/>
      <c r="UVI52"/>
      <c r="UVJ52"/>
      <c r="UVK52"/>
      <c r="UVL52"/>
      <c r="UVM52"/>
      <c r="UVN52"/>
      <c r="UVO52"/>
      <c r="UVP52"/>
      <c r="UVQ52"/>
      <c r="UVR52"/>
      <c r="UVS52"/>
      <c r="UVT52"/>
      <c r="UVU52"/>
      <c r="UVV52"/>
      <c r="UVW52"/>
      <c r="UVX52"/>
      <c r="UVY52"/>
      <c r="UVZ52"/>
      <c r="UWA52"/>
      <c r="UWB52"/>
      <c r="UWC52"/>
      <c r="UWD52"/>
      <c r="UWE52"/>
      <c r="UWF52"/>
      <c r="UWG52"/>
      <c r="UWH52"/>
      <c r="UWI52"/>
      <c r="UWJ52"/>
      <c r="UWK52"/>
      <c r="UWL52"/>
      <c r="UWM52"/>
      <c r="UWN52"/>
      <c r="UWO52"/>
      <c r="UWP52"/>
      <c r="UWQ52"/>
      <c r="UWR52"/>
      <c r="UWS52"/>
      <c r="UWT52"/>
      <c r="UWU52"/>
      <c r="UWV52"/>
      <c r="UWW52"/>
      <c r="UWX52"/>
      <c r="UWY52"/>
      <c r="UWZ52"/>
      <c r="UXA52"/>
      <c r="UXB52"/>
      <c r="UXC52"/>
      <c r="UXD52"/>
      <c r="UXE52"/>
      <c r="UXF52"/>
      <c r="UXG52"/>
      <c r="UXH52"/>
      <c r="UXI52"/>
      <c r="UXJ52"/>
      <c r="UXK52"/>
      <c r="UXL52"/>
      <c r="UXM52"/>
      <c r="UXN52"/>
      <c r="UXO52"/>
      <c r="UXP52"/>
      <c r="UXQ52"/>
      <c r="UXR52"/>
      <c r="UXS52"/>
      <c r="UXT52"/>
      <c r="UXU52"/>
      <c r="UXV52"/>
      <c r="UXW52"/>
      <c r="UXX52"/>
      <c r="UXY52"/>
      <c r="UXZ52"/>
      <c r="UYA52"/>
      <c r="UYB52"/>
      <c r="UYC52"/>
      <c r="UYD52"/>
      <c r="UYE52"/>
      <c r="UYF52"/>
      <c r="UYG52"/>
      <c r="UYH52"/>
      <c r="UYI52"/>
      <c r="UYJ52"/>
      <c r="UYK52"/>
      <c r="UYL52"/>
      <c r="UYM52"/>
      <c r="UYN52"/>
      <c r="UYO52"/>
      <c r="UYP52"/>
      <c r="UYQ52"/>
      <c r="UYR52"/>
      <c r="UYS52"/>
      <c r="UYT52"/>
      <c r="UYU52"/>
      <c r="UYV52"/>
      <c r="UYW52"/>
      <c r="UYX52"/>
      <c r="UYY52"/>
      <c r="UYZ52"/>
      <c r="UZA52"/>
      <c r="UZB52"/>
      <c r="UZC52"/>
      <c r="UZD52"/>
      <c r="UZE52"/>
      <c r="UZF52"/>
      <c r="UZG52"/>
      <c r="UZH52"/>
      <c r="UZI52"/>
      <c r="UZJ52"/>
      <c r="UZK52"/>
      <c r="UZL52"/>
      <c r="UZM52"/>
      <c r="UZN52"/>
      <c r="UZO52"/>
      <c r="UZP52"/>
      <c r="UZQ52"/>
      <c r="UZR52"/>
      <c r="UZS52"/>
      <c r="UZT52"/>
      <c r="UZU52"/>
      <c r="UZV52"/>
      <c r="UZW52"/>
      <c r="UZX52"/>
      <c r="UZY52"/>
      <c r="UZZ52"/>
      <c r="VAA52"/>
      <c r="VAB52"/>
      <c r="VAC52"/>
      <c r="VAD52"/>
      <c r="VAE52"/>
      <c r="VAF52"/>
      <c r="VAG52"/>
      <c r="VAH52"/>
      <c r="VAI52"/>
      <c r="VAJ52"/>
      <c r="VAK52"/>
      <c r="VAL52"/>
      <c r="VAM52"/>
      <c r="VAN52"/>
      <c r="VAO52"/>
      <c r="VAP52"/>
      <c r="VAQ52"/>
      <c r="VAR52"/>
      <c r="VAS52"/>
      <c r="VAT52"/>
      <c r="VAU52"/>
      <c r="VAV52"/>
      <c r="VAW52"/>
      <c r="VAX52"/>
      <c r="VAY52"/>
      <c r="VAZ52"/>
      <c r="VBA52"/>
      <c r="VBB52"/>
      <c r="VBC52"/>
      <c r="VBD52"/>
      <c r="VBE52"/>
      <c r="VBF52"/>
      <c r="VBG52"/>
      <c r="VBH52"/>
      <c r="VBI52"/>
      <c r="VBJ52"/>
      <c r="VBK52"/>
      <c r="VBL52"/>
      <c r="VBM52"/>
      <c r="VBN52"/>
      <c r="VBO52"/>
      <c r="VBP52"/>
      <c r="VBQ52"/>
      <c r="VBR52"/>
      <c r="VBS52"/>
      <c r="VBT52"/>
      <c r="VBU52"/>
      <c r="VBV52"/>
      <c r="VBW52"/>
      <c r="VBX52"/>
      <c r="VBY52"/>
      <c r="VBZ52"/>
      <c r="VCA52"/>
      <c r="VCB52"/>
      <c r="VCC52"/>
      <c r="VCD52"/>
      <c r="VCE52"/>
      <c r="VCF52"/>
      <c r="VCG52"/>
      <c r="VCH52"/>
      <c r="VCI52"/>
      <c r="VCJ52"/>
      <c r="VCK52"/>
      <c r="VCL52"/>
      <c r="VCM52"/>
      <c r="VCN52"/>
      <c r="VCO52"/>
      <c r="VCP52"/>
      <c r="VCQ52"/>
      <c r="VCR52"/>
      <c r="VCS52"/>
      <c r="VCT52"/>
      <c r="VCU52"/>
      <c r="VCV52"/>
      <c r="VCW52"/>
      <c r="VCX52"/>
      <c r="VCY52"/>
      <c r="VCZ52"/>
      <c r="VDA52"/>
      <c r="VDB52"/>
      <c r="VDC52"/>
      <c r="VDD52"/>
      <c r="VDE52"/>
      <c r="VDF52"/>
      <c r="VDG52"/>
      <c r="VDH52"/>
      <c r="VDI52"/>
      <c r="VDJ52"/>
      <c r="VDK52"/>
      <c r="VDL52"/>
      <c r="VDM52"/>
      <c r="VDN52"/>
      <c r="VDO52"/>
      <c r="VDP52"/>
      <c r="VDQ52"/>
      <c r="VDR52"/>
      <c r="VDS52"/>
      <c r="VDT52"/>
      <c r="VDU52"/>
      <c r="VDV52"/>
      <c r="VDW52"/>
      <c r="VDX52"/>
      <c r="VDY52"/>
      <c r="VDZ52"/>
      <c r="VEA52"/>
      <c r="VEB52"/>
      <c r="VEC52"/>
      <c r="VED52"/>
      <c r="VEE52"/>
      <c r="VEF52"/>
      <c r="VEG52"/>
      <c r="VEH52"/>
      <c r="VEI52"/>
      <c r="VEJ52"/>
      <c r="VEK52"/>
      <c r="VEL52"/>
      <c r="VEM52"/>
      <c r="VEN52"/>
      <c r="VEO52"/>
      <c r="VEP52"/>
      <c r="VEQ52"/>
      <c r="VER52"/>
      <c r="VES52"/>
      <c r="VET52"/>
      <c r="VEU52"/>
      <c r="VEV52"/>
      <c r="VEW52"/>
      <c r="VEX52"/>
      <c r="VEY52"/>
      <c r="VEZ52"/>
      <c r="VFA52"/>
      <c r="VFB52"/>
      <c r="VFC52"/>
      <c r="VFD52"/>
      <c r="VFE52"/>
      <c r="VFF52"/>
      <c r="VFG52"/>
      <c r="VFH52"/>
      <c r="VFI52"/>
      <c r="VFJ52"/>
      <c r="VFK52"/>
      <c r="VFL52"/>
      <c r="VFM52"/>
      <c r="VFN52"/>
      <c r="VFO52"/>
      <c r="VFP52"/>
      <c r="VFQ52"/>
      <c r="VFR52"/>
      <c r="VFS52"/>
      <c r="VFT52"/>
      <c r="VFU52"/>
      <c r="VFV52"/>
      <c r="VFW52"/>
      <c r="VFX52"/>
      <c r="VFY52"/>
      <c r="VFZ52"/>
      <c r="VGA52"/>
      <c r="VGB52"/>
      <c r="VGC52"/>
      <c r="VGD52"/>
      <c r="VGE52"/>
      <c r="VGF52"/>
      <c r="VGG52"/>
      <c r="VGH52"/>
      <c r="VGI52"/>
      <c r="VGJ52"/>
      <c r="VGK52"/>
      <c r="VGL52"/>
      <c r="VGM52"/>
      <c r="VGN52"/>
      <c r="VGO52"/>
      <c r="VGP52"/>
      <c r="VGQ52"/>
      <c r="VGR52"/>
      <c r="VGS52"/>
      <c r="VGT52"/>
      <c r="VGU52"/>
      <c r="VGV52"/>
      <c r="VGW52"/>
      <c r="VGX52"/>
      <c r="VGY52"/>
      <c r="VGZ52"/>
      <c r="VHA52"/>
      <c r="VHB52"/>
      <c r="VHC52"/>
      <c r="VHD52"/>
      <c r="VHE52"/>
      <c r="VHF52"/>
      <c r="VHG52"/>
      <c r="VHH52"/>
      <c r="VHI52"/>
      <c r="VHJ52"/>
      <c r="VHK52"/>
      <c r="VHL52"/>
      <c r="VHM52"/>
      <c r="VHN52"/>
      <c r="VHO52"/>
      <c r="VHP52"/>
      <c r="VHQ52"/>
      <c r="VHR52"/>
      <c r="VHS52"/>
      <c r="VHT52"/>
      <c r="VHU52"/>
      <c r="VHV52"/>
      <c r="VHW52"/>
      <c r="VHX52"/>
      <c r="VHY52"/>
      <c r="VHZ52"/>
      <c r="VIA52"/>
      <c r="VIB52"/>
      <c r="VIC52"/>
      <c r="VID52"/>
      <c r="VIE52"/>
      <c r="VIF52"/>
      <c r="VIG52"/>
      <c r="VIH52"/>
      <c r="VII52"/>
      <c r="VIJ52"/>
      <c r="VIK52"/>
      <c r="VIL52"/>
      <c r="VIM52"/>
      <c r="VIN52"/>
      <c r="VIO52"/>
      <c r="VIP52"/>
      <c r="VIQ52"/>
      <c r="VIR52"/>
      <c r="VIS52"/>
      <c r="VIT52"/>
      <c r="VIU52"/>
      <c r="VIV52"/>
      <c r="VIW52"/>
      <c r="VIX52"/>
      <c r="VIY52"/>
      <c r="VIZ52"/>
      <c r="VJA52"/>
      <c r="VJB52"/>
      <c r="VJC52"/>
      <c r="VJD52"/>
      <c r="VJE52"/>
      <c r="VJF52"/>
      <c r="VJG52"/>
      <c r="VJH52"/>
      <c r="VJI52"/>
      <c r="VJJ52"/>
      <c r="VJK52"/>
      <c r="VJL52"/>
      <c r="VJM52"/>
      <c r="VJN52"/>
      <c r="VJO52"/>
      <c r="VJP52"/>
      <c r="VJQ52"/>
      <c r="VJR52"/>
      <c r="VJS52"/>
      <c r="VJT52"/>
      <c r="VJU52"/>
      <c r="VJV52"/>
      <c r="VJW52"/>
      <c r="VJX52"/>
      <c r="VJY52"/>
      <c r="VJZ52"/>
      <c r="VKA52"/>
      <c r="VKB52"/>
      <c r="VKC52"/>
      <c r="VKD52"/>
      <c r="VKE52"/>
      <c r="VKF52"/>
      <c r="VKG52"/>
      <c r="VKH52"/>
      <c r="VKI52"/>
      <c r="VKJ52"/>
      <c r="VKK52"/>
      <c r="VKL52"/>
      <c r="VKM52"/>
      <c r="VKN52"/>
      <c r="VKO52"/>
      <c r="VKP52"/>
      <c r="VKQ52"/>
      <c r="VKR52"/>
      <c r="VKS52"/>
      <c r="VKT52"/>
      <c r="VKU52"/>
      <c r="VKV52"/>
      <c r="VKW52"/>
      <c r="VKX52"/>
      <c r="VKY52"/>
      <c r="VKZ52"/>
      <c r="VLA52"/>
      <c r="VLB52"/>
      <c r="VLC52"/>
      <c r="VLD52"/>
      <c r="VLE52"/>
      <c r="VLF52"/>
      <c r="VLG52"/>
      <c r="VLH52"/>
      <c r="VLI52"/>
      <c r="VLJ52"/>
      <c r="VLK52"/>
      <c r="VLL52"/>
      <c r="VLM52"/>
      <c r="VLN52"/>
      <c r="VLO52"/>
      <c r="VLP52"/>
      <c r="VLQ52"/>
      <c r="VLR52"/>
      <c r="VLS52"/>
      <c r="VLT52"/>
      <c r="VLU52"/>
      <c r="VLV52"/>
      <c r="VLW52"/>
      <c r="VLX52"/>
      <c r="VLY52"/>
      <c r="VLZ52"/>
      <c r="VMA52"/>
      <c r="VMB52"/>
      <c r="VMC52"/>
      <c r="VMD52"/>
      <c r="VME52"/>
      <c r="VMF52"/>
      <c r="VMG52"/>
      <c r="VMH52"/>
      <c r="VMI52"/>
      <c r="VMJ52"/>
      <c r="VMK52"/>
      <c r="VML52"/>
      <c r="VMM52"/>
      <c r="VMN52"/>
      <c r="VMO52"/>
      <c r="VMP52"/>
      <c r="VMQ52"/>
      <c r="VMR52"/>
      <c r="VMS52"/>
      <c r="VMT52"/>
      <c r="VMU52"/>
      <c r="VMV52"/>
      <c r="VMW52"/>
      <c r="VMX52"/>
      <c r="VMY52"/>
      <c r="VMZ52"/>
      <c r="VNA52"/>
      <c r="VNB52"/>
      <c r="VNC52"/>
      <c r="VND52"/>
      <c r="VNE52"/>
      <c r="VNF52"/>
      <c r="VNG52"/>
      <c r="VNH52"/>
      <c r="VNI52"/>
      <c r="VNJ52"/>
      <c r="VNK52"/>
      <c r="VNL52"/>
      <c r="VNM52"/>
      <c r="VNN52"/>
      <c r="VNO52"/>
      <c r="VNP52"/>
      <c r="VNQ52"/>
      <c r="VNR52"/>
      <c r="VNS52"/>
      <c r="VNT52"/>
      <c r="VNU52"/>
      <c r="VNV52"/>
      <c r="VNW52"/>
      <c r="VNX52"/>
      <c r="VNY52"/>
      <c r="VNZ52"/>
      <c r="VOA52"/>
      <c r="VOB52"/>
      <c r="VOC52"/>
      <c r="VOD52"/>
      <c r="VOE52"/>
      <c r="VOF52"/>
      <c r="VOG52"/>
      <c r="VOH52"/>
      <c r="VOI52"/>
      <c r="VOJ52"/>
      <c r="VOK52"/>
      <c r="VOL52"/>
      <c r="VOM52"/>
      <c r="VON52"/>
      <c r="VOO52"/>
      <c r="VOP52"/>
      <c r="VOQ52"/>
      <c r="VOR52"/>
      <c r="VOS52"/>
      <c r="VOT52"/>
      <c r="VOU52"/>
      <c r="VOV52"/>
      <c r="VOW52"/>
      <c r="VOX52"/>
      <c r="VOY52"/>
      <c r="VOZ52"/>
      <c r="VPA52"/>
      <c r="VPB52"/>
      <c r="VPC52"/>
      <c r="VPD52"/>
      <c r="VPE52"/>
      <c r="VPF52"/>
      <c r="VPG52"/>
      <c r="VPH52"/>
      <c r="VPI52"/>
      <c r="VPJ52"/>
      <c r="VPK52"/>
      <c r="VPL52"/>
      <c r="VPM52"/>
      <c r="VPN52"/>
      <c r="VPO52"/>
      <c r="VPP52"/>
      <c r="VPQ52"/>
      <c r="VPR52"/>
      <c r="VPS52"/>
      <c r="VPT52"/>
      <c r="VPU52"/>
      <c r="VPV52"/>
      <c r="VPW52"/>
      <c r="VPX52"/>
      <c r="VPY52"/>
      <c r="VPZ52"/>
      <c r="VQA52"/>
      <c r="VQB52"/>
      <c r="VQC52"/>
      <c r="VQD52"/>
      <c r="VQE52"/>
      <c r="VQF52"/>
      <c r="VQG52"/>
      <c r="VQH52"/>
      <c r="VQI52"/>
      <c r="VQJ52"/>
      <c r="VQK52"/>
      <c r="VQL52"/>
      <c r="VQM52"/>
      <c r="VQN52"/>
      <c r="VQO52"/>
      <c r="VQP52"/>
      <c r="VQQ52"/>
      <c r="VQR52"/>
      <c r="VQS52"/>
      <c r="VQT52"/>
      <c r="VQU52"/>
      <c r="VQV52"/>
      <c r="VQW52"/>
      <c r="VQX52"/>
      <c r="VQY52"/>
      <c r="VQZ52"/>
      <c r="VRA52"/>
      <c r="VRB52"/>
      <c r="VRC52"/>
      <c r="VRD52"/>
      <c r="VRE52"/>
      <c r="VRF52"/>
      <c r="VRG52"/>
      <c r="VRH52"/>
      <c r="VRI52"/>
      <c r="VRJ52"/>
      <c r="VRK52"/>
      <c r="VRL52"/>
      <c r="VRM52"/>
      <c r="VRN52"/>
      <c r="VRO52"/>
      <c r="VRP52"/>
      <c r="VRQ52"/>
      <c r="VRR52"/>
      <c r="VRS52"/>
      <c r="VRT52"/>
      <c r="VRU52"/>
      <c r="VRV52"/>
      <c r="VRW52"/>
      <c r="VRX52"/>
      <c r="VRY52"/>
      <c r="VRZ52"/>
      <c r="VSA52"/>
      <c r="VSB52"/>
      <c r="VSC52"/>
      <c r="VSD52"/>
      <c r="VSE52"/>
      <c r="VSF52"/>
      <c r="VSG52"/>
      <c r="VSH52"/>
      <c r="VSI52"/>
      <c r="VSJ52"/>
      <c r="VSK52"/>
      <c r="VSL52"/>
      <c r="VSM52"/>
      <c r="VSN52"/>
      <c r="VSO52"/>
      <c r="VSP52"/>
      <c r="VSQ52"/>
      <c r="VSR52"/>
      <c r="VSS52"/>
      <c r="VST52"/>
      <c r="VSU52"/>
      <c r="VSV52"/>
      <c r="VSW52"/>
      <c r="VSX52"/>
      <c r="VSY52"/>
      <c r="VSZ52"/>
      <c r="VTA52"/>
      <c r="VTB52"/>
      <c r="VTC52"/>
      <c r="VTD52"/>
      <c r="VTE52"/>
      <c r="VTF52"/>
      <c r="VTG52"/>
      <c r="VTH52"/>
      <c r="VTI52"/>
      <c r="VTJ52"/>
      <c r="VTK52"/>
      <c r="VTL52"/>
      <c r="VTM52"/>
      <c r="VTN52"/>
      <c r="VTO52"/>
      <c r="VTP52"/>
      <c r="VTQ52"/>
      <c r="VTR52"/>
      <c r="VTS52"/>
      <c r="VTT52"/>
      <c r="VTU52"/>
      <c r="VTV52"/>
      <c r="VTW52"/>
      <c r="VTX52"/>
      <c r="VTY52"/>
      <c r="VTZ52"/>
      <c r="VUA52"/>
      <c r="VUB52"/>
      <c r="VUC52"/>
      <c r="VUD52"/>
      <c r="VUE52"/>
      <c r="VUF52"/>
      <c r="VUG52"/>
      <c r="VUH52"/>
      <c r="VUI52"/>
      <c r="VUJ52"/>
      <c r="VUK52"/>
      <c r="VUL52"/>
      <c r="VUM52"/>
      <c r="VUN52"/>
      <c r="VUO52"/>
      <c r="VUP52"/>
      <c r="VUQ52"/>
      <c r="VUR52"/>
      <c r="VUS52"/>
      <c r="VUT52"/>
      <c r="VUU52"/>
      <c r="VUV52"/>
      <c r="VUW52"/>
      <c r="VUX52"/>
      <c r="VUY52"/>
      <c r="VUZ52"/>
      <c r="VVA52"/>
      <c r="VVB52"/>
      <c r="VVC52"/>
      <c r="VVD52"/>
      <c r="VVE52"/>
      <c r="VVF52"/>
      <c r="VVG52"/>
      <c r="VVH52"/>
      <c r="VVI52"/>
      <c r="VVJ52"/>
      <c r="VVK52"/>
      <c r="VVL52"/>
      <c r="VVM52"/>
      <c r="VVN52"/>
      <c r="VVO52"/>
      <c r="VVP52"/>
      <c r="VVQ52"/>
      <c r="VVR52"/>
      <c r="VVS52"/>
      <c r="VVT52"/>
      <c r="VVU52"/>
      <c r="VVV52"/>
      <c r="VVW52"/>
      <c r="VVX52"/>
      <c r="VVY52"/>
      <c r="VVZ52"/>
      <c r="VWA52"/>
      <c r="VWB52"/>
      <c r="VWC52"/>
      <c r="VWD52"/>
      <c r="VWE52"/>
      <c r="VWF52"/>
      <c r="VWG52"/>
      <c r="VWH52"/>
      <c r="VWI52"/>
      <c r="VWJ52"/>
      <c r="VWK52"/>
      <c r="VWL52"/>
      <c r="VWM52"/>
      <c r="VWN52"/>
      <c r="VWO52"/>
      <c r="VWP52"/>
      <c r="VWQ52"/>
      <c r="VWR52"/>
      <c r="VWS52"/>
      <c r="VWT52"/>
      <c r="VWU52"/>
      <c r="VWV52"/>
      <c r="VWW52"/>
      <c r="VWX52"/>
      <c r="VWY52"/>
      <c r="VWZ52"/>
      <c r="VXA52"/>
      <c r="VXB52"/>
      <c r="VXC52"/>
      <c r="VXD52"/>
      <c r="VXE52"/>
      <c r="VXF52"/>
      <c r="VXG52"/>
      <c r="VXH52"/>
      <c r="VXI52"/>
      <c r="VXJ52"/>
      <c r="VXK52"/>
      <c r="VXL52"/>
      <c r="VXM52"/>
      <c r="VXN52"/>
      <c r="VXO52"/>
      <c r="VXP52"/>
      <c r="VXQ52"/>
      <c r="VXR52"/>
      <c r="VXS52"/>
      <c r="VXT52"/>
      <c r="VXU52"/>
      <c r="VXV52"/>
      <c r="VXW52"/>
      <c r="VXX52"/>
      <c r="VXY52"/>
      <c r="VXZ52"/>
      <c r="VYA52"/>
      <c r="VYB52"/>
      <c r="VYC52"/>
      <c r="VYD52"/>
      <c r="VYE52"/>
      <c r="VYF52"/>
      <c r="VYG52"/>
      <c r="VYH52"/>
      <c r="VYI52"/>
      <c r="VYJ52"/>
      <c r="VYK52"/>
      <c r="VYL52"/>
      <c r="VYM52"/>
      <c r="VYN52"/>
      <c r="VYO52"/>
      <c r="VYP52"/>
      <c r="VYQ52"/>
      <c r="VYR52"/>
      <c r="VYS52"/>
      <c r="VYT52"/>
      <c r="VYU52"/>
      <c r="VYV52"/>
      <c r="VYW52"/>
      <c r="VYX52"/>
      <c r="VYY52"/>
      <c r="VYZ52"/>
      <c r="VZA52"/>
      <c r="VZB52"/>
      <c r="VZC52"/>
      <c r="VZD52"/>
      <c r="VZE52"/>
      <c r="VZF52"/>
      <c r="VZG52"/>
      <c r="VZH52"/>
      <c r="VZI52"/>
      <c r="VZJ52"/>
      <c r="VZK52"/>
      <c r="VZL52"/>
      <c r="VZM52"/>
      <c r="VZN52"/>
      <c r="VZO52"/>
      <c r="VZP52"/>
      <c r="VZQ52"/>
      <c r="VZR52"/>
      <c r="VZS52"/>
      <c r="VZT52"/>
      <c r="VZU52"/>
      <c r="VZV52"/>
      <c r="VZW52"/>
      <c r="VZX52"/>
      <c r="VZY52"/>
      <c r="VZZ52"/>
      <c r="WAA52"/>
      <c r="WAB52"/>
      <c r="WAC52"/>
      <c r="WAD52"/>
      <c r="WAE52"/>
      <c r="WAF52"/>
      <c r="WAG52"/>
      <c r="WAH52"/>
      <c r="WAI52"/>
      <c r="WAJ52"/>
      <c r="WAK52"/>
      <c r="WAL52"/>
      <c r="WAM52"/>
      <c r="WAN52"/>
      <c r="WAO52"/>
      <c r="WAP52"/>
      <c r="WAQ52"/>
      <c r="WAR52"/>
      <c r="WAS52"/>
      <c r="WAT52"/>
      <c r="WAU52"/>
      <c r="WAV52"/>
      <c r="WAW52"/>
      <c r="WAX52"/>
      <c r="WAY52"/>
      <c r="WAZ52"/>
      <c r="WBA52"/>
      <c r="WBB52"/>
      <c r="WBC52"/>
      <c r="WBD52"/>
      <c r="WBE52"/>
      <c r="WBF52"/>
      <c r="WBG52"/>
      <c r="WBH52"/>
      <c r="WBI52"/>
      <c r="WBJ52"/>
      <c r="WBK52"/>
      <c r="WBL52"/>
      <c r="WBM52"/>
      <c r="WBN52"/>
      <c r="WBO52"/>
      <c r="WBP52"/>
      <c r="WBQ52"/>
      <c r="WBR52"/>
      <c r="WBS52"/>
      <c r="WBT52"/>
      <c r="WBU52"/>
      <c r="WBV52"/>
      <c r="WBW52"/>
      <c r="WBX52"/>
      <c r="WBY52"/>
      <c r="WBZ52"/>
      <c r="WCA52"/>
      <c r="WCB52"/>
      <c r="WCC52"/>
      <c r="WCD52"/>
      <c r="WCE52"/>
      <c r="WCF52"/>
      <c r="WCG52"/>
      <c r="WCH52"/>
      <c r="WCI52"/>
      <c r="WCJ52"/>
      <c r="WCK52"/>
      <c r="WCL52"/>
      <c r="WCM52"/>
      <c r="WCN52"/>
      <c r="WCO52"/>
      <c r="WCP52"/>
      <c r="WCQ52"/>
      <c r="WCR52"/>
      <c r="WCS52"/>
      <c r="WCT52"/>
      <c r="WCU52"/>
      <c r="WCV52"/>
      <c r="WCW52"/>
      <c r="WCX52"/>
      <c r="WCY52"/>
      <c r="WCZ52"/>
      <c r="WDA52"/>
      <c r="WDB52"/>
      <c r="WDC52"/>
      <c r="WDD52"/>
      <c r="WDE52"/>
      <c r="WDF52"/>
      <c r="WDG52"/>
      <c r="WDH52"/>
      <c r="WDI52"/>
      <c r="WDJ52"/>
      <c r="WDK52"/>
      <c r="WDL52"/>
      <c r="WDM52"/>
      <c r="WDN52"/>
      <c r="WDO52"/>
      <c r="WDP52"/>
      <c r="WDQ52"/>
      <c r="WDR52"/>
      <c r="WDS52"/>
      <c r="WDT52"/>
      <c r="WDU52"/>
      <c r="WDV52"/>
      <c r="WDW52"/>
      <c r="WDX52"/>
      <c r="WDY52"/>
      <c r="WDZ52"/>
      <c r="WEA52"/>
      <c r="WEB52"/>
      <c r="WEC52"/>
      <c r="WED52"/>
      <c r="WEE52"/>
      <c r="WEF52"/>
      <c r="WEG52"/>
      <c r="WEH52"/>
      <c r="WEI52"/>
      <c r="WEJ52"/>
      <c r="WEK52"/>
      <c r="WEL52"/>
      <c r="WEM52"/>
      <c r="WEN52"/>
      <c r="WEO52"/>
      <c r="WEP52"/>
      <c r="WEQ52"/>
      <c r="WER52"/>
      <c r="WES52"/>
      <c r="WET52"/>
      <c r="WEU52"/>
      <c r="WEV52"/>
      <c r="WEW52"/>
      <c r="WEX52"/>
      <c r="WEY52"/>
      <c r="WEZ52"/>
      <c r="WFA52"/>
      <c r="WFB52"/>
      <c r="WFC52"/>
      <c r="WFD52"/>
      <c r="WFE52"/>
      <c r="WFF52"/>
      <c r="WFG52"/>
      <c r="WFH52"/>
      <c r="WFI52"/>
      <c r="WFJ52"/>
      <c r="WFK52"/>
      <c r="WFL52"/>
      <c r="WFM52"/>
      <c r="WFN52"/>
      <c r="WFO52"/>
      <c r="WFP52"/>
      <c r="WFQ52"/>
      <c r="WFR52"/>
      <c r="WFS52"/>
      <c r="WFT52"/>
      <c r="WFU52"/>
      <c r="WFV52"/>
      <c r="WFW52"/>
      <c r="WFX52"/>
      <c r="WFY52"/>
      <c r="WFZ52"/>
      <c r="WGA52"/>
      <c r="WGB52"/>
      <c r="WGC52"/>
      <c r="WGD52"/>
      <c r="WGE52"/>
      <c r="WGF52"/>
      <c r="WGG52"/>
      <c r="WGH52"/>
      <c r="WGI52"/>
      <c r="WGJ52"/>
      <c r="WGK52"/>
      <c r="WGL52"/>
      <c r="WGM52"/>
      <c r="WGN52"/>
      <c r="WGO52"/>
      <c r="WGP52"/>
      <c r="WGQ52"/>
      <c r="WGR52"/>
      <c r="WGS52"/>
      <c r="WGT52"/>
      <c r="WGU52"/>
      <c r="WGV52"/>
      <c r="WGW52"/>
      <c r="WGX52"/>
      <c r="WGY52"/>
      <c r="WGZ52"/>
      <c r="WHA52"/>
      <c r="WHB52"/>
      <c r="WHC52"/>
      <c r="WHD52"/>
      <c r="WHE52"/>
      <c r="WHF52"/>
      <c r="WHG52"/>
      <c r="WHH52"/>
      <c r="WHI52"/>
      <c r="WHJ52"/>
      <c r="WHK52"/>
      <c r="WHL52"/>
      <c r="WHM52"/>
      <c r="WHN52"/>
      <c r="WHO52"/>
      <c r="WHP52"/>
      <c r="WHQ52"/>
      <c r="WHR52"/>
      <c r="WHS52"/>
      <c r="WHT52"/>
      <c r="WHU52"/>
      <c r="WHV52"/>
      <c r="WHW52"/>
      <c r="WHX52"/>
      <c r="WHY52"/>
      <c r="WHZ52"/>
      <c r="WIA52"/>
      <c r="WIB52"/>
      <c r="WIC52"/>
      <c r="WID52"/>
      <c r="WIE52"/>
      <c r="WIF52"/>
      <c r="WIG52"/>
      <c r="WIH52"/>
      <c r="WII52"/>
      <c r="WIJ52"/>
      <c r="WIK52"/>
      <c r="WIL52"/>
      <c r="WIM52"/>
      <c r="WIN52"/>
      <c r="WIO52"/>
      <c r="WIP52"/>
      <c r="WIQ52"/>
      <c r="WIR52"/>
      <c r="WIS52"/>
      <c r="WIT52"/>
      <c r="WIU52"/>
      <c r="WIV52"/>
      <c r="WIW52"/>
      <c r="WIX52"/>
      <c r="WIY52"/>
      <c r="WIZ52"/>
      <c r="WJA52"/>
      <c r="WJB52"/>
      <c r="WJC52"/>
      <c r="WJD52"/>
      <c r="WJE52"/>
      <c r="WJF52"/>
      <c r="WJG52"/>
      <c r="WJH52"/>
      <c r="WJI52"/>
      <c r="WJJ52"/>
      <c r="WJK52"/>
      <c r="WJL52"/>
      <c r="WJM52"/>
      <c r="WJN52"/>
      <c r="WJO52"/>
      <c r="WJP52"/>
      <c r="WJQ52"/>
      <c r="WJR52"/>
      <c r="WJS52"/>
      <c r="WJT52"/>
      <c r="WJU52"/>
      <c r="WJV52"/>
      <c r="WJW52"/>
      <c r="WJX52"/>
      <c r="WJY52"/>
      <c r="WJZ52"/>
      <c r="WKA52"/>
      <c r="WKB52"/>
      <c r="WKC52"/>
      <c r="WKD52"/>
      <c r="WKE52"/>
      <c r="WKF52"/>
      <c r="WKG52"/>
      <c r="WKH52"/>
      <c r="WKI52"/>
      <c r="WKJ52"/>
      <c r="WKK52"/>
      <c r="WKL52"/>
      <c r="WKM52"/>
      <c r="WKN52"/>
      <c r="WKO52"/>
      <c r="WKP52"/>
      <c r="WKQ52"/>
      <c r="WKR52"/>
      <c r="WKS52"/>
      <c r="WKT52"/>
      <c r="WKU52"/>
      <c r="WKV52"/>
      <c r="WKW52"/>
      <c r="WKX52"/>
      <c r="WKY52"/>
      <c r="WKZ52"/>
      <c r="WLA52"/>
      <c r="WLB52"/>
      <c r="WLC52"/>
      <c r="WLD52"/>
      <c r="WLE52"/>
      <c r="WLF52"/>
      <c r="WLG52"/>
      <c r="WLH52"/>
      <c r="WLI52"/>
      <c r="WLJ52"/>
      <c r="WLK52"/>
      <c r="WLL52"/>
      <c r="WLM52"/>
      <c r="WLN52"/>
      <c r="WLO52"/>
      <c r="WLP52"/>
      <c r="WLQ52"/>
      <c r="WLR52"/>
      <c r="WLS52"/>
      <c r="WLT52"/>
      <c r="WLU52"/>
      <c r="WLV52"/>
      <c r="WLW52"/>
      <c r="WLX52"/>
      <c r="WLY52"/>
      <c r="WLZ52"/>
      <c r="WMA52"/>
      <c r="WMB52"/>
      <c r="WMC52"/>
      <c r="WMD52"/>
      <c r="WME52"/>
      <c r="WMF52"/>
      <c r="WMG52"/>
      <c r="WMH52"/>
      <c r="WMI52"/>
      <c r="WMJ52"/>
      <c r="WMK52"/>
      <c r="WML52"/>
      <c r="WMM52"/>
      <c r="WMN52"/>
      <c r="WMO52"/>
      <c r="WMP52"/>
      <c r="WMQ52"/>
      <c r="WMR52"/>
      <c r="WMS52"/>
      <c r="WMT52"/>
      <c r="WMU52"/>
      <c r="WMV52"/>
      <c r="WMW52"/>
      <c r="WMX52"/>
      <c r="WMY52"/>
      <c r="WMZ52"/>
      <c r="WNA52"/>
      <c r="WNB52"/>
      <c r="WNC52"/>
      <c r="WND52"/>
      <c r="WNE52"/>
      <c r="WNF52"/>
      <c r="WNG52"/>
      <c r="WNH52"/>
      <c r="WNI52"/>
      <c r="WNJ52"/>
      <c r="WNK52"/>
      <c r="WNL52"/>
      <c r="WNM52"/>
      <c r="WNN52"/>
      <c r="WNO52"/>
      <c r="WNP52"/>
      <c r="WNQ52"/>
      <c r="WNR52"/>
      <c r="WNS52"/>
      <c r="WNT52"/>
      <c r="WNU52"/>
      <c r="WNV52"/>
      <c r="WNW52"/>
      <c r="WNX52"/>
      <c r="WNY52"/>
      <c r="WNZ52"/>
      <c r="WOA52"/>
      <c r="WOB52"/>
      <c r="WOC52"/>
      <c r="WOD52"/>
      <c r="WOE52"/>
      <c r="WOF52"/>
      <c r="WOG52"/>
      <c r="WOH52"/>
      <c r="WOI52"/>
      <c r="WOJ52"/>
      <c r="WOK52"/>
      <c r="WOL52"/>
      <c r="WOM52"/>
      <c r="WON52"/>
      <c r="WOO52"/>
      <c r="WOP52"/>
      <c r="WOQ52"/>
      <c r="WOR52"/>
      <c r="WOS52"/>
      <c r="WOT52"/>
      <c r="WOU52"/>
      <c r="WOV52"/>
      <c r="WOW52"/>
      <c r="WOX52"/>
      <c r="WOY52"/>
      <c r="WOZ52"/>
      <c r="WPA52"/>
      <c r="WPB52"/>
      <c r="WPC52"/>
      <c r="WPD52"/>
      <c r="WPE52"/>
      <c r="WPF52"/>
      <c r="WPG52"/>
      <c r="WPH52"/>
      <c r="WPI52"/>
      <c r="WPJ52"/>
      <c r="WPK52"/>
      <c r="WPL52"/>
      <c r="WPM52"/>
      <c r="WPN52"/>
      <c r="WPO52"/>
      <c r="WPP52"/>
      <c r="WPQ52"/>
      <c r="WPR52"/>
      <c r="WPS52"/>
      <c r="WPT52"/>
      <c r="WPU52"/>
      <c r="WPV52"/>
      <c r="WPW52"/>
      <c r="WPX52"/>
      <c r="WPY52"/>
      <c r="WPZ52"/>
      <c r="WQA52"/>
      <c r="WQB52"/>
      <c r="WQC52"/>
      <c r="WQD52"/>
      <c r="WQE52"/>
      <c r="WQF52"/>
      <c r="WQG52"/>
      <c r="WQH52"/>
      <c r="WQI52"/>
      <c r="WQJ52"/>
      <c r="WQK52"/>
      <c r="WQL52"/>
      <c r="WQM52"/>
      <c r="WQN52"/>
      <c r="WQO52"/>
      <c r="WQP52"/>
      <c r="WQQ52"/>
      <c r="WQR52"/>
      <c r="WQS52"/>
      <c r="WQT52"/>
      <c r="WQU52"/>
      <c r="WQV52"/>
      <c r="WQW52"/>
      <c r="WQX52"/>
      <c r="WQY52"/>
      <c r="WQZ52"/>
      <c r="WRA52"/>
      <c r="WRB52"/>
      <c r="WRC52"/>
      <c r="WRD52"/>
      <c r="WRE52"/>
      <c r="WRF52"/>
      <c r="WRG52"/>
      <c r="WRH52"/>
      <c r="WRI52"/>
      <c r="WRJ52"/>
      <c r="WRK52"/>
      <c r="WRL52"/>
      <c r="WRM52"/>
      <c r="WRN52"/>
      <c r="WRO52"/>
      <c r="WRP52"/>
      <c r="WRQ52"/>
      <c r="WRR52"/>
      <c r="WRS52"/>
      <c r="WRT52"/>
      <c r="WRU52"/>
      <c r="WRV52"/>
      <c r="WRW52"/>
      <c r="WRX52"/>
      <c r="WRY52"/>
      <c r="WRZ52"/>
      <c r="WSA52"/>
      <c r="WSB52"/>
      <c r="WSC52"/>
      <c r="WSD52"/>
      <c r="WSE52"/>
      <c r="WSF52"/>
      <c r="WSG52"/>
      <c r="WSH52"/>
      <c r="WSI52"/>
      <c r="WSJ52"/>
      <c r="WSK52"/>
      <c r="WSL52"/>
      <c r="WSM52"/>
      <c r="WSN52"/>
      <c r="WSO52"/>
      <c r="WSP52"/>
      <c r="WSQ52"/>
      <c r="WSR52"/>
      <c r="WSS52"/>
      <c r="WST52"/>
      <c r="WSU52"/>
      <c r="WSV52"/>
      <c r="WSW52"/>
      <c r="WSX52"/>
      <c r="WSY52"/>
      <c r="WSZ52"/>
      <c r="WTA52"/>
      <c r="WTB52"/>
      <c r="WTC52"/>
      <c r="WTD52"/>
      <c r="WTE52"/>
      <c r="WTF52"/>
      <c r="WTG52"/>
      <c r="WTH52"/>
      <c r="WTI52"/>
      <c r="WTJ52"/>
      <c r="WTK52"/>
      <c r="WTL52"/>
      <c r="WTM52"/>
      <c r="WTN52"/>
      <c r="WTO52"/>
      <c r="WTP52"/>
      <c r="WTQ52"/>
      <c r="WTR52"/>
      <c r="WTS52"/>
      <c r="WTT52"/>
      <c r="WTU52"/>
      <c r="WTV52"/>
      <c r="WTW52"/>
      <c r="WTX52"/>
      <c r="WTY52"/>
      <c r="WTZ52"/>
      <c r="WUA52"/>
      <c r="WUB52"/>
      <c r="WUC52"/>
      <c r="WUD52"/>
      <c r="WUE52"/>
      <c r="WUF52"/>
      <c r="WUG52"/>
      <c r="WUH52"/>
      <c r="WUI52"/>
      <c r="WUJ52"/>
      <c r="WUK52"/>
      <c r="WUL52"/>
      <c r="WUM52"/>
      <c r="WUN52"/>
      <c r="WUO52"/>
      <c r="WUP52"/>
      <c r="WUQ52"/>
      <c r="WUR52"/>
      <c r="WUS52"/>
      <c r="WUT52"/>
      <c r="WUU52"/>
      <c r="WUV52"/>
      <c r="WUW52"/>
      <c r="WUX52"/>
      <c r="WUY52"/>
      <c r="WUZ52"/>
      <c r="WVA52"/>
      <c r="WVB52"/>
      <c r="WVC52"/>
      <c r="WVD52"/>
      <c r="WVE52"/>
      <c r="WVF52"/>
      <c r="WVG52"/>
      <c r="WVH52"/>
      <c r="WVI52"/>
      <c r="WVJ52"/>
      <c r="WVK52"/>
      <c r="WVL52"/>
      <c r="WVM52"/>
      <c r="WVN52"/>
      <c r="WVO52"/>
      <c r="WVP52"/>
      <c r="WVQ52"/>
      <c r="WVR52"/>
      <c r="WVS52"/>
      <c r="WVT52"/>
      <c r="WVU52"/>
      <c r="WVV52"/>
      <c r="WVW52"/>
      <c r="WVX52"/>
      <c r="WVY52"/>
      <c r="WVZ52"/>
      <c r="WWA52"/>
      <c r="WWB52"/>
      <c r="WWC52"/>
      <c r="WWD52"/>
      <c r="WWE52"/>
      <c r="WWF52"/>
      <c r="WWG52"/>
      <c r="WWH52"/>
      <c r="WWI52"/>
      <c r="WWJ52"/>
      <c r="WWK52"/>
      <c r="WWL52"/>
      <c r="WWM52"/>
      <c r="WWN52"/>
      <c r="WWO52"/>
      <c r="WWP52"/>
      <c r="WWQ52"/>
      <c r="WWR52"/>
      <c r="WWS52"/>
      <c r="WWT52"/>
      <c r="WWU52"/>
      <c r="WWV52"/>
      <c r="WWW52"/>
      <c r="WWX52"/>
      <c r="WWY52"/>
      <c r="WWZ52"/>
      <c r="WXA52"/>
      <c r="WXB52"/>
      <c r="WXC52"/>
      <c r="WXD52"/>
      <c r="WXE52"/>
      <c r="WXF52"/>
      <c r="WXG52"/>
      <c r="WXH52"/>
      <c r="WXI52"/>
      <c r="WXJ52"/>
      <c r="WXK52"/>
      <c r="WXL52"/>
      <c r="WXM52"/>
      <c r="WXN52"/>
      <c r="WXO52"/>
      <c r="WXP52"/>
      <c r="WXQ52"/>
      <c r="WXR52"/>
      <c r="WXS52"/>
      <c r="WXT52"/>
      <c r="WXU52"/>
      <c r="WXV52"/>
      <c r="WXW52"/>
      <c r="WXX52"/>
      <c r="WXY52"/>
      <c r="WXZ52"/>
      <c r="WYA52"/>
      <c r="WYB52"/>
      <c r="WYC52"/>
      <c r="WYD52"/>
      <c r="WYE52"/>
      <c r="WYF52"/>
      <c r="WYG52"/>
      <c r="WYH52"/>
      <c r="WYI52"/>
      <c r="WYJ52"/>
      <c r="WYK52"/>
      <c r="WYL52"/>
      <c r="WYM52"/>
      <c r="WYN52"/>
      <c r="WYO52"/>
      <c r="WYP52"/>
      <c r="WYQ52"/>
      <c r="WYR52"/>
      <c r="WYS52"/>
      <c r="WYT52"/>
      <c r="WYU52"/>
      <c r="WYV52"/>
      <c r="WYW52"/>
      <c r="WYX52"/>
      <c r="WYY52"/>
      <c r="WYZ52"/>
      <c r="WZA52"/>
      <c r="WZB52"/>
      <c r="WZC52"/>
      <c r="WZD52"/>
      <c r="WZE52"/>
      <c r="WZF52"/>
      <c r="WZG52"/>
      <c r="WZH52"/>
      <c r="WZI52"/>
      <c r="WZJ52"/>
      <c r="WZK52"/>
      <c r="WZL52"/>
      <c r="WZM52"/>
      <c r="WZN52"/>
      <c r="WZO52"/>
      <c r="WZP52"/>
      <c r="WZQ52"/>
      <c r="WZR52"/>
      <c r="WZS52"/>
      <c r="WZT52"/>
      <c r="WZU52"/>
      <c r="WZV52"/>
      <c r="WZW52"/>
      <c r="WZX52"/>
      <c r="WZY52"/>
      <c r="WZZ52"/>
      <c r="XAA52"/>
      <c r="XAB52"/>
      <c r="XAC52"/>
      <c r="XAD52"/>
      <c r="XAE52"/>
      <c r="XAF52"/>
      <c r="XAG52"/>
      <c r="XAH52"/>
      <c r="XAI52"/>
      <c r="XAJ52"/>
      <c r="XAK52"/>
      <c r="XAL52"/>
      <c r="XAM52"/>
      <c r="XAN52"/>
      <c r="XAO52"/>
      <c r="XAP52"/>
      <c r="XAQ52"/>
      <c r="XAR52"/>
      <c r="XAS52"/>
      <c r="XAT52"/>
      <c r="XAU52"/>
      <c r="XAV52"/>
      <c r="XAW52"/>
      <c r="XAX52"/>
      <c r="XAY52"/>
      <c r="XAZ52"/>
      <c r="XBA52"/>
      <c r="XBB52"/>
      <c r="XBC52"/>
      <c r="XBD52"/>
      <c r="XBE52"/>
      <c r="XBF52"/>
      <c r="XBG52"/>
      <c r="XBH52"/>
      <c r="XBI52"/>
      <c r="XBJ52"/>
      <c r="XBK52"/>
      <c r="XBL52"/>
      <c r="XBM52"/>
      <c r="XBN52"/>
      <c r="XBO52"/>
      <c r="XBP52"/>
      <c r="XBQ52"/>
      <c r="XBR52"/>
      <c r="XBS52"/>
      <c r="XBT52"/>
      <c r="XBU52"/>
      <c r="XBV52"/>
      <c r="XBW52"/>
      <c r="XBX52"/>
      <c r="XBY52"/>
      <c r="XBZ52"/>
      <c r="XCA52"/>
      <c r="XCB52"/>
      <c r="XCC52"/>
      <c r="XCD52"/>
      <c r="XCE52"/>
      <c r="XCF52"/>
      <c r="XCG52"/>
      <c r="XCH52"/>
      <c r="XCI52"/>
      <c r="XCJ52"/>
      <c r="XCK52"/>
      <c r="XCL52"/>
      <c r="XCM52"/>
      <c r="XCN52"/>
      <c r="XCO52"/>
      <c r="XCP52"/>
      <c r="XCQ52"/>
      <c r="XCR52"/>
      <c r="XCS52"/>
      <c r="XCT52"/>
      <c r="XCU52"/>
      <c r="XCV52"/>
      <c r="XCW52"/>
      <c r="XCX52"/>
      <c r="XCY52"/>
      <c r="XCZ52"/>
      <c r="XDA52"/>
      <c r="XDB52"/>
      <c r="XDC52"/>
      <c r="XDD52"/>
      <c r="XDE52"/>
      <c r="XDF52"/>
      <c r="XDG52"/>
      <c r="XDH52"/>
      <c r="XDI52"/>
      <c r="XDJ52"/>
      <c r="XDK52"/>
      <c r="XDL52"/>
      <c r="XDM52"/>
      <c r="XDN52"/>
      <c r="XDO52"/>
      <c r="XDP52"/>
      <c r="XDQ52"/>
      <c r="XDR52"/>
      <c r="XDS52"/>
      <c r="XDT52"/>
      <c r="XDU52"/>
      <c r="XDV52"/>
      <c r="XDW52"/>
      <c r="XDX52"/>
      <c r="XDY52"/>
      <c r="XDZ52"/>
      <c r="XEA52"/>
      <c r="XEB52"/>
      <c r="XEC52"/>
      <c r="XED52"/>
      <c r="XEE52"/>
      <c r="XEF52"/>
      <c r="XEG52"/>
      <c r="XEH52"/>
      <c r="XEI52"/>
      <c r="XEJ52"/>
      <c r="XEK52"/>
      <c r="XEL52"/>
      <c r="XEM52"/>
      <c r="XEN52"/>
      <c r="XEO52"/>
      <c r="XEP52"/>
      <c r="XEQ52"/>
      <c r="XER52"/>
      <c r="XES52"/>
      <c r="XET52"/>
      <c r="XEU52"/>
      <c r="XEV52"/>
      <c r="XEW52"/>
      <c r="XEX52"/>
      <c r="XEY52"/>
      <c r="XEZ52"/>
      <c r="XFA52"/>
      <c r="XFB52"/>
      <c r="XFC52"/>
      <c r="XFD52"/>
    </row>
    <row r="53" spans="1:16384" ht="33" hidden="1">
      <c r="A53" s="136"/>
      <c r="B53" s="136" t="s">
        <v>63</v>
      </c>
      <c r="C53" s="61" t="s">
        <v>508</v>
      </c>
      <c r="D53" s="156" t="s">
        <v>349</v>
      </c>
      <c r="E53" s="178" t="s">
        <v>350</v>
      </c>
      <c r="F53" s="157">
        <v>13761750895</v>
      </c>
      <c r="G53" s="179" t="s">
        <v>158</v>
      </c>
      <c r="H53" s="157" t="s">
        <v>215</v>
      </c>
      <c r="I53" s="157" t="s">
        <v>181</v>
      </c>
      <c r="J53" s="157"/>
      <c r="K53" s="157"/>
      <c r="L53" s="157"/>
      <c r="M53" s="157"/>
      <c r="N53" s="157"/>
      <c r="O53" s="157"/>
      <c r="P53" s="157"/>
      <c r="Q53" s="157"/>
      <c r="R53" s="165">
        <v>43728</v>
      </c>
      <c r="S53" s="149">
        <v>500</v>
      </c>
      <c r="T53" s="136" t="s">
        <v>98</v>
      </c>
      <c r="U53" s="136"/>
      <c r="V53" s="136" t="s">
        <v>73</v>
      </c>
      <c r="W53" s="175"/>
      <c r="X53" s="164" t="s">
        <v>170</v>
      </c>
      <c r="Y53" s="164" t="s">
        <v>148</v>
      </c>
      <c r="Z53" s="164" t="s">
        <v>73</v>
      </c>
      <c r="AA53" s="164" t="s">
        <v>61</v>
      </c>
      <c r="AB53" s="164" t="s">
        <v>99</v>
      </c>
      <c r="AC53" s="103"/>
      <c r="AD53" s="103"/>
      <c r="AE53" s="103"/>
      <c r="AF53" s="103"/>
      <c r="AG53" s="103"/>
      <c r="AH53" s="103"/>
      <c r="AI53" s="103"/>
      <c r="AJ53" s="103"/>
      <c r="AK53" s="103"/>
      <c r="AL53" s="103"/>
      <c r="AM53" s="103"/>
      <c r="AN53" s="187"/>
      <c r="AO53" s="139"/>
      <c r="AP53" s="139"/>
      <c r="AQ53" s="114"/>
      <c r="AR53" s="139"/>
      <c r="AS53" s="114"/>
      <c r="AT53" s="139"/>
      <c r="AX53" s="115"/>
      <c r="AY53" s="142"/>
      <c r="AZ53" s="142"/>
      <c r="BA53" s="135"/>
      <c r="BB53" s="135"/>
      <c r="BC53" s="189"/>
      <c r="BD53" s="135"/>
      <c r="BE53" s="135"/>
      <c r="BF53" s="138"/>
      <c r="BG53" s="134"/>
      <c r="BH53" s="103"/>
      <c r="BI53" s="103"/>
      <c r="BJ53" s="190"/>
      <c r="BK53" s="191"/>
      <c r="BL53" s="192"/>
      <c r="BM53" s="192"/>
      <c r="BN53" s="103"/>
      <c r="BO53" s="103"/>
      <c r="BP53" s="103"/>
      <c r="BQ53" s="103"/>
      <c r="BR53" s="103"/>
      <c r="BS53" s="103"/>
      <c r="BT53" s="103"/>
      <c r="BU53" s="103"/>
      <c r="BV53" s="103"/>
      <c r="BW53" s="103"/>
      <c r="BX53" s="103"/>
      <c r="BY53" s="103"/>
      <c r="BZ53" s="103"/>
      <c r="CA53" s="103"/>
      <c r="CB53" s="103"/>
      <c r="CC53" s="103"/>
      <c r="CD53" s="103"/>
      <c r="CE53" s="103"/>
      <c r="CF53" s="103"/>
      <c r="CG53" s="103"/>
      <c r="CH53" s="103"/>
      <c r="CI53" s="103"/>
      <c r="CJ53" s="103"/>
      <c r="CK53" s="103"/>
      <c r="CL53" s="103"/>
      <c r="CM53" s="103"/>
      <c r="CN53" s="103"/>
      <c r="CO53" s="103"/>
      <c r="CP53" s="103"/>
      <c r="CQ53" s="103"/>
      <c r="CR53" s="103"/>
      <c r="CS53" s="103"/>
      <c r="CT53" s="103"/>
      <c r="CU53" s="103"/>
      <c r="CV53" s="103"/>
      <c r="CW53" s="103"/>
      <c r="CX53" s="103"/>
      <c r="CY53" s="103"/>
      <c r="CZ53" s="103"/>
      <c r="DA53" s="103"/>
      <c r="DB53" s="103"/>
      <c r="DC53" s="103"/>
      <c r="DD53" s="103"/>
      <c r="DE53" s="103"/>
      <c r="DF53" s="103"/>
      <c r="DG53" s="103"/>
      <c r="DH53" s="103"/>
      <c r="DI53" s="103"/>
      <c r="DJ53" s="103"/>
      <c r="DK53" s="103"/>
      <c r="DL53" s="103"/>
      <c r="DM53" s="103"/>
      <c r="DN53" s="103"/>
      <c r="DO53" s="103"/>
      <c r="DP53" s="103"/>
      <c r="DQ53" s="103"/>
      <c r="DR53" s="103"/>
      <c r="DS53" s="103"/>
      <c r="DT53" s="103"/>
      <c r="DU53" s="103"/>
      <c r="DV53" s="103"/>
      <c r="DW53" s="103"/>
      <c r="DX53" s="103"/>
      <c r="DY53" s="103"/>
      <c r="DZ53" s="103"/>
      <c r="EA53" s="103"/>
      <c r="EB53" s="103"/>
      <c r="EC53" s="103"/>
      <c r="ED53" s="103"/>
      <c r="EE53" s="103"/>
      <c r="EF53" s="103"/>
      <c r="EG53" s="103"/>
      <c r="EH53" s="103"/>
      <c r="EI53" s="103"/>
      <c r="EJ53" s="103"/>
      <c r="EK53" s="103"/>
      <c r="EL53" s="103"/>
      <c r="EM53" s="103"/>
      <c r="EN53" s="103"/>
      <c r="EO53" s="103"/>
      <c r="EP53" s="103"/>
      <c r="EQ53" s="103"/>
      <c r="ER53" s="103"/>
      <c r="ES53" s="103"/>
      <c r="ET53" s="103"/>
      <c r="EU53" s="103"/>
      <c r="EV53" s="103"/>
      <c r="EW53" s="103"/>
      <c r="EX53" s="103"/>
      <c r="EY53" s="103"/>
      <c r="EZ53" s="103"/>
      <c r="FA53" s="103"/>
      <c r="FB53" s="103"/>
      <c r="FC53" s="103"/>
      <c r="FD53" s="103"/>
      <c r="FE53" s="103"/>
      <c r="FF53" s="103"/>
      <c r="FG53" s="103"/>
      <c r="FH53" s="103"/>
      <c r="FI53" s="103"/>
      <c r="FJ53" s="103"/>
      <c r="FK53" s="103"/>
      <c r="FL53" s="103"/>
      <c r="FM53" s="103"/>
      <c r="FN53" s="103"/>
      <c r="FO53" s="103"/>
      <c r="FP53" s="103"/>
      <c r="FQ53" s="103"/>
      <c r="FR53" s="103"/>
      <c r="FS53" s="103"/>
      <c r="FT53" s="103"/>
      <c r="FU53" s="103"/>
      <c r="FV53" s="103"/>
      <c r="FW53" s="103"/>
      <c r="FX53" s="103"/>
      <c r="FY53" s="103"/>
      <c r="FZ53" s="103"/>
      <c r="GA53" s="103"/>
      <c r="GB53" s="103"/>
      <c r="GC53" s="103"/>
      <c r="GD53" s="103"/>
      <c r="GE53" s="103"/>
      <c r="GF53" s="103"/>
      <c r="GG53" s="103"/>
      <c r="GH53" s="103"/>
      <c r="GI53" s="103"/>
      <c r="GJ53" s="103"/>
      <c r="GK53" s="103"/>
      <c r="GL53" s="103"/>
      <c r="GM53" s="103"/>
      <c r="GN53" s="103"/>
      <c r="GO53" s="103"/>
      <c r="GP53" s="103"/>
      <c r="GQ53" s="103"/>
      <c r="GR53" s="103"/>
      <c r="GS53" s="103"/>
      <c r="GT53" s="103"/>
      <c r="GU53" s="103"/>
      <c r="GV53" s="103"/>
      <c r="GW53" s="103"/>
      <c r="GX53" s="103"/>
      <c r="GY53" s="103"/>
      <c r="GZ53" s="103"/>
      <c r="HA53" s="103"/>
      <c r="HB53" s="103"/>
      <c r="HC53" s="103"/>
      <c r="HD53" s="103"/>
      <c r="HE53" s="103"/>
      <c r="HF53" s="103"/>
      <c r="HG53" s="103"/>
      <c r="HH53" s="103"/>
      <c r="HI53" s="103"/>
      <c r="HJ53" s="103"/>
      <c r="HK53" s="103"/>
      <c r="HL53" s="103"/>
      <c r="HM53" s="103"/>
      <c r="HN53" s="103"/>
      <c r="HO53" s="103"/>
      <c r="HP53" s="103"/>
      <c r="HQ53" s="103"/>
      <c r="HR53" s="103"/>
      <c r="HS53" s="103"/>
      <c r="HT53" s="103"/>
      <c r="HU53" s="103"/>
      <c r="HV53" s="103"/>
      <c r="HW53" s="103"/>
      <c r="HX53" s="103"/>
      <c r="HY53" s="103"/>
      <c r="HZ53" s="103"/>
      <c r="IA53" s="103"/>
      <c r="IB53" s="103"/>
      <c r="IC53" s="103"/>
      <c r="ID53" s="103"/>
      <c r="IE53" s="103"/>
      <c r="IF53" s="103"/>
      <c r="IG53" s="103"/>
      <c r="IH53" s="103"/>
      <c r="II53" s="103"/>
      <c r="IJ53" s="103"/>
      <c r="IK53" s="103"/>
      <c r="IL53" s="103"/>
      <c r="IM53" s="103"/>
      <c r="IN53" s="103"/>
      <c r="IO53" s="103"/>
      <c r="IP53" s="103"/>
      <c r="IQ53" s="103"/>
      <c r="IR53" s="103"/>
      <c r="IS53" s="103"/>
      <c r="IT53" s="103"/>
      <c r="IU53" s="103"/>
      <c r="IV53" s="103"/>
      <c r="IW53" s="103"/>
      <c r="IX53"/>
      <c r="IY53"/>
      <c r="IZ53"/>
      <c r="JA53"/>
      <c r="JB53"/>
      <c r="JC53"/>
      <c r="JD53"/>
      <c r="JE53"/>
      <c r="JF53"/>
      <c r="JG53"/>
      <c r="JH53"/>
      <c r="JI53"/>
      <c r="JJ53"/>
      <c r="JK53"/>
      <c r="JL53"/>
      <c r="JM53"/>
      <c r="JN53"/>
      <c r="JO53"/>
      <c r="JP53"/>
      <c r="JQ53"/>
      <c r="JR53"/>
      <c r="JS53"/>
      <c r="JT53"/>
      <c r="JU53"/>
      <c r="JV53"/>
      <c r="JW53"/>
      <c r="JX53"/>
      <c r="JY53"/>
      <c r="JZ53"/>
      <c r="KA53"/>
      <c r="KB53"/>
      <c r="KC53"/>
      <c r="KD53"/>
      <c r="KE53"/>
      <c r="KF53"/>
      <c r="KG53"/>
      <c r="KH53"/>
      <c r="KI53"/>
      <c r="KJ53"/>
      <c r="KK53"/>
      <c r="KL53"/>
      <c r="KM53"/>
      <c r="KN53"/>
      <c r="KO53"/>
      <c r="KP53"/>
      <c r="KQ53"/>
      <c r="KR53"/>
      <c r="KS53"/>
      <c r="KT53"/>
      <c r="KU53"/>
      <c r="KV53"/>
      <c r="KW53"/>
      <c r="KX53"/>
      <c r="KY53"/>
      <c r="KZ53"/>
      <c r="LA53"/>
      <c r="LB53"/>
      <c r="LC53"/>
      <c r="LD53"/>
      <c r="LE53"/>
      <c r="LF53"/>
      <c r="LG53"/>
      <c r="LH53"/>
      <c r="LI53"/>
      <c r="LJ53"/>
      <c r="LK53"/>
      <c r="LL53"/>
      <c r="LM53"/>
      <c r="LN53"/>
      <c r="LO53"/>
      <c r="LP53"/>
      <c r="LQ53"/>
      <c r="LR53"/>
      <c r="LS53"/>
      <c r="LT53"/>
      <c r="LU53"/>
      <c r="LV53"/>
      <c r="LW53"/>
      <c r="LX53"/>
      <c r="LY53"/>
      <c r="LZ53"/>
      <c r="MA53"/>
      <c r="MB53"/>
      <c r="MC53"/>
      <c r="MD53"/>
      <c r="ME53"/>
      <c r="MF53"/>
      <c r="MG53"/>
      <c r="MH53"/>
      <c r="MI53"/>
      <c r="MJ53"/>
      <c r="MK53"/>
      <c r="ML53"/>
      <c r="MM53"/>
      <c r="MN53"/>
      <c r="MO53"/>
      <c r="MP53"/>
      <c r="MQ53"/>
      <c r="MR53"/>
      <c r="MS53"/>
      <c r="MT53"/>
      <c r="MU53"/>
      <c r="MV53"/>
      <c r="MW53"/>
      <c r="MX53"/>
      <c r="MY53"/>
      <c r="MZ53"/>
      <c r="NA53"/>
      <c r="NB53"/>
      <c r="NC53"/>
      <c r="ND53"/>
      <c r="NE53"/>
      <c r="NF53"/>
      <c r="NG53"/>
      <c r="NH53"/>
      <c r="NI53"/>
      <c r="NJ53"/>
      <c r="NK53"/>
      <c r="NL53"/>
      <c r="NM53"/>
      <c r="NN53"/>
      <c r="NO53"/>
      <c r="NP53"/>
      <c r="NQ53"/>
      <c r="NR53"/>
      <c r="NS53"/>
      <c r="NT53"/>
      <c r="NU53"/>
      <c r="NV53"/>
      <c r="NW53"/>
      <c r="NX53"/>
      <c r="NY53"/>
      <c r="NZ53"/>
      <c r="OA53"/>
      <c r="OB53"/>
      <c r="OC53"/>
      <c r="OD53"/>
      <c r="OE53"/>
      <c r="OF53"/>
      <c r="OG53"/>
      <c r="OH53"/>
      <c r="OI53"/>
      <c r="OJ53"/>
      <c r="OK53"/>
      <c r="OL53"/>
      <c r="OM53"/>
      <c r="ON53"/>
      <c r="OO53"/>
      <c r="OP53"/>
      <c r="OQ53"/>
      <c r="OR53"/>
      <c r="OS53"/>
      <c r="OT53"/>
      <c r="OU53"/>
      <c r="OV53"/>
      <c r="OW53"/>
      <c r="OX53"/>
      <c r="OY53"/>
      <c r="OZ53"/>
      <c r="PA53"/>
      <c r="PB53"/>
      <c r="PC53"/>
      <c r="PD53"/>
      <c r="PE53"/>
      <c r="PF53"/>
      <c r="PG53"/>
      <c r="PH53"/>
      <c r="PI53"/>
      <c r="PJ53"/>
      <c r="PK53"/>
      <c r="PL53"/>
      <c r="PM53"/>
      <c r="PN53"/>
      <c r="PO53"/>
      <c r="PP53"/>
      <c r="PQ53"/>
      <c r="PR53"/>
      <c r="PS53"/>
      <c r="PT53"/>
      <c r="PU53"/>
      <c r="PV53"/>
      <c r="PW53"/>
      <c r="PX53"/>
      <c r="PY53"/>
      <c r="PZ53"/>
      <c r="QA53"/>
      <c r="QB53"/>
      <c r="QC53"/>
      <c r="QD53"/>
      <c r="QE53"/>
      <c r="QF53"/>
      <c r="QG53"/>
      <c r="QH53"/>
      <c r="QI53"/>
      <c r="QJ53"/>
      <c r="QK53"/>
      <c r="QL53"/>
      <c r="QM53"/>
      <c r="QN53"/>
      <c r="QO53"/>
      <c r="QP53"/>
      <c r="QQ53"/>
      <c r="QR53"/>
      <c r="QS53"/>
      <c r="QT53"/>
      <c r="QU53"/>
      <c r="QV53"/>
      <c r="QW53"/>
      <c r="QX53"/>
      <c r="QY53"/>
      <c r="QZ53"/>
      <c r="RA53"/>
      <c r="RB53"/>
      <c r="RC53"/>
      <c r="RD53"/>
      <c r="RE53"/>
      <c r="RF53"/>
      <c r="RG53"/>
      <c r="RH53"/>
      <c r="RI53"/>
      <c r="RJ53"/>
      <c r="RK53"/>
      <c r="RL53"/>
      <c r="RM53"/>
      <c r="RN53"/>
      <c r="RO53"/>
      <c r="RP53"/>
      <c r="RQ53"/>
      <c r="RR53"/>
      <c r="RS53"/>
      <c r="RT53"/>
      <c r="RU53"/>
      <c r="RV53"/>
      <c r="RW53"/>
      <c r="RX53"/>
      <c r="RY53"/>
      <c r="RZ53"/>
      <c r="SA53"/>
      <c r="SB53"/>
      <c r="SC53"/>
      <c r="SD53"/>
      <c r="SE53"/>
      <c r="SF53"/>
      <c r="SG53"/>
      <c r="SH53"/>
      <c r="SI53"/>
      <c r="SJ53"/>
      <c r="SK53"/>
      <c r="SL53"/>
      <c r="SM53"/>
      <c r="SN53"/>
      <c r="SO53"/>
      <c r="SP53"/>
      <c r="SQ53"/>
      <c r="SR53"/>
      <c r="SS53"/>
      <c r="ST53"/>
      <c r="SU53"/>
      <c r="SV53"/>
      <c r="SW53"/>
      <c r="SX53"/>
      <c r="SY53"/>
      <c r="SZ53"/>
      <c r="TA53"/>
      <c r="TB53"/>
      <c r="TC53"/>
      <c r="TD53"/>
      <c r="TE53"/>
      <c r="TF53"/>
      <c r="TG53"/>
      <c r="TH53"/>
      <c r="TI53"/>
      <c r="TJ53"/>
      <c r="TK53"/>
      <c r="TL53"/>
      <c r="TM53"/>
      <c r="TN53"/>
      <c r="TO53"/>
      <c r="TP53"/>
      <c r="TQ53"/>
      <c r="TR53"/>
      <c r="TS53"/>
      <c r="TT53"/>
      <c r="TU53"/>
      <c r="TV53"/>
      <c r="TW53"/>
      <c r="TX53"/>
      <c r="TY53"/>
      <c r="TZ53"/>
      <c r="UA53"/>
      <c r="UB53"/>
      <c r="UC53"/>
      <c r="UD53"/>
      <c r="UE53"/>
      <c r="UF53"/>
      <c r="UG53"/>
      <c r="UH53"/>
      <c r="UI53"/>
      <c r="UJ53"/>
      <c r="UK53"/>
      <c r="UL53"/>
      <c r="UM53"/>
      <c r="UN53"/>
      <c r="UO53"/>
      <c r="UP53"/>
      <c r="UQ53"/>
      <c r="UR53"/>
      <c r="US53"/>
      <c r="UT53"/>
      <c r="UU53"/>
      <c r="UV53"/>
      <c r="UW53"/>
      <c r="UX53"/>
      <c r="UY53"/>
      <c r="UZ53"/>
      <c r="VA53"/>
      <c r="VB53"/>
      <c r="VC53"/>
      <c r="VD53"/>
      <c r="VE53"/>
      <c r="VF53"/>
      <c r="VG53"/>
      <c r="VH53"/>
      <c r="VI53"/>
      <c r="VJ53"/>
      <c r="VK53"/>
      <c r="VL53"/>
      <c r="VM53"/>
      <c r="VN53"/>
      <c r="VO53"/>
      <c r="VP53"/>
      <c r="VQ53"/>
      <c r="VR53"/>
      <c r="VS53"/>
      <c r="VT53"/>
      <c r="VU53"/>
      <c r="VV53"/>
      <c r="VW53"/>
      <c r="VX53"/>
      <c r="VY53"/>
      <c r="VZ53"/>
      <c r="WA53"/>
      <c r="WB53"/>
      <c r="WC53"/>
      <c r="WD53"/>
      <c r="WE53"/>
      <c r="WF53"/>
      <c r="WG53"/>
      <c r="WH53"/>
      <c r="WI53"/>
      <c r="WJ53"/>
      <c r="WK53"/>
      <c r="WL53"/>
      <c r="WM53"/>
      <c r="WN53"/>
      <c r="WO53"/>
      <c r="WP53"/>
      <c r="WQ53"/>
      <c r="WR53"/>
      <c r="WS53"/>
      <c r="WT53"/>
      <c r="WU53"/>
      <c r="WV53"/>
      <c r="WW53"/>
      <c r="WX53"/>
      <c r="WY53"/>
      <c r="WZ53"/>
      <c r="XA53"/>
      <c r="XB53"/>
      <c r="XC53"/>
      <c r="XD53"/>
      <c r="XE53"/>
      <c r="XF53"/>
      <c r="XG53"/>
      <c r="XH53"/>
      <c r="XI53"/>
      <c r="XJ53"/>
      <c r="XK53"/>
      <c r="XL53"/>
      <c r="XM53"/>
      <c r="XN53"/>
      <c r="XO53"/>
      <c r="XP53"/>
      <c r="XQ53"/>
      <c r="XR53"/>
      <c r="XS53"/>
      <c r="XT53"/>
      <c r="XU53"/>
      <c r="XV53"/>
      <c r="XW53"/>
      <c r="XX53"/>
      <c r="XY53"/>
      <c r="XZ53"/>
      <c r="YA53"/>
      <c r="YB53"/>
      <c r="YC53"/>
      <c r="YD53"/>
      <c r="YE53"/>
      <c r="YF53"/>
      <c r="YG53"/>
      <c r="YH53"/>
      <c r="YI53"/>
      <c r="YJ53"/>
      <c r="YK53"/>
      <c r="YL53"/>
      <c r="YM53"/>
      <c r="YN53"/>
      <c r="YO53"/>
      <c r="YP53"/>
      <c r="YQ53"/>
      <c r="YR53"/>
      <c r="YS53"/>
      <c r="YT53"/>
      <c r="YU53"/>
      <c r="YV53"/>
      <c r="YW53"/>
      <c r="YX53"/>
      <c r="YY53"/>
      <c r="YZ53"/>
      <c r="ZA53"/>
      <c r="ZB53"/>
      <c r="ZC53"/>
      <c r="ZD53"/>
      <c r="ZE53"/>
      <c r="ZF53"/>
      <c r="ZG53"/>
      <c r="ZH53"/>
      <c r="ZI53"/>
      <c r="ZJ53"/>
      <c r="ZK53"/>
      <c r="ZL53"/>
      <c r="ZM53"/>
      <c r="ZN53"/>
      <c r="ZO53"/>
      <c r="ZP53"/>
      <c r="ZQ53"/>
      <c r="ZR53"/>
      <c r="ZS53"/>
      <c r="ZT53"/>
      <c r="ZU53"/>
      <c r="ZV53"/>
      <c r="ZW53"/>
      <c r="ZX53"/>
      <c r="ZY53"/>
      <c r="ZZ53"/>
      <c r="AAA53"/>
      <c r="AAB53"/>
      <c r="AAC53"/>
      <c r="AAD53"/>
      <c r="AAE53"/>
      <c r="AAF53"/>
      <c r="AAG53"/>
      <c r="AAH53"/>
      <c r="AAI53"/>
      <c r="AAJ53"/>
      <c r="AAK53"/>
      <c r="AAL53"/>
      <c r="AAM53"/>
      <c r="AAN53"/>
      <c r="AAO53"/>
      <c r="AAP53"/>
      <c r="AAQ53"/>
      <c r="AAR53"/>
      <c r="AAS53"/>
      <c r="AAT53"/>
      <c r="AAU53"/>
      <c r="AAV53"/>
      <c r="AAW53"/>
      <c r="AAX53"/>
      <c r="AAY53"/>
      <c r="AAZ53"/>
      <c r="ABA53"/>
      <c r="ABB53"/>
      <c r="ABC53"/>
      <c r="ABD53"/>
      <c r="ABE53"/>
      <c r="ABF53"/>
      <c r="ABG53"/>
      <c r="ABH53"/>
      <c r="ABI53"/>
      <c r="ABJ53"/>
      <c r="ABK53"/>
      <c r="ABL53"/>
      <c r="ABM53"/>
      <c r="ABN53"/>
      <c r="ABO53"/>
      <c r="ABP53"/>
      <c r="ABQ53"/>
      <c r="ABR53"/>
      <c r="ABS53"/>
      <c r="ABT53"/>
      <c r="ABU53"/>
      <c r="ABV53"/>
      <c r="ABW53"/>
      <c r="ABX53"/>
      <c r="ABY53"/>
      <c r="ABZ53"/>
      <c r="ACA53"/>
      <c r="ACB53"/>
      <c r="ACC53"/>
      <c r="ACD53"/>
      <c r="ACE53"/>
      <c r="ACF53"/>
      <c r="ACG53"/>
      <c r="ACH53"/>
      <c r="ACI53"/>
      <c r="ACJ53"/>
      <c r="ACK53"/>
      <c r="ACL53"/>
      <c r="ACM53"/>
      <c r="ACN53"/>
      <c r="ACO53"/>
      <c r="ACP53"/>
      <c r="ACQ53"/>
      <c r="ACR53"/>
      <c r="ACS53"/>
      <c r="ACT53"/>
      <c r="ACU53"/>
      <c r="ACV53"/>
      <c r="ACW53"/>
      <c r="ACX53"/>
      <c r="ACY53"/>
      <c r="ACZ53"/>
      <c r="ADA53"/>
      <c r="ADB53"/>
      <c r="ADC53"/>
      <c r="ADD53"/>
      <c r="ADE53"/>
      <c r="ADF53"/>
      <c r="ADG53"/>
      <c r="ADH53"/>
      <c r="ADI53"/>
      <c r="ADJ53"/>
      <c r="ADK53"/>
      <c r="ADL53"/>
      <c r="ADM53"/>
      <c r="ADN53"/>
      <c r="ADO53"/>
      <c r="ADP53"/>
      <c r="ADQ53"/>
      <c r="ADR53"/>
      <c r="ADS53"/>
      <c r="ADT53"/>
      <c r="ADU53"/>
      <c r="ADV53"/>
      <c r="ADW53"/>
      <c r="ADX53"/>
      <c r="ADY53"/>
      <c r="ADZ53"/>
      <c r="AEA53"/>
      <c r="AEB53"/>
      <c r="AEC53"/>
      <c r="AED53"/>
      <c r="AEE53"/>
      <c r="AEF53"/>
      <c r="AEG53"/>
      <c r="AEH53"/>
      <c r="AEI53"/>
      <c r="AEJ53"/>
      <c r="AEK53"/>
      <c r="AEL53"/>
      <c r="AEM53"/>
      <c r="AEN53"/>
      <c r="AEO53"/>
      <c r="AEP53"/>
      <c r="AEQ53"/>
      <c r="AER53"/>
      <c r="AES53"/>
      <c r="AET53"/>
      <c r="AEU53"/>
      <c r="AEV53"/>
      <c r="AEW53"/>
      <c r="AEX53"/>
      <c r="AEY53"/>
      <c r="AEZ53"/>
      <c r="AFA53"/>
      <c r="AFB53"/>
      <c r="AFC53"/>
      <c r="AFD53"/>
      <c r="AFE53"/>
      <c r="AFF53"/>
      <c r="AFG53"/>
      <c r="AFH53"/>
      <c r="AFI53"/>
      <c r="AFJ53"/>
      <c r="AFK53"/>
      <c r="AFL53"/>
      <c r="AFM53"/>
      <c r="AFN53"/>
      <c r="AFO53"/>
      <c r="AFP53"/>
      <c r="AFQ53"/>
      <c r="AFR53"/>
      <c r="AFS53"/>
      <c r="AFT53"/>
      <c r="AFU53"/>
      <c r="AFV53"/>
      <c r="AFW53"/>
      <c r="AFX53"/>
      <c r="AFY53"/>
      <c r="AFZ53"/>
      <c r="AGA53"/>
      <c r="AGB53"/>
      <c r="AGC53"/>
      <c r="AGD53"/>
      <c r="AGE53"/>
      <c r="AGF53"/>
      <c r="AGG53"/>
      <c r="AGH53"/>
      <c r="AGI53"/>
      <c r="AGJ53"/>
      <c r="AGK53"/>
      <c r="AGL53"/>
      <c r="AGM53"/>
      <c r="AGN53"/>
      <c r="AGO53"/>
      <c r="AGP53"/>
      <c r="AGQ53"/>
      <c r="AGR53"/>
      <c r="AGS53"/>
      <c r="AGT53"/>
      <c r="AGU53"/>
      <c r="AGV53"/>
      <c r="AGW53"/>
      <c r="AGX53"/>
      <c r="AGY53"/>
      <c r="AGZ53"/>
      <c r="AHA53"/>
      <c r="AHB53"/>
      <c r="AHC53"/>
      <c r="AHD53"/>
      <c r="AHE53"/>
      <c r="AHF53"/>
      <c r="AHG53"/>
      <c r="AHH53"/>
      <c r="AHI53"/>
      <c r="AHJ53"/>
      <c r="AHK53"/>
      <c r="AHL53"/>
      <c r="AHM53"/>
      <c r="AHN53"/>
      <c r="AHO53"/>
      <c r="AHP53"/>
      <c r="AHQ53"/>
      <c r="AHR53"/>
      <c r="AHS53"/>
      <c r="AHT53"/>
      <c r="AHU53"/>
      <c r="AHV53"/>
      <c r="AHW53"/>
      <c r="AHX53"/>
      <c r="AHY53"/>
      <c r="AHZ53"/>
      <c r="AIA53"/>
      <c r="AIB53"/>
      <c r="AIC53"/>
      <c r="AID53"/>
      <c r="AIE53"/>
      <c r="AIF53"/>
      <c r="AIG53"/>
      <c r="AIH53"/>
      <c r="AII53"/>
      <c r="AIJ53"/>
      <c r="AIK53"/>
      <c r="AIL53"/>
      <c r="AIM53"/>
      <c r="AIN53"/>
      <c r="AIO53"/>
      <c r="AIP53"/>
      <c r="AIQ53"/>
      <c r="AIR53"/>
      <c r="AIS53"/>
      <c r="AIT53"/>
      <c r="AIU53"/>
      <c r="AIV53"/>
      <c r="AIW53"/>
      <c r="AIX53"/>
      <c r="AIY53"/>
      <c r="AIZ53"/>
      <c r="AJA53"/>
      <c r="AJB53"/>
      <c r="AJC53"/>
      <c r="AJD53"/>
      <c r="AJE53"/>
      <c r="AJF53"/>
      <c r="AJG53"/>
      <c r="AJH53"/>
      <c r="AJI53"/>
      <c r="AJJ53"/>
      <c r="AJK53"/>
      <c r="AJL53"/>
      <c r="AJM53"/>
      <c r="AJN53"/>
      <c r="AJO53"/>
      <c r="AJP53"/>
      <c r="AJQ53"/>
      <c r="AJR53"/>
      <c r="AJS53"/>
      <c r="AJT53"/>
      <c r="AJU53"/>
      <c r="AJV53"/>
      <c r="AJW53"/>
      <c r="AJX53"/>
      <c r="AJY53"/>
      <c r="AJZ53"/>
      <c r="AKA53"/>
      <c r="AKB53"/>
      <c r="AKC53"/>
      <c r="AKD53"/>
      <c r="AKE53"/>
      <c r="AKF53"/>
      <c r="AKG53"/>
      <c r="AKH53"/>
      <c r="AKI53"/>
      <c r="AKJ53"/>
      <c r="AKK53"/>
      <c r="AKL53"/>
      <c r="AKM53"/>
      <c r="AKN53"/>
      <c r="AKO53"/>
      <c r="AKP53"/>
      <c r="AKQ53"/>
      <c r="AKR53"/>
      <c r="AKS53"/>
      <c r="AKT53"/>
      <c r="AKU53"/>
      <c r="AKV53"/>
      <c r="AKW53"/>
      <c r="AKX53"/>
      <c r="AKY53"/>
      <c r="AKZ53"/>
      <c r="ALA53"/>
      <c r="ALB53"/>
      <c r="ALC53"/>
      <c r="ALD53"/>
      <c r="ALE53"/>
      <c r="ALF53"/>
      <c r="ALG53"/>
      <c r="ALH53"/>
      <c r="ALI53"/>
      <c r="ALJ53"/>
      <c r="ALK53"/>
      <c r="ALL53"/>
      <c r="ALM53"/>
      <c r="ALN53"/>
      <c r="ALO53"/>
      <c r="ALP53"/>
      <c r="ALQ53"/>
      <c r="ALR53"/>
      <c r="ALS53"/>
      <c r="ALT53"/>
      <c r="ALU53"/>
      <c r="ALV53"/>
      <c r="ALW53"/>
      <c r="ALX53"/>
      <c r="ALY53"/>
      <c r="ALZ53"/>
      <c r="AMA53"/>
      <c r="AMB53"/>
      <c r="AMC53"/>
      <c r="AMD53"/>
      <c r="AME53"/>
      <c r="AMF53"/>
      <c r="AMG53"/>
      <c r="AMH53"/>
      <c r="AMI53"/>
      <c r="AMJ53"/>
      <c r="AMK53"/>
      <c r="AML53"/>
      <c r="AMM53"/>
      <c r="AMN53"/>
      <c r="AMO53"/>
      <c r="AMP53"/>
      <c r="AMQ53"/>
      <c r="AMR53"/>
      <c r="AMS53"/>
      <c r="AMT53"/>
      <c r="AMU53"/>
      <c r="AMV53"/>
      <c r="AMW53"/>
      <c r="AMX53"/>
      <c r="AMY53"/>
      <c r="AMZ53"/>
      <c r="ANA53"/>
      <c r="ANB53"/>
      <c r="ANC53"/>
      <c r="AND53"/>
      <c r="ANE53"/>
      <c r="ANF53"/>
      <c r="ANG53"/>
      <c r="ANH53"/>
      <c r="ANI53"/>
      <c r="ANJ53"/>
      <c r="ANK53"/>
      <c r="ANL53"/>
      <c r="ANM53"/>
      <c r="ANN53"/>
      <c r="ANO53"/>
      <c r="ANP53"/>
      <c r="ANQ53"/>
      <c r="ANR53"/>
      <c r="ANS53"/>
      <c r="ANT53"/>
      <c r="ANU53"/>
      <c r="ANV53"/>
      <c r="ANW53"/>
      <c r="ANX53"/>
      <c r="ANY53"/>
      <c r="ANZ53"/>
      <c r="AOA53"/>
      <c r="AOB53"/>
      <c r="AOC53"/>
      <c r="AOD53"/>
      <c r="AOE53"/>
      <c r="AOF53"/>
      <c r="AOG53"/>
      <c r="AOH53"/>
      <c r="AOI53"/>
      <c r="AOJ53"/>
      <c r="AOK53"/>
      <c r="AOL53"/>
      <c r="AOM53"/>
      <c r="AON53"/>
      <c r="AOO53"/>
      <c r="AOP53"/>
      <c r="AOQ53"/>
      <c r="AOR53"/>
      <c r="AOS53"/>
      <c r="AOT53"/>
      <c r="AOU53"/>
      <c r="AOV53"/>
      <c r="AOW53"/>
      <c r="AOX53"/>
      <c r="AOY53"/>
      <c r="AOZ53"/>
      <c r="APA53"/>
      <c r="APB53"/>
      <c r="APC53"/>
      <c r="APD53"/>
      <c r="APE53"/>
      <c r="APF53"/>
      <c r="APG53"/>
      <c r="APH53"/>
      <c r="API53"/>
      <c r="APJ53"/>
      <c r="APK53"/>
      <c r="APL53"/>
      <c r="APM53"/>
      <c r="APN53"/>
      <c r="APO53"/>
      <c r="APP53"/>
      <c r="APQ53"/>
      <c r="APR53"/>
      <c r="APS53"/>
      <c r="APT53"/>
      <c r="APU53"/>
      <c r="APV53"/>
      <c r="APW53"/>
      <c r="APX53"/>
      <c r="APY53"/>
      <c r="APZ53"/>
      <c r="AQA53"/>
      <c r="AQB53"/>
      <c r="AQC53"/>
      <c r="AQD53"/>
      <c r="AQE53"/>
      <c r="AQF53"/>
      <c r="AQG53"/>
      <c r="AQH53"/>
      <c r="AQI53"/>
      <c r="AQJ53"/>
      <c r="AQK53"/>
      <c r="AQL53"/>
      <c r="AQM53"/>
      <c r="AQN53"/>
      <c r="AQO53"/>
      <c r="AQP53"/>
      <c r="AQQ53"/>
      <c r="AQR53"/>
      <c r="AQS53"/>
      <c r="AQT53"/>
      <c r="AQU53"/>
      <c r="AQV53"/>
      <c r="AQW53"/>
      <c r="AQX53"/>
      <c r="AQY53"/>
      <c r="AQZ53"/>
      <c r="ARA53"/>
      <c r="ARB53"/>
      <c r="ARC53"/>
      <c r="ARD53"/>
      <c r="ARE53"/>
      <c r="ARF53"/>
      <c r="ARG53"/>
      <c r="ARH53"/>
      <c r="ARI53"/>
      <c r="ARJ53"/>
      <c r="ARK53"/>
      <c r="ARL53"/>
      <c r="ARM53"/>
      <c r="ARN53"/>
      <c r="ARO53"/>
      <c r="ARP53"/>
      <c r="ARQ53"/>
      <c r="ARR53"/>
      <c r="ARS53"/>
      <c r="ART53"/>
      <c r="ARU53"/>
      <c r="ARV53"/>
      <c r="ARW53"/>
      <c r="ARX53"/>
      <c r="ARY53"/>
      <c r="ARZ53"/>
      <c r="ASA53"/>
      <c r="ASB53"/>
      <c r="ASC53"/>
      <c r="ASD53"/>
      <c r="ASE53"/>
      <c r="ASF53"/>
      <c r="ASG53"/>
      <c r="ASH53"/>
      <c r="ASI53"/>
      <c r="ASJ53"/>
      <c r="ASK53"/>
      <c r="ASL53"/>
      <c r="ASM53"/>
      <c r="ASN53"/>
      <c r="ASO53"/>
      <c r="ASP53"/>
      <c r="ASQ53"/>
      <c r="ASR53"/>
      <c r="ASS53"/>
      <c r="AST53"/>
      <c r="ASU53"/>
      <c r="ASV53"/>
      <c r="ASW53"/>
      <c r="ASX53"/>
      <c r="ASY53"/>
      <c r="ASZ53"/>
      <c r="ATA53"/>
      <c r="ATB53"/>
      <c r="ATC53"/>
      <c r="ATD53"/>
      <c r="ATE53"/>
      <c r="ATF53"/>
      <c r="ATG53"/>
      <c r="ATH53"/>
      <c r="ATI53"/>
      <c r="ATJ53"/>
      <c r="ATK53"/>
      <c r="ATL53"/>
      <c r="ATM53"/>
      <c r="ATN53"/>
      <c r="ATO53"/>
      <c r="ATP53"/>
      <c r="ATQ53"/>
      <c r="ATR53"/>
      <c r="ATS53"/>
      <c r="ATT53"/>
      <c r="ATU53"/>
      <c r="ATV53"/>
      <c r="ATW53"/>
      <c r="ATX53"/>
      <c r="ATY53"/>
      <c r="ATZ53"/>
      <c r="AUA53"/>
      <c r="AUB53"/>
      <c r="AUC53"/>
      <c r="AUD53"/>
      <c r="AUE53"/>
      <c r="AUF53"/>
      <c r="AUG53"/>
      <c r="AUH53"/>
      <c r="AUI53"/>
      <c r="AUJ53"/>
      <c r="AUK53"/>
      <c r="AUL53"/>
      <c r="AUM53"/>
      <c r="AUN53"/>
      <c r="AUO53"/>
      <c r="AUP53"/>
      <c r="AUQ53"/>
      <c r="AUR53"/>
      <c r="AUS53"/>
      <c r="AUT53"/>
      <c r="AUU53"/>
      <c r="AUV53"/>
      <c r="AUW53"/>
      <c r="AUX53"/>
      <c r="AUY53"/>
      <c r="AUZ53"/>
      <c r="AVA53"/>
      <c r="AVB53"/>
      <c r="AVC53"/>
      <c r="AVD53"/>
      <c r="AVE53"/>
      <c r="AVF53"/>
      <c r="AVG53"/>
      <c r="AVH53"/>
      <c r="AVI53"/>
      <c r="AVJ53"/>
      <c r="AVK53"/>
      <c r="AVL53"/>
      <c r="AVM53"/>
      <c r="AVN53"/>
      <c r="AVO53"/>
      <c r="AVP53"/>
      <c r="AVQ53"/>
      <c r="AVR53"/>
      <c r="AVS53"/>
      <c r="AVT53"/>
      <c r="AVU53"/>
      <c r="AVV53"/>
      <c r="AVW53"/>
      <c r="AVX53"/>
      <c r="AVY53"/>
      <c r="AVZ53"/>
      <c r="AWA53"/>
      <c r="AWB53"/>
      <c r="AWC53"/>
      <c r="AWD53"/>
      <c r="AWE53"/>
      <c r="AWF53"/>
      <c r="AWG53"/>
      <c r="AWH53"/>
      <c r="AWI53"/>
      <c r="AWJ53"/>
      <c r="AWK53"/>
      <c r="AWL53"/>
      <c r="AWM53"/>
      <c r="AWN53"/>
      <c r="AWO53"/>
      <c r="AWP53"/>
      <c r="AWQ53"/>
      <c r="AWR53"/>
      <c r="AWS53"/>
      <c r="AWT53"/>
      <c r="AWU53"/>
      <c r="AWV53"/>
      <c r="AWW53"/>
      <c r="AWX53"/>
      <c r="AWY53"/>
      <c r="AWZ53"/>
      <c r="AXA53"/>
      <c r="AXB53"/>
      <c r="AXC53"/>
      <c r="AXD53"/>
      <c r="AXE53"/>
      <c r="AXF53"/>
      <c r="AXG53"/>
      <c r="AXH53"/>
      <c r="AXI53"/>
      <c r="AXJ53"/>
      <c r="AXK53"/>
      <c r="AXL53"/>
      <c r="AXM53"/>
      <c r="AXN53"/>
      <c r="AXO53"/>
      <c r="AXP53"/>
      <c r="AXQ53"/>
      <c r="AXR53"/>
      <c r="AXS53"/>
      <c r="AXT53"/>
      <c r="AXU53"/>
      <c r="AXV53"/>
      <c r="AXW53"/>
      <c r="AXX53"/>
      <c r="AXY53"/>
      <c r="AXZ53"/>
      <c r="AYA53"/>
      <c r="AYB53"/>
      <c r="AYC53"/>
      <c r="AYD53"/>
      <c r="AYE53"/>
      <c r="AYF53"/>
      <c r="AYG53"/>
      <c r="AYH53"/>
      <c r="AYI53"/>
      <c r="AYJ53"/>
      <c r="AYK53"/>
      <c r="AYL53"/>
      <c r="AYM53"/>
      <c r="AYN53"/>
      <c r="AYO53"/>
      <c r="AYP53"/>
      <c r="AYQ53"/>
      <c r="AYR53"/>
      <c r="AYS53"/>
      <c r="AYT53"/>
      <c r="AYU53"/>
      <c r="AYV53"/>
      <c r="AYW53"/>
      <c r="AYX53"/>
      <c r="AYY53"/>
      <c r="AYZ53"/>
      <c r="AZA53"/>
      <c r="AZB53"/>
      <c r="AZC53"/>
      <c r="AZD53"/>
      <c r="AZE53"/>
      <c r="AZF53"/>
      <c r="AZG53"/>
      <c r="AZH53"/>
      <c r="AZI53"/>
      <c r="AZJ53"/>
      <c r="AZK53"/>
      <c r="AZL53"/>
      <c r="AZM53"/>
      <c r="AZN53"/>
      <c r="AZO53"/>
      <c r="AZP53"/>
      <c r="AZQ53"/>
      <c r="AZR53"/>
      <c r="AZS53"/>
      <c r="AZT53"/>
      <c r="AZU53"/>
      <c r="AZV53"/>
      <c r="AZW53"/>
      <c r="AZX53"/>
      <c r="AZY53"/>
      <c r="AZZ53"/>
      <c r="BAA53"/>
      <c r="BAB53"/>
      <c r="BAC53"/>
      <c r="BAD53"/>
      <c r="BAE53"/>
      <c r="BAF53"/>
      <c r="BAG53"/>
      <c r="BAH53"/>
      <c r="BAI53"/>
      <c r="BAJ53"/>
      <c r="BAK53"/>
      <c r="BAL53"/>
      <c r="BAM53"/>
      <c r="BAN53"/>
      <c r="BAO53"/>
      <c r="BAP53"/>
      <c r="BAQ53"/>
      <c r="BAR53"/>
      <c r="BAS53"/>
      <c r="BAT53"/>
      <c r="BAU53"/>
      <c r="BAV53"/>
      <c r="BAW53"/>
      <c r="BAX53"/>
      <c r="BAY53"/>
      <c r="BAZ53"/>
      <c r="BBA53"/>
      <c r="BBB53"/>
      <c r="BBC53"/>
      <c r="BBD53"/>
      <c r="BBE53"/>
      <c r="BBF53"/>
      <c r="BBG53"/>
      <c r="BBH53"/>
      <c r="BBI53"/>
      <c r="BBJ53"/>
      <c r="BBK53"/>
      <c r="BBL53"/>
      <c r="BBM53"/>
      <c r="BBN53"/>
      <c r="BBO53"/>
      <c r="BBP53"/>
      <c r="BBQ53"/>
      <c r="BBR53"/>
      <c r="BBS53"/>
      <c r="BBT53"/>
      <c r="BBU53"/>
      <c r="BBV53"/>
      <c r="BBW53"/>
      <c r="BBX53"/>
      <c r="BBY53"/>
      <c r="BBZ53"/>
      <c r="BCA53"/>
      <c r="BCB53"/>
      <c r="BCC53"/>
      <c r="BCD53"/>
      <c r="BCE53"/>
      <c r="BCF53"/>
      <c r="BCG53"/>
      <c r="BCH53"/>
      <c r="BCI53"/>
      <c r="BCJ53"/>
      <c r="BCK53"/>
      <c r="BCL53"/>
      <c r="BCM53"/>
      <c r="BCN53"/>
      <c r="BCO53"/>
      <c r="BCP53"/>
      <c r="BCQ53"/>
      <c r="BCR53"/>
      <c r="BCS53"/>
      <c r="BCT53"/>
      <c r="BCU53"/>
      <c r="BCV53"/>
      <c r="BCW53"/>
      <c r="BCX53"/>
      <c r="BCY53"/>
      <c r="BCZ53"/>
      <c r="BDA53"/>
      <c r="BDB53"/>
      <c r="BDC53"/>
      <c r="BDD53"/>
      <c r="BDE53"/>
      <c r="BDF53"/>
      <c r="BDG53"/>
      <c r="BDH53"/>
      <c r="BDI53"/>
      <c r="BDJ53"/>
      <c r="BDK53"/>
      <c r="BDL53"/>
      <c r="BDM53"/>
      <c r="BDN53"/>
      <c r="BDO53"/>
      <c r="BDP53"/>
      <c r="BDQ53"/>
      <c r="BDR53"/>
      <c r="BDS53"/>
      <c r="BDT53"/>
      <c r="BDU53"/>
      <c r="BDV53"/>
      <c r="BDW53"/>
      <c r="BDX53"/>
      <c r="BDY53"/>
      <c r="BDZ53"/>
      <c r="BEA53"/>
      <c r="BEB53"/>
      <c r="BEC53"/>
      <c r="BED53"/>
      <c r="BEE53"/>
      <c r="BEF53"/>
      <c r="BEG53"/>
      <c r="BEH53"/>
      <c r="BEI53"/>
      <c r="BEJ53"/>
      <c r="BEK53"/>
      <c r="BEL53"/>
      <c r="BEM53"/>
      <c r="BEN53"/>
      <c r="BEO53"/>
      <c r="BEP53"/>
      <c r="BEQ53"/>
      <c r="BER53"/>
      <c r="BES53"/>
      <c r="BET53"/>
      <c r="BEU53"/>
      <c r="BEV53"/>
      <c r="BEW53"/>
      <c r="BEX53"/>
      <c r="BEY53"/>
      <c r="BEZ53"/>
      <c r="BFA53"/>
      <c r="BFB53"/>
      <c r="BFC53"/>
      <c r="BFD53"/>
      <c r="BFE53"/>
      <c r="BFF53"/>
      <c r="BFG53"/>
      <c r="BFH53"/>
      <c r="BFI53"/>
      <c r="BFJ53"/>
      <c r="BFK53"/>
      <c r="BFL53"/>
      <c r="BFM53"/>
      <c r="BFN53"/>
      <c r="BFO53"/>
      <c r="BFP53"/>
      <c r="BFQ53"/>
      <c r="BFR53"/>
      <c r="BFS53"/>
      <c r="BFT53"/>
      <c r="BFU53"/>
      <c r="BFV53"/>
      <c r="BFW53"/>
      <c r="BFX53"/>
      <c r="BFY53"/>
      <c r="BFZ53"/>
      <c r="BGA53"/>
      <c r="BGB53"/>
      <c r="BGC53"/>
      <c r="BGD53"/>
      <c r="BGE53"/>
      <c r="BGF53"/>
      <c r="BGG53"/>
      <c r="BGH53"/>
      <c r="BGI53"/>
      <c r="BGJ53"/>
      <c r="BGK53"/>
      <c r="BGL53"/>
      <c r="BGM53"/>
      <c r="BGN53"/>
      <c r="BGO53"/>
      <c r="BGP53"/>
      <c r="BGQ53"/>
      <c r="BGR53"/>
      <c r="BGS53"/>
      <c r="BGT53"/>
      <c r="BGU53"/>
      <c r="BGV53"/>
      <c r="BGW53"/>
      <c r="BGX53"/>
      <c r="BGY53"/>
      <c r="BGZ53"/>
      <c r="BHA53"/>
      <c r="BHB53"/>
      <c r="BHC53"/>
      <c r="BHD53"/>
      <c r="BHE53"/>
      <c r="BHF53"/>
      <c r="BHG53"/>
      <c r="BHH53"/>
      <c r="BHI53"/>
      <c r="BHJ53"/>
      <c r="BHK53"/>
      <c r="BHL53"/>
      <c r="BHM53"/>
      <c r="BHN53"/>
      <c r="BHO53"/>
      <c r="BHP53"/>
      <c r="BHQ53"/>
      <c r="BHR53"/>
      <c r="BHS53"/>
      <c r="BHT53"/>
      <c r="BHU53"/>
      <c r="BHV53"/>
      <c r="BHW53"/>
      <c r="BHX53"/>
      <c r="BHY53"/>
      <c r="BHZ53"/>
      <c r="BIA53"/>
      <c r="BIB53"/>
      <c r="BIC53"/>
      <c r="BID53"/>
      <c r="BIE53"/>
      <c r="BIF53"/>
      <c r="BIG53"/>
      <c r="BIH53"/>
      <c r="BII53"/>
      <c r="BIJ53"/>
      <c r="BIK53"/>
      <c r="BIL53"/>
      <c r="BIM53"/>
      <c r="BIN53"/>
      <c r="BIO53"/>
      <c r="BIP53"/>
      <c r="BIQ53"/>
      <c r="BIR53"/>
      <c r="BIS53"/>
      <c r="BIT53"/>
      <c r="BIU53"/>
      <c r="BIV53"/>
      <c r="BIW53"/>
      <c r="BIX53"/>
      <c r="BIY53"/>
      <c r="BIZ53"/>
      <c r="BJA53"/>
      <c r="BJB53"/>
      <c r="BJC53"/>
      <c r="BJD53"/>
      <c r="BJE53"/>
      <c r="BJF53"/>
      <c r="BJG53"/>
      <c r="BJH53"/>
      <c r="BJI53"/>
      <c r="BJJ53"/>
      <c r="BJK53"/>
      <c r="BJL53"/>
      <c r="BJM53"/>
      <c r="BJN53"/>
      <c r="BJO53"/>
      <c r="BJP53"/>
      <c r="BJQ53"/>
      <c r="BJR53"/>
      <c r="BJS53"/>
      <c r="BJT53"/>
      <c r="BJU53"/>
      <c r="BJV53"/>
      <c r="BJW53"/>
      <c r="BJX53"/>
      <c r="BJY53"/>
      <c r="BJZ53"/>
      <c r="BKA53"/>
      <c r="BKB53"/>
      <c r="BKC53"/>
      <c r="BKD53"/>
      <c r="BKE53"/>
      <c r="BKF53"/>
      <c r="BKG53"/>
      <c r="BKH53"/>
      <c r="BKI53"/>
      <c r="BKJ53"/>
      <c r="BKK53"/>
      <c r="BKL53"/>
      <c r="BKM53"/>
      <c r="BKN53"/>
      <c r="BKO53"/>
      <c r="BKP53"/>
      <c r="BKQ53"/>
      <c r="BKR53"/>
      <c r="BKS53"/>
      <c r="BKT53"/>
      <c r="BKU53"/>
      <c r="BKV53"/>
      <c r="BKW53"/>
      <c r="BKX53"/>
      <c r="BKY53"/>
      <c r="BKZ53"/>
      <c r="BLA53"/>
      <c r="BLB53"/>
      <c r="BLC53"/>
      <c r="BLD53"/>
      <c r="BLE53"/>
      <c r="BLF53"/>
      <c r="BLG53"/>
      <c r="BLH53"/>
      <c r="BLI53"/>
      <c r="BLJ53"/>
      <c r="BLK53"/>
      <c r="BLL53"/>
      <c r="BLM53"/>
      <c r="BLN53"/>
      <c r="BLO53"/>
      <c r="BLP53"/>
      <c r="BLQ53"/>
      <c r="BLR53"/>
      <c r="BLS53"/>
      <c r="BLT53"/>
      <c r="BLU53"/>
      <c r="BLV53"/>
      <c r="BLW53"/>
      <c r="BLX53"/>
      <c r="BLY53"/>
      <c r="BLZ53"/>
      <c r="BMA53"/>
      <c r="BMB53"/>
      <c r="BMC53"/>
      <c r="BMD53"/>
      <c r="BME53"/>
      <c r="BMF53"/>
      <c r="BMG53"/>
      <c r="BMH53"/>
      <c r="BMI53"/>
      <c r="BMJ53"/>
      <c r="BMK53"/>
      <c r="BML53"/>
      <c r="BMM53"/>
      <c r="BMN53"/>
      <c r="BMO53"/>
      <c r="BMP53"/>
      <c r="BMQ53"/>
      <c r="BMR53"/>
      <c r="BMS53"/>
      <c r="BMT53"/>
      <c r="BMU53"/>
      <c r="BMV53"/>
      <c r="BMW53"/>
      <c r="BMX53"/>
      <c r="BMY53"/>
      <c r="BMZ53"/>
      <c r="BNA53"/>
      <c r="BNB53"/>
      <c r="BNC53"/>
      <c r="BND53"/>
      <c r="BNE53"/>
      <c r="BNF53"/>
      <c r="BNG53"/>
      <c r="BNH53"/>
      <c r="BNI53"/>
      <c r="BNJ53"/>
      <c r="BNK53"/>
      <c r="BNL53"/>
      <c r="BNM53"/>
      <c r="BNN53"/>
      <c r="BNO53"/>
      <c r="BNP53"/>
      <c r="BNQ53"/>
      <c r="BNR53"/>
      <c r="BNS53"/>
      <c r="BNT53"/>
      <c r="BNU53"/>
      <c r="BNV53"/>
      <c r="BNW53"/>
      <c r="BNX53"/>
      <c r="BNY53"/>
      <c r="BNZ53"/>
      <c r="BOA53"/>
      <c r="BOB53"/>
      <c r="BOC53"/>
      <c r="BOD53"/>
      <c r="BOE53"/>
      <c r="BOF53"/>
      <c r="BOG53"/>
      <c r="BOH53"/>
      <c r="BOI53"/>
      <c r="BOJ53"/>
      <c r="BOK53"/>
      <c r="BOL53"/>
      <c r="BOM53"/>
      <c r="BON53"/>
      <c r="BOO53"/>
      <c r="BOP53"/>
      <c r="BOQ53"/>
      <c r="BOR53"/>
      <c r="BOS53"/>
      <c r="BOT53"/>
      <c r="BOU53"/>
      <c r="BOV53"/>
      <c r="BOW53"/>
      <c r="BOX53"/>
      <c r="BOY53"/>
      <c r="BOZ53"/>
      <c r="BPA53"/>
      <c r="BPB53"/>
      <c r="BPC53"/>
      <c r="BPD53"/>
      <c r="BPE53"/>
      <c r="BPF53"/>
      <c r="BPG53"/>
      <c r="BPH53"/>
      <c r="BPI53"/>
      <c r="BPJ53"/>
      <c r="BPK53"/>
      <c r="BPL53"/>
      <c r="BPM53"/>
      <c r="BPN53"/>
      <c r="BPO53"/>
      <c r="BPP53"/>
      <c r="BPQ53"/>
      <c r="BPR53"/>
      <c r="BPS53"/>
      <c r="BPT53"/>
      <c r="BPU53"/>
      <c r="BPV53"/>
      <c r="BPW53"/>
      <c r="BPX53"/>
      <c r="BPY53"/>
      <c r="BPZ53"/>
      <c r="BQA53"/>
      <c r="BQB53"/>
      <c r="BQC53"/>
      <c r="BQD53"/>
      <c r="BQE53"/>
      <c r="BQF53"/>
      <c r="BQG53"/>
      <c r="BQH53"/>
      <c r="BQI53"/>
      <c r="BQJ53"/>
      <c r="BQK53"/>
      <c r="BQL53"/>
      <c r="BQM53"/>
      <c r="BQN53"/>
      <c r="BQO53"/>
      <c r="BQP53"/>
      <c r="BQQ53"/>
      <c r="BQR53"/>
      <c r="BQS53"/>
      <c r="BQT53"/>
      <c r="BQU53"/>
      <c r="BQV53"/>
      <c r="BQW53"/>
      <c r="BQX53"/>
      <c r="BQY53"/>
      <c r="BQZ53"/>
      <c r="BRA53"/>
      <c r="BRB53"/>
      <c r="BRC53"/>
      <c r="BRD53"/>
      <c r="BRE53"/>
      <c r="BRF53"/>
      <c r="BRG53"/>
      <c r="BRH53"/>
      <c r="BRI53"/>
      <c r="BRJ53"/>
      <c r="BRK53"/>
      <c r="BRL53"/>
      <c r="BRM53"/>
      <c r="BRN53"/>
      <c r="BRO53"/>
      <c r="BRP53"/>
      <c r="BRQ53"/>
      <c r="BRR53"/>
      <c r="BRS53"/>
      <c r="BRT53"/>
      <c r="BRU53"/>
      <c r="BRV53"/>
      <c r="BRW53"/>
      <c r="BRX53"/>
      <c r="BRY53"/>
      <c r="BRZ53"/>
      <c r="BSA53"/>
      <c r="BSB53"/>
      <c r="BSC53"/>
      <c r="BSD53"/>
      <c r="BSE53"/>
      <c r="BSF53"/>
      <c r="BSG53"/>
      <c r="BSH53"/>
      <c r="BSI53"/>
      <c r="BSJ53"/>
      <c r="BSK53"/>
      <c r="BSL53"/>
      <c r="BSM53"/>
      <c r="BSN53"/>
      <c r="BSO53"/>
      <c r="BSP53"/>
      <c r="BSQ53"/>
      <c r="BSR53"/>
      <c r="BSS53"/>
      <c r="BST53"/>
      <c r="BSU53"/>
      <c r="BSV53"/>
      <c r="BSW53"/>
      <c r="BSX53"/>
      <c r="BSY53"/>
      <c r="BSZ53"/>
      <c r="BTA53"/>
      <c r="BTB53"/>
      <c r="BTC53"/>
      <c r="BTD53"/>
      <c r="BTE53"/>
      <c r="BTF53"/>
      <c r="BTG53"/>
      <c r="BTH53"/>
      <c r="BTI53"/>
      <c r="BTJ53"/>
      <c r="BTK53"/>
      <c r="BTL53"/>
      <c r="BTM53"/>
      <c r="BTN53"/>
      <c r="BTO53"/>
      <c r="BTP53"/>
      <c r="BTQ53"/>
      <c r="BTR53"/>
      <c r="BTS53"/>
      <c r="BTT53"/>
      <c r="BTU53"/>
      <c r="BTV53"/>
      <c r="BTW53"/>
      <c r="BTX53"/>
      <c r="BTY53"/>
      <c r="BTZ53"/>
      <c r="BUA53"/>
      <c r="BUB53"/>
      <c r="BUC53"/>
      <c r="BUD53"/>
      <c r="BUE53"/>
      <c r="BUF53"/>
      <c r="BUG53"/>
      <c r="BUH53"/>
      <c r="BUI53"/>
      <c r="BUJ53"/>
      <c r="BUK53"/>
      <c r="BUL53"/>
      <c r="BUM53"/>
      <c r="BUN53"/>
      <c r="BUO53"/>
      <c r="BUP53"/>
      <c r="BUQ53"/>
      <c r="BUR53"/>
      <c r="BUS53"/>
      <c r="BUT53"/>
      <c r="BUU53"/>
      <c r="BUV53"/>
      <c r="BUW53"/>
      <c r="BUX53"/>
      <c r="BUY53"/>
      <c r="BUZ53"/>
      <c r="BVA53"/>
      <c r="BVB53"/>
      <c r="BVC53"/>
      <c r="BVD53"/>
      <c r="BVE53"/>
      <c r="BVF53"/>
      <c r="BVG53"/>
      <c r="BVH53"/>
      <c r="BVI53"/>
      <c r="BVJ53"/>
      <c r="BVK53"/>
      <c r="BVL53"/>
      <c r="BVM53"/>
      <c r="BVN53"/>
      <c r="BVO53"/>
      <c r="BVP53"/>
      <c r="BVQ53"/>
      <c r="BVR53"/>
      <c r="BVS53"/>
      <c r="BVT53"/>
      <c r="BVU53"/>
      <c r="BVV53"/>
      <c r="BVW53"/>
      <c r="BVX53"/>
      <c r="BVY53"/>
      <c r="BVZ53"/>
      <c r="BWA53"/>
      <c r="BWB53"/>
      <c r="BWC53"/>
      <c r="BWD53"/>
      <c r="BWE53"/>
      <c r="BWF53"/>
      <c r="BWG53"/>
      <c r="BWH53"/>
      <c r="BWI53"/>
      <c r="BWJ53"/>
      <c r="BWK53"/>
      <c r="BWL53"/>
      <c r="BWM53"/>
      <c r="BWN53"/>
      <c r="BWO53"/>
      <c r="BWP53"/>
      <c r="BWQ53"/>
      <c r="BWR53"/>
      <c r="BWS53"/>
      <c r="BWT53"/>
      <c r="BWU53"/>
      <c r="BWV53"/>
      <c r="BWW53"/>
      <c r="BWX53"/>
      <c r="BWY53"/>
      <c r="BWZ53"/>
      <c r="BXA53"/>
      <c r="BXB53"/>
      <c r="BXC53"/>
      <c r="BXD53"/>
      <c r="BXE53"/>
      <c r="BXF53"/>
      <c r="BXG53"/>
      <c r="BXH53"/>
      <c r="BXI53"/>
      <c r="BXJ53"/>
      <c r="BXK53"/>
      <c r="BXL53"/>
      <c r="BXM53"/>
      <c r="BXN53"/>
      <c r="BXO53"/>
      <c r="BXP53"/>
      <c r="BXQ53"/>
      <c r="BXR53"/>
      <c r="BXS53"/>
      <c r="BXT53"/>
      <c r="BXU53"/>
      <c r="BXV53"/>
      <c r="BXW53"/>
      <c r="BXX53"/>
      <c r="BXY53"/>
      <c r="BXZ53"/>
      <c r="BYA53"/>
      <c r="BYB53"/>
      <c r="BYC53"/>
      <c r="BYD53"/>
      <c r="BYE53"/>
      <c r="BYF53"/>
      <c r="BYG53"/>
      <c r="BYH53"/>
      <c r="BYI53"/>
      <c r="BYJ53"/>
      <c r="BYK53"/>
      <c r="BYL53"/>
      <c r="BYM53"/>
      <c r="BYN53"/>
      <c r="BYO53"/>
      <c r="BYP53"/>
      <c r="BYQ53"/>
      <c r="BYR53"/>
      <c r="BYS53"/>
      <c r="BYT53"/>
      <c r="BYU53"/>
      <c r="BYV53"/>
      <c r="BYW53"/>
      <c r="BYX53"/>
      <c r="BYY53"/>
      <c r="BYZ53"/>
      <c r="BZA53"/>
      <c r="BZB53"/>
      <c r="BZC53"/>
      <c r="BZD53"/>
      <c r="BZE53"/>
      <c r="BZF53"/>
      <c r="BZG53"/>
      <c r="BZH53"/>
      <c r="BZI53"/>
      <c r="BZJ53"/>
      <c r="BZK53"/>
      <c r="BZL53"/>
      <c r="BZM53"/>
      <c r="BZN53"/>
      <c r="BZO53"/>
      <c r="BZP53"/>
      <c r="BZQ53"/>
      <c r="BZR53"/>
      <c r="BZS53"/>
      <c r="BZT53"/>
      <c r="BZU53"/>
      <c r="BZV53"/>
      <c r="BZW53"/>
      <c r="BZX53"/>
      <c r="BZY53"/>
      <c r="BZZ53"/>
      <c r="CAA53"/>
      <c r="CAB53"/>
      <c r="CAC53"/>
      <c r="CAD53"/>
      <c r="CAE53"/>
      <c r="CAF53"/>
      <c r="CAG53"/>
      <c r="CAH53"/>
      <c r="CAI53"/>
      <c r="CAJ53"/>
      <c r="CAK53"/>
      <c r="CAL53"/>
      <c r="CAM53"/>
      <c r="CAN53"/>
      <c r="CAO53"/>
      <c r="CAP53"/>
      <c r="CAQ53"/>
      <c r="CAR53"/>
      <c r="CAS53"/>
      <c r="CAT53"/>
      <c r="CAU53"/>
      <c r="CAV53"/>
      <c r="CAW53"/>
      <c r="CAX53"/>
      <c r="CAY53"/>
      <c r="CAZ53"/>
      <c r="CBA53"/>
      <c r="CBB53"/>
      <c r="CBC53"/>
      <c r="CBD53"/>
      <c r="CBE53"/>
      <c r="CBF53"/>
      <c r="CBG53"/>
      <c r="CBH53"/>
      <c r="CBI53"/>
      <c r="CBJ53"/>
      <c r="CBK53"/>
      <c r="CBL53"/>
      <c r="CBM53"/>
      <c r="CBN53"/>
      <c r="CBO53"/>
      <c r="CBP53"/>
      <c r="CBQ53"/>
      <c r="CBR53"/>
      <c r="CBS53"/>
      <c r="CBT53"/>
      <c r="CBU53"/>
      <c r="CBV53"/>
      <c r="CBW53"/>
      <c r="CBX53"/>
      <c r="CBY53"/>
      <c r="CBZ53"/>
      <c r="CCA53"/>
      <c r="CCB53"/>
      <c r="CCC53"/>
      <c r="CCD53"/>
      <c r="CCE53"/>
      <c r="CCF53"/>
      <c r="CCG53"/>
      <c r="CCH53"/>
      <c r="CCI53"/>
      <c r="CCJ53"/>
      <c r="CCK53"/>
      <c r="CCL53"/>
      <c r="CCM53"/>
      <c r="CCN53"/>
      <c r="CCO53"/>
      <c r="CCP53"/>
      <c r="CCQ53"/>
      <c r="CCR53"/>
      <c r="CCS53"/>
      <c r="CCT53"/>
      <c r="CCU53"/>
      <c r="CCV53"/>
      <c r="CCW53"/>
      <c r="CCX53"/>
      <c r="CCY53"/>
      <c r="CCZ53"/>
      <c r="CDA53"/>
      <c r="CDB53"/>
      <c r="CDC53"/>
      <c r="CDD53"/>
      <c r="CDE53"/>
      <c r="CDF53"/>
      <c r="CDG53"/>
      <c r="CDH53"/>
      <c r="CDI53"/>
      <c r="CDJ53"/>
      <c r="CDK53"/>
      <c r="CDL53"/>
      <c r="CDM53"/>
      <c r="CDN53"/>
      <c r="CDO53"/>
      <c r="CDP53"/>
      <c r="CDQ53"/>
      <c r="CDR53"/>
      <c r="CDS53"/>
      <c r="CDT53"/>
      <c r="CDU53"/>
      <c r="CDV53"/>
      <c r="CDW53"/>
      <c r="CDX53"/>
      <c r="CDY53"/>
      <c r="CDZ53"/>
      <c r="CEA53"/>
      <c r="CEB53"/>
      <c r="CEC53"/>
      <c r="CED53"/>
      <c r="CEE53"/>
      <c r="CEF53"/>
      <c r="CEG53"/>
      <c r="CEH53"/>
      <c r="CEI53"/>
      <c r="CEJ53"/>
      <c r="CEK53"/>
      <c r="CEL53"/>
      <c r="CEM53"/>
      <c r="CEN53"/>
      <c r="CEO53"/>
      <c r="CEP53"/>
      <c r="CEQ53"/>
      <c r="CER53"/>
      <c r="CES53"/>
      <c r="CET53"/>
      <c r="CEU53"/>
      <c r="CEV53"/>
      <c r="CEW53"/>
      <c r="CEX53"/>
      <c r="CEY53"/>
      <c r="CEZ53"/>
      <c r="CFA53"/>
      <c r="CFB53"/>
      <c r="CFC53"/>
      <c r="CFD53"/>
      <c r="CFE53"/>
      <c r="CFF53"/>
      <c r="CFG53"/>
      <c r="CFH53"/>
      <c r="CFI53"/>
      <c r="CFJ53"/>
      <c r="CFK53"/>
      <c r="CFL53"/>
      <c r="CFM53"/>
      <c r="CFN53"/>
      <c r="CFO53"/>
      <c r="CFP53"/>
      <c r="CFQ53"/>
      <c r="CFR53"/>
      <c r="CFS53"/>
      <c r="CFT53"/>
      <c r="CFU53"/>
      <c r="CFV53"/>
      <c r="CFW53"/>
      <c r="CFX53"/>
      <c r="CFY53"/>
      <c r="CFZ53"/>
      <c r="CGA53"/>
      <c r="CGB53"/>
      <c r="CGC53"/>
      <c r="CGD53"/>
      <c r="CGE53"/>
      <c r="CGF53"/>
      <c r="CGG53"/>
      <c r="CGH53"/>
      <c r="CGI53"/>
      <c r="CGJ53"/>
      <c r="CGK53"/>
      <c r="CGL53"/>
      <c r="CGM53"/>
      <c r="CGN53"/>
      <c r="CGO53"/>
      <c r="CGP53"/>
      <c r="CGQ53"/>
      <c r="CGR53"/>
      <c r="CGS53"/>
      <c r="CGT53"/>
      <c r="CGU53"/>
      <c r="CGV53"/>
      <c r="CGW53"/>
      <c r="CGX53"/>
      <c r="CGY53"/>
      <c r="CGZ53"/>
      <c r="CHA53"/>
      <c r="CHB53"/>
      <c r="CHC53"/>
      <c r="CHD53"/>
      <c r="CHE53"/>
      <c r="CHF53"/>
      <c r="CHG53"/>
      <c r="CHH53"/>
      <c r="CHI53"/>
      <c r="CHJ53"/>
      <c r="CHK53"/>
      <c r="CHL53"/>
      <c r="CHM53"/>
      <c r="CHN53"/>
      <c r="CHO53"/>
      <c r="CHP53"/>
      <c r="CHQ53"/>
      <c r="CHR53"/>
      <c r="CHS53"/>
      <c r="CHT53"/>
      <c r="CHU53"/>
      <c r="CHV53"/>
      <c r="CHW53"/>
      <c r="CHX53"/>
      <c r="CHY53"/>
      <c r="CHZ53"/>
      <c r="CIA53"/>
      <c r="CIB53"/>
      <c r="CIC53"/>
      <c r="CID53"/>
      <c r="CIE53"/>
      <c r="CIF53"/>
      <c r="CIG53"/>
      <c r="CIH53"/>
      <c r="CII53"/>
      <c r="CIJ53"/>
      <c r="CIK53"/>
      <c r="CIL53"/>
      <c r="CIM53"/>
      <c r="CIN53"/>
      <c r="CIO53"/>
      <c r="CIP53"/>
      <c r="CIQ53"/>
      <c r="CIR53"/>
      <c r="CIS53"/>
      <c r="CIT53"/>
      <c r="CIU53"/>
      <c r="CIV53"/>
      <c r="CIW53"/>
      <c r="CIX53"/>
      <c r="CIY53"/>
      <c r="CIZ53"/>
      <c r="CJA53"/>
      <c r="CJB53"/>
      <c r="CJC53"/>
      <c r="CJD53"/>
      <c r="CJE53"/>
      <c r="CJF53"/>
      <c r="CJG53"/>
      <c r="CJH53"/>
      <c r="CJI53"/>
      <c r="CJJ53"/>
      <c r="CJK53"/>
      <c r="CJL53"/>
      <c r="CJM53"/>
      <c r="CJN53"/>
      <c r="CJO53"/>
      <c r="CJP53"/>
      <c r="CJQ53"/>
      <c r="CJR53"/>
      <c r="CJS53"/>
      <c r="CJT53"/>
      <c r="CJU53"/>
      <c r="CJV53"/>
      <c r="CJW53"/>
      <c r="CJX53"/>
      <c r="CJY53"/>
      <c r="CJZ53"/>
      <c r="CKA53"/>
      <c r="CKB53"/>
      <c r="CKC53"/>
      <c r="CKD53"/>
      <c r="CKE53"/>
      <c r="CKF53"/>
      <c r="CKG53"/>
      <c r="CKH53"/>
      <c r="CKI53"/>
      <c r="CKJ53"/>
      <c r="CKK53"/>
      <c r="CKL53"/>
      <c r="CKM53"/>
      <c r="CKN53"/>
      <c r="CKO53"/>
      <c r="CKP53"/>
      <c r="CKQ53"/>
      <c r="CKR53"/>
      <c r="CKS53"/>
      <c r="CKT53"/>
      <c r="CKU53"/>
      <c r="CKV53"/>
      <c r="CKW53"/>
      <c r="CKX53"/>
      <c r="CKY53"/>
      <c r="CKZ53"/>
      <c r="CLA53"/>
      <c r="CLB53"/>
      <c r="CLC53"/>
      <c r="CLD53"/>
      <c r="CLE53"/>
      <c r="CLF53"/>
      <c r="CLG53"/>
      <c r="CLH53"/>
      <c r="CLI53"/>
      <c r="CLJ53"/>
      <c r="CLK53"/>
      <c r="CLL53"/>
      <c r="CLM53"/>
      <c r="CLN53"/>
      <c r="CLO53"/>
      <c r="CLP53"/>
      <c r="CLQ53"/>
      <c r="CLR53"/>
      <c r="CLS53"/>
      <c r="CLT53"/>
      <c r="CLU53"/>
      <c r="CLV53"/>
      <c r="CLW53"/>
      <c r="CLX53"/>
      <c r="CLY53"/>
      <c r="CLZ53"/>
      <c r="CMA53"/>
      <c r="CMB53"/>
      <c r="CMC53"/>
      <c r="CMD53"/>
      <c r="CME53"/>
      <c r="CMF53"/>
      <c r="CMG53"/>
      <c r="CMH53"/>
      <c r="CMI53"/>
      <c r="CMJ53"/>
      <c r="CMK53"/>
      <c r="CML53"/>
      <c r="CMM53"/>
      <c r="CMN53"/>
      <c r="CMO53"/>
      <c r="CMP53"/>
      <c r="CMQ53"/>
      <c r="CMR53"/>
      <c r="CMS53"/>
      <c r="CMT53"/>
      <c r="CMU53"/>
      <c r="CMV53"/>
      <c r="CMW53"/>
      <c r="CMX53"/>
      <c r="CMY53"/>
      <c r="CMZ53"/>
      <c r="CNA53"/>
      <c r="CNB53"/>
      <c r="CNC53"/>
      <c r="CND53"/>
      <c r="CNE53"/>
      <c r="CNF53"/>
      <c r="CNG53"/>
      <c r="CNH53"/>
      <c r="CNI53"/>
      <c r="CNJ53"/>
      <c r="CNK53"/>
      <c r="CNL53"/>
      <c r="CNM53"/>
      <c r="CNN53"/>
      <c r="CNO53"/>
      <c r="CNP53"/>
      <c r="CNQ53"/>
      <c r="CNR53"/>
      <c r="CNS53"/>
      <c r="CNT53"/>
      <c r="CNU53"/>
      <c r="CNV53"/>
      <c r="CNW53"/>
      <c r="CNX53"/>
      <c r="CNY53"/>
      <c r="CNZ53"/>
      <c r="COA53"/>
      <c r="COB53"/>
      <c r="COC53"/>
      <c r="COD53"/>
      <c r="COE53"/>
      <c r="COF53"/>
      <c r="COG53"/>
      <c r="COH53"/>
      <c r="COI53"/>
      <c r="COJ53"/>
      <c r="COK53"/>
      <c r="COL53"/>
      <c r="COM53"/>
      <c r="CON53"/>
      <c r="COO53"/>
      <c r="COP53"/>
      <c r="COQ53"/>
      <c r="COR53"/>
      <c r="COS53"/>
      <c r="COT53"/>
      <c r="COU53"/>
      <c r="COV53"/>
      <c r="COW53"/>
      <c r="COX53"/>
      <c r="COY53"/>
      <c r="COZ53"/>
      <c r="CPA53"/>
      <c r="CPB53"/>
      <c r="CPC53"/>
      <c r="CPD53"/>
      <c r="CPE53"/>
      <c r="CPF53"/>
      <c r="CPG53"/>
      <c r="CPH53"/>
      <c r="CPI53"/>
      <c r="CPJ53"/>
      <c r="CPK53"/>
      <c r="CPL53"/>
      <c r="CPM53"/>
      <c r="CPN53"/>
      <c r="CPO53"/>
      <c r="CPP53"/>
      <c r="CPQ53"/>
      <c r="CPR53"/>
      <c r="CPS53"/>
      <c r="CPT53"/>
      <c r="CPU53"/>
      <c r="CPV53"/>
      <c r="CPW53"/>
      <c r="CPX53"/>
      <c r="CPY53"/>
      <c r="CPZ53"/>
      <c r="CQA53"/>
      <c r="CQB53"/>
      <c r="CQC53"/>
      <c r="CQD53"/>
      <c r="CQE53"/>
      <c r="CQF53"/>
      <c r="CQG53"/>
      <c r="CQH53"/>
      <c r="CQI53"/>
      <c r="CQJ53"/>
      <c r="CQK53"/>
      <c r="CQL53"/>
      <c r="CQM53"/>
      <c r="CQN53"/>
      <c r="CQO53"/>
      <c r="CQP53"/>
      <c r="CQQ53"/>
      <c r="CQR53"/>
      <c r="CQS53"/>
      <c r="CQT53"/>
      <c r="CQU53"/>
      <c r="CQV53"/>
      <c r="CQW53"/>
      <c r="CQX53"/>
      <c r="CQY53"/>
      <c r="CQZ53"/>
      <c r="CRA53"/>
      <c r="CRB53"/>
      <c r="CRC53"/>
      <c r="CRD53"/>
      <c r="CRE53"/>
      <c r="CRF53"/>
      <c r="CRG53"/>
      <c r="CRH53"/>
      <c r="CRI53"/>
      <c r="CRJ53"/>
      <c r="CRK53"/>
      <c r="CRL53"/>
      <c r="CRM53"/>
      <c r="CRN53"/>
      <c r="CRO53"/>
      <c r="CRP53"/>
      <c r="CRQ53"/>
      <c r="CRR53"/>
      <c r="CRS53"/>
      <c r="CRT53"/>
      <c r="CRU53"/>
      <c r="CRV53"/>
      <c r="CRW53"/>
      <c r="CRX53"/>
      <c r="CRY53"/>
      <c r="CRZ53"/>
      <c r="CSA53"/>
      <c r="CSB53"/>
      <c r="CSC53"/>
      <c r="CSD53"/>
      <c r="CSE53"/>
      <c r="CSF53"/>
      <c r="CSG53"/>
      <c r="CSH53"/>
      <c r="CSI53"/>
      <c r="CSJ53"/>
      <c r="CSK53"/>
      <c r="CSL53"/>
      <c r="CSM53"/>
      <c r="CSN53"/>
      <c r="CSO53"/>
      <c r="CSP53"/>
      <c r="CSQ53"/>
      <c r="CSR53"/>
      <c r="CSS53"/>
      <c r="CST53"/>
      <c r="CSU53"/>
      <c r="CSV53"/>
      <c r="CSW53"/>
      <c r="CSX53"/>
      <c r="CSY53"/>
      <c r="CSZ53"/>
      <c r="CTA53"/>
      <c r="CTB53"/>
      <c r="CTC53"/>
      <c r="CTD53"/>
      <c r="CTE53"/>
      <c r="CTF53"/>
      <c r="CTG53"/>
      <c r="CTH53"/>
      <c r="CTI53"/>
      <c r="CTJ53"/>
      <c r="CTK53"/>
      <c r="CTL53"/>
      <c r="CTM53"/>
      <c r="CTN53"/>
      <c r="CTO53"/>
      <c r="CTP53"/>
      <c r="CTQ53"/>
      <c r="CTR53"/>
      <c r="CTS53"/>
      <c r="CTT53"/>
      <c r="CTU53"/>
      <c r="CTV53"/>
      <c r="CTW53"/>
      <c r="CTX53"/>
      <c r="CTY53"/>
      <c r="CTZ53"/>
      <c r="CUA53"/>
      <c r="CUB53"/>
      <c r="CUC53"/>
      <c r="CUD53"/>
      <c r="CUE53"/>
      <c r="CUF53"/>
      <c r="CUG53"/>
      <c r="CUH53"/>
      <c r="CUI53"/>
      <c r="CUJ53"/>
      <c r="CUK53"/>
      <c r="CUL53"/>
      <c r="CUM53"/>
      <c r="CUN53"/>
      <c r="CUO53"/>
      <c r="CUP53"/>
      <c r="CUQ53"/>
      <c r="CUR53"/>
      <c r="CUS53"/>
      <c r="CUT53"/>
      <c r="CUU53"/>
      <c r="CUV53"/>
      <c r="CUW53"/>
      <c r="CUX53"/>
      <c r="CUY53"/>
      <c r="CUZ53"/>
      <c r="CVA53"/>
      <c r="CVB53"/>
      <c r="CVC53"/>
      <c r="CVD53"/>
      <c r="CVE53"/>
      <c r="CVF53"/>
      <c r="CVG53"/>
      <c r="CVH53"/>
      <c r="CVI53"/>
      <c r="CVJ53"/>
      <c r="CVK53"/>
      <c r="CVL53"/>
      <c r="CVM53"/>
      <c r="CVN53"/>
      <c r="CVO53"/>
      <c r="CVP53"/>
      <c r="CVQ53"/>
      <c r="CVR53"/>
      <c r="CVS53"/>
      <c r="CVT53"/>
      <c r="CVU53"/>
      <c r="CVV53"/>
      <c r="CVW53"/>
      <c r="CVX53"/>
      <c r="CVY53"/>
      <c r="CVZ53"/>
      <c r="CWA53"/>
      <c r="CWB53"/>
      <c r="CWC53"/>
      <c r="CWD53"/>
      <c r="CWE53"/>
      <c r="CWF53"/>
      <c r="CWG53"/>
      <c r="CWH53"/>
      <c r="CWI53"/>
      <c r="CWJ53"/>
      <c r="CWK53"/>
      <c r="CWL53"/>
      <c r="CWM53"/>
      <c r="CWN53"/>
      <c r="CWO53"/>
      <c r="CWP53"/>
      <c r="CWQ53"/>
      <c r="CWR53"/>
      <c r="CWS53"/>
      <c r="CWT53"/>
      <c r="CWU53"/>
      <c r="CWV53"/>
      <c r="CWW53"/>
      <c r="CWX53"/>
      <c r="CWY53"/>
      <c r="CWZ53"/>
      <c r="CXA53"/>
      <c r="CXB53"/>
      <c r="CXC53"/>
      <c r="CXD53"/>
      <c r="CXE53"/>
      <c r="CXF53"/>
      <c r="CXG53"/>
      <c r="CXH53"/>
      <c r="CXI53"/>
      <c r="CXJ53"/>
      <c r="CXK53"/>
      <c r="CXL53"/>
      <c r="CXM53"/>
      <c r="CXN53"/>
      <c r="CXO53"/>
      <c r="CXP53"/>
      <c r="CXQ53"/>
      <c r="CXR53"/>
      <c r="CXS53"/>
      <c r="CXT53"/>
      <c r="CXU53"/>
      <c r="CXV53"/>
      <c r="CXW53"/>
      <c r="CXX53"/>
      <c r="CXY53"/>
      <c r="CXZ53"/>
      <c r="CYA53"/>
      <c r="CYB53"/>
      <c r="CYC53"/>
      <c r="CYD53"/>
      <c r="CYE53"/>
      <c r="CYF53"/>
      <c r="CYG53"/>
      <c r="CYH53"/>
      <c r="CYI53"/>
      <c r="CYJ53"/>
      <c r="CYK53"/>
      <c r="CYL53"/>
      <c r="CYM53"/>
      <c r="CYN53"/>
      <c r="CYO53"/>
      <c r="CYP53"/>
      <c r="CYQ53"/>
      <c r="CYR53"/>
      <c r="CYS53"/>
      <c r="CYT53"/>
      <c r="CYU53"/>
      <c r="CYV53"/>
      <c r="CYW53"/>
      <c r="CYX53"/>
      <c r="CYY53"/>
      <c r="CYZ53"/>
      <c r="CZA53"/>
      <c r="CZB53"/>
      <c r="CZC53"/>
      <c r="CZD53"/>
      <c r="CZE53"/>
      <c r="CZF53"/>
      <c r="CZG53"/>
      <c r="CZH53"/>
      <c r="CZI53"/>
      <c r="CZJ53"/>
      <c r="CZK53"/>
      <c r="CZL53"/>
      <c r="CZM53"/>
      <c r="CZN53"/>
      <c r="CZO53"/>
      <c r="CZP53"/>
      <c r="CZQ53"/>
      <c r="CZR53"/>
      <c r="CZS53"/>
      <c r="CZT53"/>
      <c r="CZU53"/>
      <c r="CZV53"/>
      <c r="CZW53"/>
      <c r="CZX53"/>
      <c r="CZY53"/>
      <c r="CZZ53"/>
      <c r="DAA53"/>
      <c r="DAB53"/>
      <c r="DAC53"/>
      <c r="DAD53"/>
      <c r="DAE53"/>
      <c r="DAF53"/>
      <c r="DAG53"/>
      <c r="DAH53"/>
      <c r="DAI53"/>
      <c r="DAJ53"/>
      <c r="DAK53"/>
      <c r="DAL53"/>
      <c r="DAM53"/>
      <c r="DAN53"/>
      <c r="DAO53"/>
      <c r="DAP53"/>
      <c r="DAQ53"/>
      <c r="DAR53"/>
      <c r="DAS53"/>
      <c r="DAT53"/>
      <c r="DAU53"/>
      <c r="DAV53"/>
      <c r="DAW53"/>
      <c r="DAX53"/>
      <c r="DAY53"/>
      <c r="DAZ53"/>
      <c r="DBA53"/>
      <c r="DBB53"/>
      <c r="DBC53"/>
      <c r="DBD53"/>
      <c r="DBE53"/>
      <c r="DBF53"/>
      <c r="DBG53"/>
      <c r="DBH53"/>
      <c r="DBI53"/>
      <c r="DBJ53"/>
      <c r="DBK53"/>
      <c r="DBL53"/>
      <c r="DBM53"/>
      <c r="DBN53"/>
      <c r="DBO53"/>
      <c r="DBP53"/>
      <c r="DBQ53"/>
      <c r="DBR53"/>
      <c r="DBS53"/>
      <c r="DBT53"/>
      <c r="DBU53"/>
      <c r="DBV53"/>
      <c r="DBW53"/>
      <c r="DBX53"/>
      <c r="DBY53"/>
      <c r="DBZ53"/>
      <c r="DCA53"/>
      <c r="DCB53"/>
      <c r="DCC53"/>
      <c r="DCD53"/>
      <c r="DCE53"/>
      <c r="DCF53"/>
      <c r="DCG53"/>
      <c r="DCH53"/>
      <c r="DCI53"/>
      <c r="DCJ53"/>
      <c r="DCK53"/>
      <c r="DCL53"/>
      <c r="DCM53"/>
      <c r="DCN53"/>
      <c r="DCO53"/>
      <c r="DCP53"/>
      <c r="DCQ53"/>
      <c r="DCR53"/>
      <c r="DCS53"/>
      <c r="DCT53"/>
      <c r="DCU53"/>
      <c r="DCV53"/>
      <c r="DCW53"/>
      <c r="DCX53"/>
      <c r="DCY53"/>
      <c r="DCZ53"/>
      <c r="DDA53"/>
      <c r="DDB53"/>
      <c r="DDC53"/>
      <c r="DDD53"/>
      <c r="DDE53"/>
      <c r="DDF53"/>
      <c r="DDG53"/>
      <c r="DDH53"/>
      <c r="DDI53"/>
      <c r="DDJ53"/>
      <c r="DDK53"/>
      <c r="DDL53"/>
      <c r="DDM53"/>
      <c r="DDN53"/>
      <c r="DDO53"/>
      <c r="DDP53"/>
      <c r="DDQ53"/>
      <c r="DDR53"/>
      <c r="DDS53"/>
      <c r="DDT53"/>
      <c r="DDU53"/>
      <c r="DDV53"/>
      <c r="DDW53"/>
      <c r="DDX53"/>
      <c r="DDY53"/>
      <c r="DDZ53"/>
      <c r="DEA53"/>
      <c r="DEB53"/>
      <c r="DEC53"/>
      <c r="DED53"/>
      <c r="DEE53"/>
      <c r="DEF53"/>
      <c r="DEG53"/>
      <c r="DEH53"/>
      <c r="DEI53"/>
      <c r="DEJ53"/>
      <c r="DEK53"/>
      <c r="DEL53"/>
      <c r="DEM53"/>
      <c r="DEN53"/>
      <c r="DEO53"/>
      <c r="DEP53"/>
      <c r="DEQ53"/>
      <c r="DER53"/>
      <c r="DES53"/>
      <c r="DET53"/>
      <c r="DEU53"/>
      <c r="DEV53"/>
      <c r="DEW53"/>
      <c r="DEX53"/>
      <c r="DEY53"/>
      <c r="DEZ53"/>
      <c r="DFA53"/>
      <c r="DFB53"/>
      <c r="DFC53"/>
      <c r="DFD53"/>
      <c r="DFE53"/>
      <c r="DFF53"/>
      <c r="DFG53"/>
      <c r="DFH53"/>
      <c r="DFI53"/>
      <c r="DFJ53"/>
      <c r="DFK53"/>
      <c r="DFL53"/>
      <c r="DFM53"/>
      <c r="DFN53"/>
      <c r="DFO53"/>
      <c r="DFP53"/>
      <c r="DFQ53"/>
      <c r="DFR53"/>
      <c r="DFS53"/>
      <c r="DFT53"/>
      <c r="DFU53"/>
      <c r="DFV53"/>
      <c r="DFW53"/>
      <c r="DFX53"/>
      <c r="DFY53"/>
      <c r="DFZ53"/>
      <c r="DGA53"/>
      <c r="DGB53"/>
      <c r="DGC53"/>
      <c r="DGD53"/>
      <c r="DGE53"/>
      <c r="DGF53"/>
      <c r="DGG53"/>
      <c r="DGH53"/>
      <c r="DGI53"/>
      <c r="DGJ53"/>
      <c r="DGK53"/>
      <c r="DGL53"/>
      <c r="DGM53"/>
      <c r="DGN53"/>
      <c r="DGO53"/>
      <c r="DGP53"/>
      <c r="DGQ53"/>
      <c r="DGR53"/>
      <c r="DGS53"/>
      <c r="DGT53"/>
      <c r="DGU53"/>
      <c r="DGV53"/>
      <c r="DGW53"/>
      <c r="DGX53"/>
      <c r="DGY53"/>
      <c r="DGZ53"/>
      <c r="DHA53"/>
      <c r="DHB53"/>
      <c r="DHC53"/>
      <c r="DHD53"/>
      <c r="DHE53"/>
      <c r="DHF53"/>
      <c r="DHG53"/>
      <c r="DHH53"/>
      <c r="DHI53"/>
      <c r="DHJ53"/>
      <c r="DHK53"/>
      <c r="DHL53"/>
      <c r="DHM53"/>
      <c r="DHN53"/>
      <c r="DHO53"/>
      <c r="DHP53"/>
      <c r="DHQ53"/>
      <c r="DHR53"/>
      <c r="DHS53"/>
      <c r="DHT53"/>
      <c r="DHU53"/>
      <c r="DHV53"/>
      <c r="DHW53"/>
      <c r="DHX53"/>
      <c r="DHY53"/>
      <c r="DHZ53"/>
      <c r="DIA53"/>
      <c r="DIB53"/>
      <c r="DIC53"/>
      <c r="DID53"/>
      <c r="DIE53"/>
      <c r="DIF53"/>
      <c r="DIG53"/>
      <c r="DIH53"/>
      <c r="DII53"/>
      <c r="DIJ53"/>
      <c r="DIK53"/>
      <c r="DIL53"/>
      <c r="DIM53"/>
      <c r="DIN53"/>
      <c r="DIO53"/>
      <c r="DIP53"/>
      <c r="DIQ53"/>
      <c r="DIR53"/>
      <c r="DIS53"/>
      <c r="DIT53"/>
      <c r="DIU53"/>
      <c r="DIV53"/>
      <c r="DIW53"/>
      <c r="DIX53"/>
      <c r="DIY53"/>
      <c r="DIZ53"/>
      <c r="DJA53"/>
      <c r="DJB53"/>
      <c r="DJC53"/>
      <c r="DJD53"/>
      <c r="DJE53"/>
      <c r="DJF53"/>
      <c r="DJG53"/>
      <c r="DJH53"/>
      <c r="DJI53"/>
      <c r="DJJ53"/>
      <c r="DJK53"/>
      <c r="DJL53"/>
      <c r="DJM53"/>
      <c r="DJN53"/>
      <c r="DJO53"/>
      <c r="DJP53"/>
      <c r="DJQ53"/>
      <c r="DJR53"/>
      <c r="DJS53"/>
      <c r="DJT53"/>
      <c r="DJU53"/>
      <c r="DJV53"/>
      <c r="DJW53"/>
      <c r="DJX53"/>
      <c r="DJY53"/>
      <c r="DJZ53"/>
      <c r="DKA53"/>
      <c r="DKB53"/>
      <c r="DKC53"/>
      <c r="DKD53"/>
      <c r="DKE53"/>
      <c r="DKF53"/>
      <c r="DKG53"/>
      <c r="DKH53"/>
      <c r="DKI53"/>
      <c r="DKJ53"/>
      <c r="DKK53"/>
      <c r="DKL53"/>
      <c r="DKM53"/>
      <c r="DKN53"/>
      <c r="DKO53"/>
      <c r="DKP53"/>
      <c r="DKQ53"/>
      <c r="DKR53"/>
      <c r="DKS53"/>
      <c r="DKT53"/>
      <c r="DKU53"/>
      <c r="DKV53"/>
      <c r="DKW53"/>
      <c r="DKX53"/>
      <c r="DKY53"/>
      <c r="DKZ53"/>
      <c r="DLA53"/>
      <c r="DLB53"/>
      <c r="DLC53"/>
      <c r="DLD53"/>
      <c r="DLE53"/>
      <c r="DLF53"/>
      <c r="DLG53"/>
      <c r="DLH53"/>
      <c r="DLI53"/>
      <c r="DLJ53"/>
      <c r="DLK53"/>
      <c r="DLL53"/>
      <c r="DLM53"/>
      <c r="DLN53"/>
      <c r="DLO53"/>
      <c r="DLP53"/>
      <c r="DLQ53"/>
      <c r="DLR53"/>
      <c r="DLS53"/>
      <c r="DLT53"/>
      <c r="DLU53"/>
      <c r="DLV53"/>
      <c r="DLW53"/>
      <c r="DLX53"/>
      <c r="DLY53"/>
      <c r="DLZ53"/>
      <c r="DMA53"/>
      <c r="DMB53"/>
      <c r="DMC53"/>
      <c r="DMD53"/>
      <c r="DME53"/>
      <c r="DMF53"/>
      <c r="DMG53"/>
      <c r="DMH53"/>
      <c r="DMI53"/>
      <c r="DMJ53"/>
      <c r="DMK53"/>
      <c r="DML53"/>
      <c r="DMM53"/>
      <c r="DMN53"/>
      <c r="DMO53"/>
      <c r="DMP53"/>
      <c r="DMQ53"/>
      <c r="DMR53"/>
      <c r="DMS53"/>
      <c r="DMT53"/>
      <c r="DMU53"/>
      <c r="DMV53"/>
      <c r="DMW53"/>
      <c r="DMX53"/>
      <c r="DMY53"/>
      <c r="DMZ53"/>
      <c r="DNA53"/>
      <c r="DNB53"/>
      <c r="DNC53"/>
      <c r="DND53"/>
      <c r="DNE53"/>
      <c r="DNF53"/>
      <c r="DNG53"/>
      <c r="DNH53"/>
      <c r="DNI53"/>
      <c r="DNJ53"/>
      <c r="DNK53"/>
      <c r="DNL53"/>
      <c r="DNM53"/>
      <c r="DNN53"/>
      <c r="DNO53"/>
      <c r="DNP53"/>
      <c r="DNQ53"/>
      <c r="DNR53"/>
      <c r="DNS53"/>
      <c r="DNT53"/>
      <c r="DNU53"/>
      <c r="DNV53"/>
      <c r="DNW53"/>
      <c r="DNX53"/>
      <c r="DNY53"/>
      <c r="DNZ53"/>
      <c r="DOA53"/>
      <c r="DOB53"/>
      <c r="DOC53"/>
      <c r="DOD53"/>
      <c r="DOE53"/>
      <c r="DOF53"/>
      <c r="DOG53"/>
      <c r="DOH53"/>
      <c r="DOI53"/>
      <c r="DOJ53"/>
      <c r="DOK53"/>
      <c r="DOL53"/>
      <c r="DOM53"/>
      <c r="DON53"/>
      <c r="DOO53"/>
      <c r="DOP53"/>
      <c r="DOQ53"/>
      <c r="DOR53"/>
      <c r="DOS53"/>
      <c r="DOT53"/>
      <c r="DOU53"/>
      <c r="DOV53"/>
      <c r="DOW53"/>
      <c r="DOX53"/>
      <c r="DOY53"/>
      <c r="DOZ53"/>
      <c r="DPA53"/>
      <c r="DPB53"/>
      <c r="DPC53"/>
      <c r="DPD53"/>
      <c r="DPE53"/>
      <c r="DPF53"/>
      <c r="DPG53"/>
      <c r="DPH53"/>
      <c r="DPI53"/>
      <c r="DPJ53"/>
      <c r="DPK53"/>
      <c r="DPL53"/>
      <c r="DPM53"/>
      <c r="DPN53"/>
      <c r="DPO53"/>
      <c r="DPP53"/>
      <c r="DPQ53"/>
      <c r="DPR53"/>
      <c r="DPS53"/>
      <c r="DPT53"/>
      <c r="DPU53"/>
      <c r="DPV53"/>
      <c r="DPW53"/>
      <c r="DPX53"/>
      <c r="DPY53"/>
      <c r="DPZ53"/>
      <c r="DQA53"/>
      <c r="DQB53"/>
      <c r="DQC53"/>
      <c r="DQD53"/>
      <c r="DQE53"/>
      <c r="DQF53"/>
      <c r="DQG53"/>
      <c r="DQH53"/>
      <c r="DQI53"/>
      <c r="DQJ53"/>
      <c r="DQK53"/>
      <c r="DQL53"/>
      <c r="DQM53"/>
      <c r="DQN53"/>
      <c r="DQO53"/>
      <c r="DQP53"/>
      <c r="DQQ53"/>
      <c r="DQR53"/>
      <c r="DQS53"/>
      <c r="DQT53"/>
      <c r="DQU53"/>
      <c r="DQV53"/>
      <c r="DQW53"/>
      <c r="DQX53"/>
      <c r="DQY53"/>
      <c r="DQZ53"/>
      <c r="DRA53"/>
      <c r="DRB53"/>
      <c r="DRC53"/>
      <c r="DRD53"/>
      <c r="DRE53"/>
      <c r="DRF53"/>
      <c r="DRG53"/>
      <c r="DRH53"/>
      <c r="DRI53"/>
      <c r="DRJ53"/>
      <c r="DRK53"/>
      <c r="DRL53"/>
      <c r="DRM53"/>
      <c r="DRN53"/>
      <c r="DRO53"/>
      <c r="DRP53"/>
      <c r="DRQ53"/>
      <c r="DRR53"/>
      <c r="DRS53"/>
      <c r="DRT53"/>
      <c r="DRU53"/>
      <c r="DRV53"/>
      <c r="DRW53"/>
      <c r="DRX53"/>
      <c r="DRY53"/>
      <c r="DRZ53"/>
      <c r="DSA53"/>
      <c r="DSB53"/>
      <c r="DSC53"/>
      <c r="DSD53"/>
      <c r="DSE53"/>
      <c r="DSF53"/>
      <c r="DSG53"/>
      <c r="DSH53"/>
      <c r="DSI53"/>
      <c r="DSJ53"/>
      <c r="DSK53"/>
      <c r="DSL53"/>
      <c r="DSM53"/>
      <c r="DSN53"/>
      <c r="DSO53"/>
      <c r="DSP53"/>
      <c r="DSQ53"/>
      <c r="DSR53"/>
      <c r="DSS53"/>
      <c r="DST53"/>
      <c r="DSU53"/>
      <c r="DSV53"/>
      <c r="DSW53"/>
      <c r="DSX53"/>
      <c r="DSY53"/>
      <c r="DSZ53"/>
      <c r="DTA53"/>
      <c r="DTB53"/>
      <c r="DTC53"/>
      <c r="DTD53"/>
      <c r="DTE53"/>
      <c r="DTF53"/>
      <c r="DTG53"/>
      <c r="DTH53"/>
      <c r="DTI53"/>
      <c r="DTJ53"/>
      <c r="DTK53"/>
      <c r="DTL53"/>
      <c r="DTM53"/>
      <c r="DTN53"/>
      <c r="DTO53"/>
      <c r="DTP53"/>
      <c r="DTQ53"/>
      <c r="DTR53"/>
      <c r="DTS53"/>
      <c r="DTT53"/>
      <c r="DTU53"/>
      <c r="DTV53"/>
      <c r="DTW53"/>
      <c r="DTX53"/>
      <c r="DTY53"/>
      <c r="DTZ53"/>
      <c r="DUA53"/>
      <c r="DUB53"/>
      <c r="DUC53"/>
      <c r="DUD53"/>
      <c r="DUE53"/>
      <c r="DUF53"/>
      <c r="DUG53"/>
      <c r="DUH53"/>
      <c r="DUI53"/>
      <c r="DUJ53"/>
      <c r="DUK53"/>
      <c r="DUL53"/>
      <c r="DUM53"/>
      <c r="DUN53"/>
      <c r="DUO53"/>
      <c r="DUP53"/>
      <c r="DUQ53"/>
      <c r="DUR53"/>
      <c r="DUS53"/>
      <c r="DUT53"/>
      <c r="DUU53"/>
      <c r="DUV53"/>
      <c r="DUW53"/>
      <c r="DUX53"/>
      <c r="DUY53"/>
      <c r="DUZ53"/>
      <c r="DVA53"/>
      <c r="DVB53"/>
      <c r="DVC53"/>
      <c r="DVD53"/>
      <c r="DVE53"/>
      <c r="DVF53"/>
      <c r="DVG53"/>
      <c r="DVH53"/>
      <c r="DVI53"/>
      <c r="DVJ53"/>
      <c r="DVK53"/>
      <c r="DVL53"/>
      <c r="DVM53"/>
      <c r="DVN53"/>
      <c r="DVO53"/>
      <c r="DVP53"/>
      <c r="DVQ53"/>
      <c r="DVR53"/>
      <c r="DVS53"/>
      <c r="DVT53"/>
      <c r="DVU53"/>
      <c r="DVV53"/>
      <c r="DVW53"/>
      <c r="DVX53"/>
      <c r="DVY53"/>
      <c r="DVZ53"/>
      <c r="DWA53"/>
      <c r="DWB53"/>
      <c r="DWC53"/>
      <c r="DWD53"/>
      <c r="DWE53"/>
      <c r="DWF53"/>
      <c r="DWG53"/>
      <c r="DWH53"/>
      <c r="DWI53"/>
      <c r="DWJ53"/>
      <c r="DWK53"/>
      <c r="DWL53"/>
      <c r="DWM53"/>
      <c r="DWN53"/>
      <c r="DWO53"/>
      <c r="DWP53"/>
      <c r="DWQ53"/>
      <c r="DWR53"/>
      <c r="DWS53"/>
      <c r="DWT53"/>
      <c r="DWU53"/>
      <c r="DWV53"/>
      <c r="DWW53"/>
      <c r="DWX53"/>
      <c r="DWY53"/>
      <c r="DWZ53"/>
      <c r="DXA53"/>
      <c r="DXB53"/>
      <c r="DXC53"/>
      <c r="DXD53"/>
      <c r="DXE53"/>
      <c r="DXF53"/>
      <c r="DXG53"/>
      <c r="DXH53"/>
      <c r="DXI53"/>
      <c r="DXJ53"/>
      <c r="DXK53"/>
      <c r="DXL53"/>
      <c r="DXM53"/>
      <c r="DXN53"/>
      <c r="DXO53"/>
      <c r="DXP53"/>
      <c r="DXQ53"/>
      <c r="DXR53"/>
      <c r="DXS53"/>
      <c r="DXT53"/>
      <c r="DXU53"/>
      <c r="DXV53"/>
      <c r="DXW53"/>
      <c r="DXX53"/>
      <c r="DXY53"/>
      <c r="DXZ53"/>
      <c r="DYA53"/>
      <c r="DYB53"/>
      <c r="DYC53"/>
      <c r="DYD53"/>
      <c r="DYE53"/>
      <c r="DYF53"/>
      <c r="DYG53"/>
      <c r="DYH53"/>
      <c r="DYI53"/>
      <c r="DYJ53"/>
      <c r="DYK53"/>
      <c r="DYL53"/>
      <c r="DYM53"/>
      <c r="DYN53"/>
      <c r="DYO53"/>
      <c r="DYP53"/>
      <c r="DYQ53"/>
      <c r="DYR53"/>
      <c r="DYS53"/>
      <c r="DYT53"/>
      <c r="DYU53"/>
      <c r="DYV53"/>
      <c r="DYW53"/>
      <c r="DYX53"/>
      <c r="DYY53"/>
      <c r="DYZ53"/>
      <c r="DZA53"/>
      <c r="DZB53"/>
      <c r="DZC53"/>
      <c r="DZD53"/>
      <c r="DZE53"/>
      <c r="DZF53"/>
      <c r="DZG53"/>
      <c r="DZH53"/>
      <c r="DZI53"/>
      <c r="DZJ53"/>
      <c r="DZK53"/>
      <c r="DZL53"/>
      <c r="DZM53"/>
      <c r="DZN53"/>
      <c r="DZO53"/>
      <c r="DZP53"/>
      <c r="DZQ53"/>
      <c r="DZR53"/>
      <c r="DZS53"/>
      <c r="DZT53"/>
      <c r="DZU53"/>
      <c r="DZV53"/>
      <c r="DZW53"/>
      <c r="DZX53"/>
      <c r="DZY53"/>
      <c r="DZZ53"/>
      <c r="EAA53"/>
      <c r="EAB53"/>
      <c r="EAC53"/>
      <c r="EAD53"/>
      <c r="EAE53"/>
      <c r="EAF53"/>
      <c r="EAG53"/>
      <c r="EAH53"/>
      <c r="EAI53"/>
      <c r="EAJ53"/>
      <c r="EAK53"/>
      <c r="EAL53"/>
      <c r="EAM53"/>
      <c r="EAN53"/>
      <c r="EAO53"/>
      <c r="EAP53"/>
      <c r="EAQ53"/>
      <c r="EAR53"/>
      <c r="EAS53"/>
      <c r="EAT53"/>
      <c r="EAU53"/>
      <c r="EAV53"/>
      <c r="EAW53"/>
      <c r="EAX53"/>
      <c r="EAY53"/>
      <c r="EAZ53"/>
      <c r="EBA53"/>
      <c r="EBB53"/>
      <c r="EBC53"/>
      <c r="EBD53"/>
      <c r="EBE53"/>
      <c r="EBF53"/>
      <c r="EBG53"/>
      <c r="EBH53"/>
      <c r="EBI53"/>
      <c r="EBJ53"/>
      <c r="EBK53"/>
      <c r="EBL53"/>
      <c r="EBM53"/>
      <c r="EBN53"/>
      <c r="EBO53"/>
      <c r="EBP53"/>
      <c r="EBQ53"/>
      <c r="EBR53"/>
      <c r="EBS53"/>
      <c r="EBT53"/>
      <c r="EBU53"/>
      <c r="EBV53"/>
      <c r="EBW53"/>
      <c r="EBX53"/>
      <c r="EBY53"/>
      <c r="EBZ53"/>
      <c r="ECA53"/>
      <c r="ECB53"/>
      <c r="ECC53"/>
      <c r="ECD53"/>
      <c r="ECE53"/>
      <c r="ECF53"/>
      <c r="ECG53"/>
      <c r="ECH53"/>
      <c r="ECI53"/>
      <c r="ECJ53"/>
      <c r="ECK53"/>
      <c r="ECL53"/>
      <c r="ECM53"/>
      <c r="ECN53"/>
      <c r="ECO53"/>
      <c r="ECP53"/>
      <c r="ECQ53"/>
      <c r="ECR53"/>
      <c r="ECS53"/>
      <c r="ECT53"/>
      <c r="ECU53"/>
      <c r="ECV53"/>
      <c r="ECW53"/>
      <c r="ECX53"/>
      <c r="ECY53"/>
      <c r="ECZ53"/>
      <c r="EDA53"/>
      <c r="EDB53"/>
      <c r="EDC53"/>
      <c r="EDD53"/>
      <c r="EDE53"/>
      <c r="EDF53"/>
      <c r="EDG53"/>
      <c r="EDH53"/>
      <c r="EDI53"/>
      <c r="EDJ53"/>
      <c r="EDK53"/>
      <c r="EDL53"/>
      <c r="EDM53"/>
      <c r="EDN53"/>
      <c r="EDO53"/>
      <c r="EDP53"/>
      <c r="EDQ53"/>
      <c r="EDR53"/>
      <c r="EDS53"/>
      <c r="EDT53"/>
      <c r="EDU53"/>
      <c r="EDV53"/>
      <c r="EDW53"/>
      <c r="EDX53"/>
      <c r="EDY53"/>
      <c r="EDZ53"/>
      <c r="EEA53"/>
      <c r="EEB53"/>
      <c r="EEC53"/>
      <c r="EED53"/>
      <c r="EEE53"/>
      <c r="EEF53"/>
      <c r="EEG53"/>
      <c r="EEH53"/>
      <c r="EEI53"/>
      <c r="EEJ53"/>
      <c r="EEK53"/>
      <c r="EEL53"/>
      <c r="EEM53"/>
      <c r="EEN53"/>
      <c r="EEO53"/>
      <c r="EEP53"/>
      <c r="EEQ53"/>
      <c r="EER53"/>
      <c r="EES53"/>
      <c r="EET53"/>
      <c r="EEU53"/>
      <c r="EEV53"/>
      <c r="EEW53"/>
      <c r="EEX53"/>
      <c r="EEY53"/>
      <c r="EEZ53"/>
      <c r="EFA53"/>
      <c r="EFB53"/>
      <c r="EFC53"/>
      <c r="EFD53"/>
      <c r="EFE53"/>
      <c r="EFF53"/>
      <c r="EFG53"/>
      <c r="EFH53"/>
      <c r="EFI53"/>
      <c r="EFJ53"/>
      <c r="EFK53"/>
      <c r="EFL53"/>
      <c r="EFM53"/>
      <c r="EFN53"/>
      <c r="EFO53"/>
      <c r="EFP53"/>
      <c r="EFQ53"/>
      <c r="EFR53"/>
      <c r="EFS53"/>
      <c r="EFT53"/>
      <c r="EFU53"/>
      <c r="EFV53"/>
      <c r="EFW53"/>
      <c r="EFX53"/>
      <c r="EFY53"/>
      <c r="EFZ53"/>
      <c r="EGA53"/>
      <c r="EGB53"/>
      <c r="EGC53"/>
      <c r="EGD53"/>
      <c r="EGE53"/>
      <c r="EGF53"/>
      <c r="EGG53"/>
      <c r="EGH53"/>
      <c r="EGI53"/>
      <c r="EGJ53"/>
      <c r="EGK53"/>
      <c r="EGL53"/>
      <c r="EGM53"/>
      <c r="EGN53"/>
      <c r="EGO53"/>
      <c r="EGP53"/>
      <c r="EGQ53"/>
      <c r="EGR53"/>
      <c r="EGS53"/>
      <c r="EGT53"/>
      <c r="EGU53"/>
      <c r="EGV53"/>
      <c r="EGW53"/>
      <c r="EGX53"/>
      <c r="EGY53"/>
      <c r="EGZ53"/>
      <c r="EHA53"/>
      <c r="EHB53"/>
      <c r="EHC53"/>
      <c r="EHD53"/>
      <c r="EHE53"/>
      <c r="EHF53"/>
      <c r="EHG53"/>
      <c r="EHH53"/>
      <c r="EHI53"/>
      <c r="EHJ53"/>
      <c r="EHK53"/>
      <c r="EHL53"/>
      <c r="EHM53"/>
      <c r="EHN53"/>
      <c r="EHO53"/>
      <c r="EHP53"/>
      <c r="EHQ53"/>
      <c r="EHR53"/>
      <c r="EHS53"/>
      <c r="EHT53"/>
      <c r="EHU53"/>
      <c r="EHV53"/>
      <c r="EHW53"/>
      <c r="EHX53"/>
      <c r="EHY53"/>
      <c r="EHZ53"/>
      <c r="EIA53"/>
      <c r="EIB53"/>
      <c r="EIC53"/>
      <c r="EID53"/>
      <c r="EIE53"/>
      <c r="EIF53"/>
      <c r="EIG53"/>
      <c r="EIH53"/>
      <c r="EII53"/>
      <c r="EIJ53"/>
      <c r="EIK53"/>
      <c r="EIL53"/>
      <c r="EIM53"/>
      <c r="EIN53"/>
      <c r="EIO53"/>
      <c r="EIP53"/>
      <c r="EIQ53"/>
      <c r="EIR53"/>
      <c r="EIS53"/>
      <c r="EIT53"/>
      <c r="EIU53"/>
      <c r="EIV53"/>
      <c r="EIW53"/>
      <c r="EIX53"/>
      <c r="EIY53"/>
      <c r="EIZ53"/>
      <c r="EJA53"/>
      <c r="EJB53"/>
      <c r="EJC53"/>
      <c r="EJD53"/>
      <c r="EJE53"/>
      <c r="EJF53"/>
      <c r="EJG53"/>
      <c r="EJH53"/>
      <c r="EJI53"/>
      <c r="EJJ53"/>
      <c r="EJK53"/>
      <c r="EJL53"/>
      <c r="EJM53"/>
      <c r="EJN53"/>
      <c r="EJO53"/>
      <c r="EJP53"/>
      <c r="EJQ53"/>
      <c r="EJR53"/>
      <c r="EJS53"/>
      <c r="EJT53"/>
      <c r="EJU53"/>
      <c r="EJV53"/>
      <c r="EJW53"/>
      <c r="EJX53"/>
      <c r="EJY53"/>
      <c r="EJZ53"/>
      <c r="EKA53"/>
      <c r="EKB53"/>
      <c r="EKC53"/>
      <c r="EKD53"/>
      <c r="EKE53"/>
      <c r="EKF53"/>
      <c r="EKG53"/>
      <c r="EKH53"/>
      <c r="EKI53"/>
      <c r="EKJ53"/>
      <c r="EKK53"/>
      <c r="EKL53"/>
      <c r="EKM53"/>
      <c r="EKN53"/>
      <c r="EKO53"/>
      <c r="EKP53"/>
      <c r="EKQ53"/>
      <c r="EKR53"/>
      <c r="EKS53"/>
      <c r="EKT53"/>
      <c r="EKU53"/>
      <c r="EKV53"/>
      <c r="EKW53"/>
      <c r="EKX53"/>
      <c r="EKY53"/>
      <c r="EKZ53"/>
      <c r="ELA53"/>
      <c r="ELB53"/>
      <c r="ELC53"/>
      <c r="ELD53"/>
      <c r="ELE53"/>
      <c r="ELF53"/>
      <c r="ELG53"/>
      <c r="ELH53"/>
      <c r="ELI53"/>
      <c r="ELJ53"/>
      <c r="ELK53"/>
      <c r="ELL53"/>
      <c r="ELM53"/>
      <c r="ELN53"/>
      <c r="ELO53"/>
      <c r="ELP53"/>
      <c r="ELQ53"/>
      <c r="ELR53"/>
      <c r="ELS53"/>
      <c r="ELT53"/>
      <c r="ELU53"/>
      <c r="ELV53"/>
      <c r="ELW53"/>
      <c r="ELX53"/>
      <c r="ELY53"/>
      <c r="ELZ53"/>
      <c r="EMA53"/>
      <c r="EMB53"/>
      <c r="EMC53"/>
      <c r="EMD53"/>
      <c r="EME53"/>
      <c r="EMF53"/>
      <c r="EMG53"/>
      <c r="EMH53"/>
      <c r="EMI53"/>
      <c r="EMJ53"/>
      <c r="EMK53"/>
      <c r="EML53"/>
      <c r="EMM53"/>
      <c r="EMN53"/>
      <c r="EMO53"/>
      <c r="EMP53"/>
      <c r="EMQ53"/>
      <c r="EMR53"/>
      <c r="EMS53"/>
      <c r="EMT53"/>
      <c r="EMU53"/>
      <c r="EMV53"/>
      <c r="EMW53"/>
      <c r="EMX53"/>
      <c r="EMY53"/>
      <c r="EMZ53"/>
      <c r="ENA53"/>
      <c r="ENB53"/>
      <c r="ENC53"/>
      <c r="END53"/>
      <c r="ENE53"/>
      <c r="ENF53"/>
      <c r="ENG53"/>
      <c r="ENH53"/>
      <c r="ENI53"/>
      <c r="ENJ53"/>
      <c r="ENK53"/>
      <c r="ENL53"/>
      <c r="ENM53"/>
      <c r="ENN53"/>
      <c r="ENO53"/>
      <c r="ENP53"/>
      <c r="ENQ53"/>
      <c r="ENR53"/>
      <c r="ENS53"/>
      <c r="ENT53"/>
      <c r="ENU53"/>
      <c r="ENV53"/>
      <c r="ENW53"/>
      <c r="ENX53"/>
      <c r="ENY53"/>
      <c r="ENZ53"/>
      <c r="EOA53"/>
      <c r="EOB53"/>
      <c r="EOC53"/>
      <c r="EOD53"/>
      <c r="EOE53"/>
      <c r="EOF53"/>
      <c r="EOG53"/>
      <c r="EOH53"/>
      <c r="EOI53"/>
      <c r="EOJ53"/>
      <c r="EOK53"/>
      <c r="EOL53"/>
      <c r="EOM53"/>
      <c r="EON53"/>
      <c r="EOO53"/>
      <c r="EOP53"/>
      <c r="EOQ53"/>
      <c r="EOR53"/>
      <c r="EOS53"/>
      <c r="EOT53"/>
      <c r="EOU53"/>
      <c r="EOV53"/>
      <c r="EOW53"/>
      <c r="EOX53"/>
      <c r="EOY53"/>
      <c r="EOZ53"/>
      <c r="EPA53"/>
      <c r="EPB53"/>
      <c r="EPC53"/>
      <c r="EPD53"/>
      <c r="EPE53"/>
      <c r="EPF53"/>
      <c r="EPG53"/>
      <c r="EPH53"/>
      <c r="EPI53"/>
      <c r="EPJ53"/>
      <c r="EPK53"/>
      <c r="EPL53"/>
      <c r="EPM53"/>
      <c r="EPN53"/>
      <c r="EPO53"/>
      <c r="EPP53"/>
      <c r="EPQ53"/>
      <c r="EPR53"/>
      <c r="EPS53"/>
      <c r="EPT53"/>
      <c r="EPU53"/>
      <c r="EPV53"/>
      <c r="EPW53"/>
      <c r="EPX53"/>
      <c r="EPY53"/>
      <c r="EPZ53"/>
      <c r="EQA53"/>
      <c r="EQB53"/>
      <c r="EQC53"/>
      <c r="EQD53"/>
      <c r="EQE53"/>
      <c r="EQF53"/>
      <c r="EQG53"/>
      <c r="EQH53"/>
      <c r="EQI53"/>
      <c r="EQJ53"/>
      <c r="EQK53"/>
      <c r="EQL53"/>
      <c r="EQM53"/>
      <c r="EQN53"/>
      <c r="EQO53"/>
      <c r="EQP53"/>
      <c r="EQQ53"/>
      <c r="EQR53"/>
      <c r="EQS53"/>
      <c r="EQT53"/>
      <c r="EQU53"/>
      <c r="EQV53"/>
      <c r="EQW53"/>
      <c r="EQX53"/>
      <c r="EQY53"/>
      <c r="EQZ53"/>
      <c r="ERA53"/>
      <c r="ERB53"/>
      <c r="ERC53"/>
      <c r="ERD53"/>
      <c r="ERE53"/>
      <c r="ERF53"/>
      <c r="ERG53"/>
      <c r="ERH53"/>
      <c r="ERI53"/>
      <c r="ERJ53"/>
      <c r="ERK53"/>
      <c r="ERL53"/>
      <c r="ERM53"/>
      <c r="ERN53"/>
      <c r="ERO53"/>
      <c r="ERP53"/>
      <c r="ERQ53"/>
      <c r="ERR53"/>
      <c r="ERS53"/>
      <c r="ERT53"/>
      <c r="ERU53"/>
      <c r="ERV53"/>
      <c r="ERW53"/>
      <c r="ERX53"/>
      <c r="ERY53"/>
      <c r="ERZ53"/>
      <c r="ESA53"/>
      <c r="ESB53"/>
      <c r="ESC53"/>
      <c r="ESD53"/>
      <c r="ESE53"/>
      <c r="ESF53"/>
      <c r="ESG53"/>
      <c r="ESH53"/>
      <c r="ESI53"/>
      <c r="ESJ53"/>
      <c r="ESK53"/>
      <c r="ESL53"/>
      <c r="ESM53"/>
      <c r="ESN53"/>
      <c r="ESO53"/>
      <c r="ESP53"/>
      <c r="ESQ53"/>
      <c r="ESR53"/>
      <c r="ESS53"/>
      <c r="EST53"/>
      <c r="ESU53"/>
      <c r="ESV53"/>
      <c r="ESW53"/>
      <c r="ESX53"/>
      <c r="ESY53"/>
      <c r="ESZ53"/>
      <c r="ETA53"/>
      <c r="ETB53"/>
      <c r="ETC53"/>
      <c r="ETD53"/>
      <c r="ETE53"/>
      <c r="ETF53"/>
      <c r="ETG53"/>
      <c r="ETH53"/>
      <c r="ETI53"/>
      <c r="ETJ53"/>
      <c r="ETK53"/>
      <c r="ETL53"/>
      <c r="ETM53"/>
      <c r="ETN53"/>
      <c r="ETO53"/>
      <c r="ETP53"/>
      <c r="ETQ53"/>
      <c r="ETR53"/>
      <c r="ETS53"/>
      <c r="ETT53"/>
      <c r="ETU53"/>
      <c r="ETV53"/>
      <c r="ETW53"/>
      <c r="ETX53"/>
      <c r="ETY53"/>
      <c r="ETZ53"/>
      <c r="EUA53"/>
      <c r="EUB53"/>
      <c r="EUC53"/>
      <c r="EUD53"/>
      <c r="EUE53"/>
      <c r="EUF53"/>
      <c r="EUG53"/>
      <c r="EUH53"/>
      <c r="EUI53"/>
      <c r="EUJ53"/>
      <c r="EUK53"/>
      <c r="EUL53"/>
      <c r="EUM53"/>
      <c r="EUN53"/>
      <c r="EUO53"/>
      <c r="EUP53"/>
      <c r="EUQ53"/>
      <c r="EUR53"/>
      <c r="EUS53"/>
      <c r="EUT53"/>
      <c r="EUU53"/>
      <c r="EUV53"/>
      <c r="EUW53"/>
      <c r="EUX53"/>
      <c r="EUY53"/>
      <c r="EUZ53"/>
      <c r="EVA53"/>
      <c r="EVB53"/>
      <c r="EVC53"/>
      <c r="EVD53"/>
      <c r="EVE53"/>
      <c r="EVF53"/>
      <c r="EVG53"/>
      <c r="EVH53"/>
      <c r="EVI53"/>
      <c r="EVJ53"/>
      <c r="EVK53"/>
      <c r="EVL53"/>
      <c r="EVM53"/>
      <c r="EVN53"/>
      <c r="EVO53"/>
      <c r="EVP53"/>
      <c r="EVQ53"/>
      <c r="EVR53"/>
      <c r="EVS53"/>
      <c r="EVT53"/>
      <c r="EVU53"/>
      <c r="EVV53"/>
      <c r="EVW53"/>
      <c r="EVX53"/>
      <c r="EVY53"/>
      <c r="EVZ53"/>
      <c r="EWA53"/>
      <c r="EWB53"/>
      <c r="EWC53"/>
      <c r="EWD53"/>
      <c r="EWE53"/>
      <c r="EWF53"/>
      <c r="EWG53"/>
      <c r="EWH53"/>
      <c r="EWI53"/>
      <c r="EWJ53"/>
      <c r="EWK53"/>
      <c r="EWL53"/>
      <c r="EWM53"/>
      <c r="EWN53"/>
      <c r="EWO53"/>
      <c r="EWP53"/>
      <c r="EWQ53"/>
      <c r="EWR53"/>
      <c r="EWS53"/>
      <c r="EWT53"/>
      <c r="EWU53"/>
      <c r="EWV53"/>
      <c r="EWW53"/>
      <c r="EWX53"/>
      <c r="EWY53"/>
      <c r="EWZ53"/>
      <c r="EXA53"/>
      <c r="EXB53"/>
      <c r="EXC53"/>
      <c r="EXD53"/>
      <c r="EXE53"/>
      <c r="EXF53"/>
      <c r="EXG53"/>
      <c r="EXH53"/>
      <c r="EXI53"/>
      <c r="EXJ53"/>
      <c r="EXK53"/>
      <c r="EXL53"/>
      <c r="EXM53"/>
      <c r="EXN53"/>
      <c r="EXO53"/>
      <c r="EXP53"/>
      <c r="EXQ53"/>
      <c r="EXR53"/>
      <c r="EXS53"/>
      <c r="EXT53"/>
      <c r="EXU53"/>
      <c r="EXV53"/>
      <c r="EXW53"/>
      <c r="EXX53"/>
      <c r="EXY53"/>
      <c r="EXZ53"/>
      <c r="EYA53"/>
      <c r="EYB53"/>
      <c r="EYC53"/>
      <c r="EYD53"/>
      <c r="EYE53"/>
      <c r="EYF53"/>
      <c r="EYG53"/>
      <c r="EYH53"/>
      <c r="EYI53"/>
      <c r="EYJ53"/>
      <c r="EYK53"/>
      <c r="EYL53"/>
      <c r="EYM53"/>
      <c r="EYN53"/>
      <c r="EYO53"/>
      <c r="EYP53"/>
      <c r="EYQ53"/>
      <c r="EYR53"/>
      <c r="EYS53"/>
      <c r="EYT53"/>
      <c r="EYU53"/>
      <c r="EYV53"/>
      <c r="EYW53"/>
      <c r="EYX53"/>
      <c r="EYY53"/>
      <c r="EYZ53"/>
      <c r="EZA53"/>
      <c r="EZB53"/>
      <c r="EZC53"/>
      <c r="EZD53"/>
      <c r="EZE53"/>
      <c r="EZF53"/>
      <c r="EZG53"/>
      <c r="EZH53"/>
      <c r="EZI53"/>
      <c r="EZJ53"/>
      <c r="EZK53"/>
      <c r="EZL53"/>
      <c r="EZM53"/>
      <c r="EZN53"/>
      <c r="EZO53"/>
      <c r="EZP53"/>
      <c r="EZQ53"/>
      <c r="EZR53"/>
      <c r="EZS53"/>
      <c r="EZT53"/>
      <c r="EZU53"/>
      <c r="EZV53"/>
      <c r="EZW53"/>
      <c r="EZX53"/>
      <c r="EZY53"/>
      <c r="EZZ53"/>
      <c r="FAA53"/>
      <c r="FAB53"/>
      <c r="FAC53"/>
      <c r="FAD53"/>
      <c r="FAE53"/>
      <c r="FAF53"/>
      <c r="FAG53"/>
      <c r="FAH53"/>
      <c r="FAI53"/>
      <c r="FAJ53"/>
      <c r="FAK53"/>
      <c r="FAL53"/>
      <c r="FAM53"/>
      <c r="FAN53"/>
      <c r="FAO53"/>
      <c r="FAP53"/>
      <c r="FAQ53"/>
      <c r="FAR53"/>
      <c r="FAS53"/>
      <c r="FAT53"/>
      <c r="FAU53"/>
      <c r="FAV53"/>
      <c r="FAW53"/>
      <c r="FAX53"/>
      <c r="FAY53"/>
      <c r="FAZ53"/>
      <c r="FBA53"/>
      <c r="FBB53"/>
      <c r="FBC53"/>
      <c r="FBD53"/>
      <c r="FBE53"/>
      <c r="FBF53"/>
      <c r="FBG53"/>
      <c r="FBH53"/>
      <c r="FBI53"/>
      <c r="FBJ53"/>
      <c r="FBK53"/>
      <c r="FBL53"/>
      <c r="FBM53"/>
      <c r="FBN53"/>
      <c r="FBO53"/>
      <c r="FBP53"/>
      <c r="FBQ53"/>
      <c r="FBR53"/>
      <c r="FBS53"/>
      <c r="FBT53"/>
      <c r="FBU53"/>
      <c r="FBV53"/>
      <c r="FBW53"/>
      <c r="FBX53"/>
      <c r="FBY53"/>
      <c r="FBZ53"/>
      <c r="FCA53"/>
      <c r="FCB53"/>
      <c r="FCC53"/>
      <c r="FCD53"/>
      <c r="FCE53"/>
      <c r="FCF53"/>
      <c r="FCG53"/>
      <c r="FCH53"/>
      <c r="FCI53"/>
      <c r="FCJ53"/>
      <c r="FCK53"/>
      <c r="FCL53"/>
      <c r="FCM53"/>
      <c r="FCN53"/>
      <c r="FCO53"/>
      <c r="FCP53"/>
      <c r="FCQ53"/>
      <c r="FCR53"/>
      <c r="FCS53"/>
      <c r="FCT53"/>
      <c r="FCU53"/>
      <c r="FCV53"/>
      <c r="FCW53"/>
      <c r="FCX53"/>
      <c r="FCY53"/>
      <c r="FCZ53"/>
      <c r="FDA53"/>
      <c r="FDB53"/>
      <c r="FDC53"/>
      <c r="FDD53"/>
      <c r="FDE53"/>
      <c r="FDF53"/>
      <c r="FDG53"/>
      <c r="FDH53"/>
      <c r="FDI53"/>
      <c r="FDJ53"/>
      <c r="FDK53"/>
      <c r="FDL53"/>
      <c r="FDM53"/>
      <c r="FDN53"/>
      <c r="FDO53"/>
      <c r="FDP53"/>
      <c r="FDQ53"/>
      <c r="FDR53"/>
      <c r="FDS53"/>
      <c r="FDT53"/>
      <c r="FDU53"/>
      <c r="FDV53"/>
      <c r="FDW53"/>
      <c r="FDX53"/>
      <c r="FDY53"/>
      <c r="FDZ53"/>
      <c r="FEA53"/>
      <c r="FEB53"/>
      <c r="FEC53"/>
      <c r="FED53"/>
      <c r="FEE53"/>
      <c r="FEF53"/>
      <c r="FEG53"/>
      <c r="FEH53"/>
      <c r="FEI53"/>
      <c r="FEJ53"/>
      <c r="FEK53"/>
      <c r="FEL53"/>
      <c r="FEM53"/>
      <c r="FEN53"/>
      <c r="FEO53"/>
      <c r="FEP53"/>
      <c r="FEQ53"/>
      <c r="FER53"/>
      <c r="FES53"/>
      <c r="FET53"/>
      <c r="FEU53"/>
      <c r="FEV53"/>
      <c r="FEW53"/>
      <c r="FEX53"/>
      <c r="FEY53"/>
      <c r="FEZ53"/>
      <c r="FFA53"/>
      <c r="FFB53"/>
      <c r="FFC53"/>
      <c r="FFD53"/>
      <c r="FFE53"/>
      <c r="FFF53"/>
      <c r="FFG53"/>
      <c r="FFH53"/>
      <c r="FFI53"/>
      <c r="FFJ53"/>
      <c r="FFK53"/>
      <c r="FFL53"/>
      <c r="FFM53"/>
      <c r="FFN53"/>
      <c r="FFO53"/>
      <c r="FFP53"/>
      <c r="FFQ53"/>
      <c r="FFR53"/>
      <c r="FFS53"/>
      <c r="FFT53"/>
      <c r="FFU53"/>
      <c r="FFV53"/>
      <c r="FFW53"/>
      <c r="FFX53"/>
      <c r="FFY53"/>
      <c r="FFZ53"/>
      <c r="FGA53"/>
      <c r="FGB53"/>
      <c r="FGC53"/>
      <c r="FGD53"/>
      <c r="FGE53"/>
      <c r="FGF53"/>
      <c r="FGG53"/>
      <c r="FGH53"/>
      <c r="FGI53"/>
      <c r="FGJ53"/>
      <c r="FGK53"/>
      <c r="FGL53"/>
      <c r="FGM53"/>
      <c r="FGN53"/>
      <c r="FGO53"/>
      <c r="FGP53"/>
      <c r="FGQ53"/>
      <c r="FGR53"/>
      <c r="FGS53"/>
      <c r="FGT53"/>
      <c r="FGU53"/>
      <c r="FGV53"/>
      <c r="FGW53"/>
      <c r="FGX53"/>
      <c r="FGY53"/>
      <c r="FGZ53"/>
      <c r="FHA53"/>
      <c r="FHB53"/>
      <c r="FHC53"/>
      <c r="FHD53"/>
      <c r="FHE53"/>
      <c r="FHF53"/>
      <c r="FHG53"/>
      <c r="FHH53"/>
      <c r="FHI53"/>
      <c r="FHJ53"/>
      <c r="FHK53"/>
      <c r="FHL53"/>
      <c r="FHM53"/>
      <c r="FHN53"/>
      <c r="FHO53"/>
      <c r="FHP53"/>
      <c r="FHQ53"/>
      <c r="FHR53"/>
      <c r="FHS53"/>
      <c r="FHT53"/>
      <c r="FHU53"/>
      <c r="FHV53"/>
      <c r="FHW53"/>
      <c r="FHX53"/>
      <c r="FHY53"/>
      <c r="FHZ53"/>
      <c r="FIA53"/>
      <c r="FIB53"/>
      <c r="FIC53"/>
      <c r="FID53"/>
      <c r="FIE53"/>
      <c r="FIF53"/>
      <c r="FIG53"/>
      <c r="FIH53"/>
      <c r="FII53"/>
      <c r="FIJ53"/>
      <c r="FIK53"/>
      <c r="FIL53"/>
      <c r="FIM53"/>
      <c r="FIN53"/>
      <c r="FIO53"/>
      <c r="FIP53"/>
      <c r="FIQ53"/>
      <c r="FIR53"/>
      <c r="FIS53"/>
      <c r="FIT53"/>
      <c r="FIU53"/>
      <c r="FIV53"/>
      <c r="FIW53"/>
      <c r="FIX53"/>
      <c r="FIY53"/>
      <c r="FIZ53"/>
      <c r="FJA53"/>
      <c r="FJB53"/>
      <c r="FJC53"/>
      <c r="FJD53"/>
      <c r="FJE53"/>
      <c r="FJF53"/>
      <c r="FJG53"/>
      <c r="FJH53"/>
      <c r="FJI53"/>
      <c r="FJJ53"/>
      <c r="FJK53"/>
      <c r="FJL53"/>
      <c r="FJM53"/>
      <c r="FJN53"/>
      <c r="FJO53"/>
      <c r="FJP53"/>
      <c r="FJQ53"/>
      <c r="FJR53"/>
      <c r="FJS53"/>
      <c r="FJT53"/>
      <c r="FJU53"/>
      <c r="FJV53"/>
      <c r="FJW53"/>
      <c r="FJX53"/>
      <c r="FJY53"/>
      <c r="FJZ53"/>
      <c r="FKA53"/>
      <c r="FKB53"/>
      <c r="FKC53"/>
      <c r="FKD53"/>
      <c r="FKE53"/>
      <c r="FKF53"/>
      <c r="FKG53"/>
      <c r="FKH53"/>
      <c r="FKI53"/>
      <c r="FKJ53"/>
      <c r="FKK53"/>
      <c r="FKL53"/>
      <c r="FKM53"/>
      <c r="FKN53"/>
      <c r="FKO53"/>
      <c r="FKP53"/>
      <c r="FKQ53"/>
      <c r="FKR53"/>
      <c r="FKS53"/>
      <c r="FKT53"/>
      <c r="FKU53"/>
      <c r="FKV53"/>
      <c r="FKW53"/>
      <c r="FKX53"/>
      <c r="FKY53"/>
      <c r="FKZ53"/>
      <c r="FLA53"/>
      <c r="FLB53"/>
      <c r="FLC53"/>
      <c r="FLD53"/>
      <c r="FLE53"/>
      <c r="FLF53"/>
      <c r="FLG53"/>
      <c r="FLH53"/>
      <c r="FLI53"/>
      <c r="FLJ53"/>
      <c r="FLK53"/>
      <c r="FLL53"/>
      <c r="FLM53"/>
      <c r="FLN53"/>
      <c r="FLO53"/>
      <c r="FLP53"/>
      <c r="FLQ53"/>
      <c r="FLR53"/>
      <c r="FLS53"/>
      <c r="FLT53"/>
      <c r="FLU53"/>
      <c r="FLV53"/>
      <c r="FLW53"/>
      <c r="FLX53"/>
      <c r="FLY53"/>
      <c r="FLZ53"/>
      <c r="FMA53"/>
      <c r="FMB53"/>
      <c r="FMC53"/>
      <c r="FMD53"/>
      <c r="FME53"/>
      <c r="FMF53"/>
      <c r="FMG53"/>
      <c r="FMH53"/>
      <c r="FMI53"/>
      <c r="FMJ53"/>
      <c r="FMK53"/>
      <c r="FML53"/>
      <c r="FMM53"/>
      <c r="FMN53"/>
      <c r="FMO53"/>
      <c r="FMP53"/>
      <c r="FMQ53"/>
      <c r="FMR53"/>
      <c r="FMS53"/>
      <c r="FMT53"/>
      <c r="FMU53"/>
      <c r="FMV53"/>
      <c r="FMW53"/>
      <c r="FMX53"/>
      <c r="FMY53"/>
      <c r="FMZ53"/>
      <c r="FNA53"/>
      <c r="FNB53"/>
      <c r="FNC53"/>
      <c r="FND53"/>
      <c r="FNE53"/>
      <c r="FNF53"/>
      <c r="FNG53"/>
      <c r="FNH53"/>
      <c r="FNI53"/>
      <c r="FNJ53"/>
      <c r="FNK53"/>
      <c r="FNL53"/>
      <c r="FNM53"/>
      <c r="FNN53"/>
      <c r="FNO53"/>
      <c r="FNP53"/>
      <c r="FNQ53"/>
      <c r="FNR53"/>
      <c r="FNS53"/>
      <c r="FNT53"/>
      <c r="FNU53"/>
      <c r="FNV53"/>
      <c r="FNW53"/>
      <c r="FNX53"/>
      <c r="FNY53"/>
      <c r="FNZ53"/>
      <c r="FOA53"/>
      <c r="FOB53"/>
      <c r="FOC53"/>
      <c r="FOD53"/>
      <c r="FOE53"/>
      <c r="FOF53"/>
      <c r="FOG53"/>
      <c r="FOH53"/>
      <c r="FOI53"/>
      <c r="FOJ53"/>
      <c r="FOK53"/>
      <c r="FOL53"/>
      <c r="FOM53"/>
      <c r="FON53"/>
      <c r="FOO53"/>
      <c r="FOP53"/>
      <c r="FOQ53"/>
      <c r="FOR53"/>
      <c r="FOS53"/>
      <c r="FOT53"/>
      <c r="FOU53"/>
      <c r="FOV53"/>
      <c r="FOW53"/>
      <c r="FOX53"/>
      <c r="FOY53"/>
      <c r="FOZ53"/>
      <c r="FPA53"/>
      <c r="FPB53"/>
      <c r="FPC53"/>
      <c r="FPD53"/>
      <c r="FPE53"/>
      <c r="FPF53"/>
      <c r="FPG53"/>
      <c r="FPH53"/>
      <c r="FPI53"/>
      <c r="FPJ53"/>
      <c r="FPK53"/>
      <c r="FPL53"/>
      <c r="FPM53"/>
      <c r="FPN53"/>
      <c r="FPO53"/>
      <c r="FPP53"/>
      <c r="FPQ53"/>
      <c r="FPR53"/>
      <c r="FPS53"/>
      <c r="FPT53"/>
      <c r="FPU53"/>
      <c r="FPV53"/>
      <c r="FPW53"/>
      <c r="FPX53"/>
      <c r="FPY53"/>
      <c r="FPZ53"/>
      <c r="FQA53"/>
      <c r="FQB53"/>
      <c r="FQC53"/>
      <c r="FQD53"/>
      <c r="FQE53"/>
      <c r="FQF53"/>
      <c r="FQG53"/>
      <c r="FQH53"/>
      <c r="FQI53"/>
      <c r="FQJ53"/>
      <c r="FQK53"/>
      <c r="FQL53"/>
      <c r="FQM53"/>
      <c r="FQN53"/>
      <c r="FQO53"/>
      <c r="FQP53"/>
      <c r="FQQ53"/>
      <c r="FQR53"/>
      <c r="FQS53"/>
      <c r="FQT53"/>
      <c r="FQU53"/>
      <c r="FQV53"/>
      <c r="FQW53"/>
      <c r="FQX53"/>
      <c r="FQY53"/>
      <c r="FQZ53"/>
      <c r="FRA53"/>
      <c r="FRB53"/>
      <c r="FRC53"/>
      <c r="FRD53"/>
      <c r="FRE53"/>
      <c r="FRF53"/>
      <c r="FRG53"/>
      <c r="FRH53"/>
      <c r="FRI53"/>
      <c r="FRJ53"/>
      <c r="FRK53"/>
      <c r="FRL53"/>
      <c r="FRM53"/>
      <c r="FRN53"/>
      <c r="FRO53"/>
      <c r="FRP53"/>
      <c r="FRQ53"/>
      <c r="FRR53"/>
      <c r="FRS53"/>
      <c r="FRT53"/>
      <c r="FRU53"/>
      <c r="FRV53"/>
      <c r="FRW53"/>
      <c r="FRX53"/>
      <c r="FRY53"/>
      <c r="FRZ53"/>
      <c r="FSA53"/>
      <c r="FSB53"/>
      <c r="FSC53"/>
      <c r="FSD53"/>
      <c r="FSE53"/>
      <c r="FSF53"/>
      <c r="FSG53"/>
      <c r="FSH53"/>
      <c r="FSI53"/>
      <c r="FSJ53"/>
      <c r="FSK53"/>
      <c r="FSL53"/>
      <c r="FSM53"/>
      <c r="FSN53"/>
      <c r="FSO53"/>
      <c r="FSP53"/>
      <c r="FSQ53"/>
      <c r="FSR53"/>
      <c r="FSS53"/>
      <c r="FST53"/>
      <c r="FSU53"/>
      <c r="FSV53"/>
      <c r="FSW53"/>
      <c r="FSX53"/>
      <c r="FSY53"/>
      <c r="FSZ53"/>
      <c r="FTA53"/>
      <c r="FTB53"/>
      <c r="FTC53"/>
      <c r="FTD53"/>
      <c r="FTE53"/>
      <c r="FTF53"/>
      <c r="FTG53"/>
      <c r="FTH53"/>
      <c r="FTI53"/>
      <c r="FTJ53"/>
      <c r="FTK53"/>
      <c r="FTL53"/>
      <c r="FTM53"/>
      <c r="FTN53"/>
      <c r="FTO53"/>
      <c r="FTP53"/>
      <c r="FTQ53"/>
      <c r="FTR53"/>
      <c r="FTS53"/>
      <c r="FTT53"/>
      <c r="FTU53"/>
      <c r="FTV53"/>
      <c r="FTW53"/>
      <c r="FTX53"/>
      <c r="FTY53"/>
      <c r="FTZ53"/>
      <c r="FUA53"/>
      <c r="FUB53"/>
      <c r="FUC53"/>
      <c r="FUD53"/>
      <c r="FUE53"/>
      <c r="FUF53"/>
      <c r="FUG53"/>
      <c r="FUH53"/>
      <c r="FUI53"/>
      <c r="FUJ53"/>
      <c r="FUK53"/>
      <c r="FUL53"/>
      <c r="FUM53"/>
      <c r="FUN53"/>
      <c r="FUO53"/>
      <c r="FUP53"/>
      <c r="FUQ53"/>
      <c r="FUR53"/>
      <c r="FUS53"/>
      <c r="FUT53"/>
      <c r="FUU53"/>
      <c r="FUV53"/>
      <c r="FUW53"/>
      <c r="FUX53"/>
      <c r="FUY53"/>
      <c r="FUZ53"/>
      <c r="FVA53"/>
      <c r="FVB53"/>
      <c r="FVC53"/>
      <c r="FVD53"/>
      <c r="FVE53"/>
      <c r="FVF53"/>
      <c r="FVG53"/>
      <c r="FVH53"/>
      <c r="FVI53"/>
      <c r="FVJ53"/>
      <c r="FVK53"/>
      <c r="FVL53"/>
      <c r="FVM53"/>
      <c r="FVN53"/>
      <c r="FVO53"/>
      <c r="FVP53"/>
      <c r="FVQ53"/>
      <c r="FVR53"/>
      <c r="FVS53"/>
      <c r="FVT53"/>
      <c r="FVU53"/>
      <c r="FVV53"/>
      <c r="FVW53"/>
      <c r="FVX53"/>
      <c r="FVY53"/>
      <c r="FVZ53"/>
      <c r="FWA53"/>
      <c r="FWB53"/>
      <c r="FWC53"/>
      <c r="FWD53"/>
      <c r="FWE53"/>
      <c r="FWF53"/>
      <c r="FWG53"/>
      <c r="FWH53"/>
      <c r="FWI53"/>
      <c r="FWJ53"/>
      <c r="FWK53"/>
      <c r="FWL53"/>
      <c r="FWM53"/>
      <c r="FWN53"/>
      <c r="FWO53"/>
      <c r="FWP53"/>
      <c r="FWQ53"/>
      <c r="FWR53"/>
      <c r="FWS53"/>
      <c r="FWT53"/>
      <c r="FWU53"/>
      <c r="FWV53"/>
      <c r="FWW53"/>
      <c r="FWX53"/>
      <c r="FWY53"/>
      <c r="FWZ53"/>
      <c r="FXA53"/>
      <c r="FXB53"/>
      <c r="FXC53"/>
      <c r="FXD53"/>
      <c r="FXE53"/>
      <c r="FXF53"/>
      <c r="FXG53"/>
      <c r="FXH53"/>
      <c r="FXI53"/>
      <c r="FXJ53"/>
      <c r="FXK53"/>
      <c r="FXL53"/>
      <c r="FXM53"/>
      <c r="FXN53"/>
      <c r="FXO53"/>
      <c r="FXP53"/>
      <c r="FXQ53"/>
      <c r="FXR53"/>
      <c r="FXS53"/>
      <c r="FXT53"/>
      <c r="FXU53"/>
      <c r="FXV53"/>
      <c r="FXW53"/>
      <c r="FXX53"/>
      <c r="FXY53"/>
      <c r="FXZ53"/>
      <c r="FYA53"/>
      <c r="FYB53"/>
      <c r="FYC53"/>
      <c r="FYD53"/>
      <c r="FYE53"/>
      <c r="FYF53"/>
      <c r="FYG53"/>
      <c r="FYH53"/>
      <c r="FYI53"/>
      <c r="FYJ53"/>
      <c r="FYK53"/>
      <c r="FYL53"/>
      <c r="FYM53"/>
      <c r="FYN53"/>
      <c r="FYO53"/>
      <c r="FYP53"/>
      <c r="FYQ53"/>
      <c r="FYR53"/>
      <c r="FYS53"/>
      <c r="FYT53"/>
      <c r="FYU53"/>
      <c r="FYV53"/>
      <c r="FYW53"/>
      <c r="FYX53"/>
      <c r="FYY53"/>
      <c r="FYZ53"/>
      <c r="FZA53"/>
      <c r="FZB53"/>
      <c r="FZC53"/>
      <c r="FZD53"/>
      <c r="FZE53"/>
      <c r="FZF53"/>
      <c r="FZG53"/>
      <c r="FZH53"/>
      <c r="FZI53"/>
      <c r="FZJ53"/>
      <c r="FZK53"/>
      <c r="FZL53"/>
      <c r="FZM53"/>
      <c r="FZN53"/>
      <c r="FZO53"/>
      <c r="FZP53"/>
      <c r="FZQ53"/>
      <c r="FZR53"/>
      <c r="FZS53"/>
      <c r="FZT53"/>
      <c r="FZU53"/>
      <c r="FZV53"/>
      <c r="FZW53"/>
      <c r="FZX53"/>
      <c r="FZY53"/>
      <c r="FZZ53"/>
      <c r="GAA53"/>
      <c r="GAB53"/>
      <c r="GAC53"/>
      <c r="GAD53"/>
      <c r="GAE53"/>
      <c r="GAF53"/>
      <c r="GAG53"/>
      <c r="GAH53"/>
      <c r="GAI53"/>
      <c r="GAJ53"/>
      <c r="GAK53"/>
      <c r="GAL53"/>
      <c r="GAM53"/>
      <c r="GAN53"/>
      <c r="GAO53"/>
      <c r="GAP53"/>
      <c r="GAQ53"/>
      <c r="GAR53"/>
      <c r="GAS53"/>
      <c r="GAT53"/>
      <c r="GAU53"/>
      <c r="GAV53"/>
      <c r="GAW53"/>
      <c r="GAX53"/>
      <c r="GAY53"/>
      <c r="GAZ53"/>
      <c r="GBA53"/>
      <c r="GBB53"/>
      <c r="GBC53"/>
      <c r="GBD53"/>
      <c r="GBE53"/>
      <c r="GBF53"/>
      <c r="GBG53"/>
      <c r="GBH53"/>
      <c r="GBI53"/>
      <c r="GBJ53"/>
      <c r="GBK53"/>
      <c r="GBL53"/>
      <c r="GBM53"/>
      <c r="GBN53"/>
      <c r="GBO53"/>
      <c r="GBP53"/>
      <c r="GBQ53"/>
      <c r="GBR53"/>
      <c r="GBS53"/>
      <c r="GBT53"/>
      <c r="GBU53"/>
      <c r="GBV53"/>
      <c r="GBW53"/>
      <c r="GBX53"/>
      <c r="GBY53"/>
      <c r="GBZ53"/>
      <c r="GCA53"/>
      <c r="GCB53"/>
      <c r="GCC53"/>
      <c r="GCD53"/>
      <c r="GCE53"/>
      <c r="GCF53"/>
      <c r="GCG53"/>
      <c r="GCH53"/>
      <c r="GCI53"/>
      <c r="GCJ53"/>
      <c r="GCK53"/>
      <c r="GCL53"/>
      <c r="GCM53"/>
      <c r="GCN53"/>
      <c r="GCO53"/>
      <c r="GCP53"/>
      <c r="GCQ53"/>
      <c r="GCR53"/>
      <c r="GCS53"/>
      <c r="GCT53"/>
      <c r="GCU53"/>
      <c r="GCV53"/>
      <c r="GCW53"/>
      <c r="GCX53"/>
      <c r="GCY53"/>
      <c r="GCZ53"/>
      <c r="GDA53"/>
      <c r="GDB53"/>
      <c r="GDC53"/>
      <c r="GDD53"/>
      <c r="GDE53"/>
      <c r="GDF53"/>
      <c r="GDG53"/>
      <c r="GDH53"/>
      <c r="GDI53"/>
      <c r="GDJ53"/>
      <c r="GDK53"/>
      <c r="GDL53"/>
      <c r="GDM53"/>
      <c r="GDN53"/>
      <c r="GDO53"/>
      <c r="GDP53"/>
      <c r="GDQ53"/>
      <c r="GDR53"/>
      <c r="GDS53"/>
      <c r="GDT53"/>
      <c r="GDU53"/>
      <c r="GDV53"/>
      <c r="GDW53"/>
      <c r="GDX53"/>
      <c r="GDY53"/>
      <c r="GDZ53"/>
      <c r="GEA53"/>
      <c r="GEB53"/>
      <c r="GEC53"/>
      <c r="GED53"/>
      <c r="GEE53"/>
      <c r="GEF53"/>
      <c r="GEG53"/>
      <c r="GEH53"/>
      <c r="GEI53"/>
      <c r="GEJ53"/>
      <c r="GEK53"/>
      <c r="GEL53"/>
      <c r="GEM53"/>
      <c r="GEN53"/>
      <c r="GEO53"/>
      <c r="GEP53"/>
      <c r="GEQ53"/>
      <c r="GER53"/>
      <c r="GES53"/>
      <c r="GET53"/>
      <c r="GEU53"/>
      <c r="GEV53"/>
      <c r="GEW53"/>
      <c r="GEX53"/>
      <c r="GEY53"/>
      <c r="GEZ53"/>
      <c r="GFA53"/>
      <c r="GFB53"/>
      <c r="GFC53"/>
      <c r="GFD53"/>
      <c r="GFE53"/>
      <c r="GFF53"/>
      <c r="GFG53"/>
      <c r="GFH53"/>
      <c r="GFI53"/>
      <c r="GFJ53"/>
      <c r="GFK53"/>
      <c r="GFL53"/>
      <c r="GFM53"/>
      <c r="GFN53"/>
      <c r="GFO53"/>
      <c r="GFP53"/>
      <c r="GFQ53"/>
      <c r="GFR53"/>
      <c r="GFS53"/>
      <c r="GFT53"/>
      <c r="GFU53"/>
      <c r="GFV53"/>
      <c r="GFW53"/>
      <c r="GFX53"/>
      <c r="GFY53"/>
      <c r="GFZ53"/>
      <c r="GGA53"/>
      <c r="GGB53"/>
      <c r="GGC53"/>
      <c r="GGD53"/>
      <c r="GGE53"/>
      <c r="GGF53"/>
      <c r="GGG53"/>
      <c r="GGH53"/>
      <c r="GGI53"/>
      <c r="GGJ53"/>
      <c r="GGK53"/>
      <c r="GGL53"/>
      <c r="GGM53"/>
      <c r="GGN53"/>
      <c r="GGO53"/>
      <c r="GGP53"/>
      <c r="GGQ53"/>
      <c r="GGR53"/>
      <c r="GGS53"/>
      <c r="GGT53"/>
      <c r="GGU53"/>
      <c r="GGV53"/>
      <c r="GGW53"/>
      <c r="GGX53"/>
      <c r="GGY53"/>
      <c r="GGZ53"/>
      <c r="GHA53"/>
      <c r="GHB53"/>
      <c r="GHC53"/>
      <c r="GHD53"/>
      <c r="GHE53"/>
      <c r="GHF53"/>
      <c r="GHG53"/>
      <c r="GHH53"/>
      <c r="GHI53"/>
      <c r="GHJ53"/>
      <c r="GHK53"/>
      <c r="GHL53"/>
      <c r="GHM53"/>
      <c r="GHN53"/>
      <c r="GHO53"/>
      <c r="GHP53"/>
      <c r="GHQ53"/>
      <c r="GHR53"/>
      <c r="GHS53"/>
      <c r="GHT53"/>
      <c r="GHU53"/>
      <c r="GHV53"/>
      <c r="GHW53"/>
      <c r="GHX53"/>
      <c r="GHY53"/>
      <c r="GHZ53"/>
      <c r="GIA53"/>
      <c r="GIB53"/>
      <c r="GIC53"/>
      <c r="GID53"/>
      <c r="GIE53"/>
      <c r="GIF53"/>
      <c r="GIG53"/>
      <c r="GIH53"/>
      <c r="GII53"/>
      <c r="GIJ53"/>
      <c r="GIK53"/>
      <c r="GIL53"/>
      <c r="GIM53"/>
      <c r="GIN53"/>
      <c r="GIO53"/>
      <c r="GIP53"/>
      <c r="GIQ53"/>
      <c r="GIR53"/>
      <c r="GIS53"/>
      <c r="GIT53"/>
      <c r="GIU53"/>
      <c r="GIV53"/>
      <c r="GIW53"/>
      <c r="GIX53"/>
      <c r="GIY53"/>
      <c r="GIZ53"/>
      <c r="GJA53"/>
      <c r="GJB53"/>
      <c r="GJC53"/>
      <c r="GJD53"/>
      <c r="GJE53"/>
      <c r="GJF53"/>
      <c r="GJG53"/>
      <c r="GJH53"/>
      <c r="GJI53"/>
      <c r="GJJ53"/>
      <c r="GJK53"/>
      <c r="GJL53"/>
      <c r="GJM53"/>
      <c r="GJN53"/>
      <c r="GJO53"/>
      <c r="GJP53"/>
      <c r="GJQ53"/>
      <c r="GJR53"/>
      <c r="GJS53"/>
      <c r="GJT53"/>
      <c r="GJU53"/>
      <c r="GJV53"/>
      <c r="GJW53"/>
      <c r="GJX53"/>
      <c r="GJY53"/>
      <c r="GJZ53"/>
      <c r="GKA53"/>
      <c r="GKB53"/>
      <c r="GKC53"/>
      <c r="GKD53"/>
      <c r="GKE53"/>
      <c r="GKF53"/>
      <c r="GKG53"/>
      <c r="GKH53"/>
      <c r="GKI53"/>
      <c r="GKJ53"/>
      <c r="GKK53"/>
      <c r="GKL53"/>
      <c r="GKM53"/>
      <c r="GKN53"/>
      <c r="GKO53"/>
      <c r="GKP53"/>
      <c r="GKQ53"/>
      <c r="GKR53"/>
      <c r="GKS53"/>
      <c r="GKT53"/>
      <c r="GKU53"/>
      <c r="GKV53"/>
      <c r="GKW53"/>
      <c r="GKX53"/>
      <c r="GKY53"/>
      <c r="GKZ53"/>
      <c r="GLA53"/>
      <c r="GLB53"/>
      <c r="GLC53"/>
      <c r="GLD53"/>
      <c r="GLE53"/>
      <c r="GLF53"/>
      <c r="GLG53"/>
      <c r="GLH53"/>
      <c r="GLI53"/>
      <c r="GLJ53"/>
      <c r="GLK53"/>
      <c r="GLL53"/>
      <c r="GLM53"/>
      <c r="GLN53"/>
      <c r="GLO53"/>
      <c r="GLP53"/>
      <c r="GLQ53"/>
      <c r="GLR53"/>
      <c r="GLS53"/>
      <c r="GLT53"/>
      <c r="GLU53"/>
      <c r="GLV53"/>
      <c r="GLW53"/>
      <c r="GLX53"/>
      <c r="GLY53"/>
      <c r="GLZ53"/>
      <c r="GMA53"/>
      <c r="GMB53"/>
      <c r="GMC53"/>
      <c r="GMD53"/>
      <c r="GME53"/>
      <c r="GMF53"/>
      <c r="GMG53"/>
      <c r="GMH53"/>
      <c r="GMI53"/>
      <c r="GMJ53"/>
      <c r="GMK53"/>
      <c r="GML53"/>
      <c r="GMM53"/>
      <c r="GMN53"/>
      <c r="GMO53"/>
      <c r="GMP53"/>
      <c r="GMQ53"/>
      <c r="GMR53"/>
      <c r="GMS53"/>
      <c r="GMT53"/>
      <c r="GMU53"/>
      <c r="GMV53"/>
      <c r="GMW53"/>
      <c r="GMX53"/>
      <c r="GMY53"/>
      <c r="GMZ53"/>
      <c r="GNA53"/>
      <c r="GNB53"/>
      <c r="GNC53"/>
      <c r="GND53"/>
      <c r="GNE53"/>
      <c r="GNF53"/>
      <c r="GNG53"/>
      <c r="GNH53"/>
      <c r="GNI53"/>
      <c r="GNJ53"/>
      <c r="GNK53"/>
      <c r="GNL53"/>
      <c r="GNM53"/>
      <c r="GNN53"/>
      <c r="GNO53"/>
      <c r="GNP53"/>
      <c r="GNQ53"/>
      <c r="GNR53"/>
      <c r="GNS53"/>
      <c r="GNT53"/>
      <c r="GNU53"/>
      <c r="GNV53"/>
      <c r="GNW53"/>
      <c r="GNX53"/>
      <c r="GNY53"/>
      <c r="GNZ53"/>
      <c r="GOA53"/>
      <c r="GOB53"/>
      <c r="GOC53"/>
      <c r="GOD53"/>
      <c r="GOE53"/>
      <c r="GOF53"/>
      <c r="GOG53"/>
      <c r="GOH53"/>
      <c r="GOI53"/>
      <c r="GOJ53"/>
      <c r="GOK53"/>
      <c r="GOL53"/>
      <c r="GOM53"/>
      <c r="GON53"/>
      <c r="GOO53"/>
      <c r="GOP53"/>
      <c r="GOQ53"/>
      <c r="GOR53"/>
      <c r="GOS53"/>
      <c r="GOT53"/>
      <c r="GOU53"/>
      <c r="GOV53"/>
      <c r="GOW53"/>
      <c r="GOX53"/>
      <c r="GOY53"/>
      <c r="GOZ53"/>
      <c r="GPA53"/>
      <c r="GPB53"/>
      <c r="GPC53"/>
      <c r="GPD53"/>
      <c r="GPE53"/>
      <c r="GPF53"/>
      <c r="GPG53"/>
      <c r="GPH53"/>
      <c r="GPI53"/>
      <c r="GPJ53"/>
      <c r="GPK53"/>
      <c r="GPL53"/>
      <c r="GPM53"/>
      <c r="GPN53"/>
      <c r="GPO53"/>
      <c r="GPP53"/>
      <c r="GPQ53"/>
      <c r="GPR53"/>
      <c r="GPS53"/>
      <c r="GPT53"/>
      <c r="GPU53"/>
      <c r="GPV53"/>
      <c r="GPW53"/>
      <c r="GPX53"/>
      <c r="GPY53"/>
      <c r="GPZ53"/>
      <c r="GQA53"/>
      <c r="GQB53"/>
      <c r="GQC53"/>
      <c r="GQD53"/>
      <c r="GQE53"/>
      <c r="GQF53"/>
      <c r="GQG53"/>
      <c r="GQH53"/>
      <c r="GQI53"/>
      <c r="GQJ53"/>
      <c r="GQK53"/>
      <c r="GQL53"/>
      <c r="GQM53"/>
      <c r="GQN53"/>
      <c r="GQO53"/>
      <c r="GQP53"/>
      <c r="GQQ53"/>
      <c r="GQR53"/>
      <c r="GQS53"/>
      <c r="GQT53"/>
      <c r="GQU53"/>
      <c r="GQV53"/>
      <c r="GQW53"/>
      <c r="GQX53"/>
      <c r="GQY53"/>
      <c r="GQZ53"/>
      <c r="GRA53"/>
      <c r="GRB53"/>
      <c r="GRC53"/>
      <c r="GRD53"/>
      <c r="GRE53"/>
      <c r="GRF53"/>
      <c r="GRG53"/>
      <c r="GRH53"/>
      <c r="GRI53"/>
      <c r="GRJ53"/>
      <c r="GRK53"/>
      <c r="GRL53"/>
      <c r="GRM53"/>
      <c r="GRN53"/>
      <c r="GRO53"/>
      <c r="GRP53"/>
      <c r="GRQ53"/>
      <c r="GRR53"/>
      <c r="GRS53"/>
      <c r="GRT53"/>
      <c r="GRU53"/>
      <c r="GRV53"/>
      <c r="GRW53"/>
      <c r="GRX53"/>
      <c r="GRY53"/>
      <c r="GRZ53"/>
      <c r="GSA53"/>
      <c r="GSB53"/>
      <c r="GSC53"/>
      <c r="GSD53"/>
      <c r="GSE53"/>
      <c r="GSF53"/>
      <c r="GSG53"/>
      <c r="GSH53"/>
      <c r="GSI53"/>
      <c r="GSJ53"/>
      <c r="GSK53"/>
      <c r="GSL53"/>
      <c r="GSM53"/>
      <c r="GSN53"/>
      <c r="GSO53"/>
      <c r="GSP53"/>
      <c r="GSQ53"/>
      <c r="GSR53"/>
      <c r="GSS53"/>
      <c r="GST53"/>
      <c r="GSU53"/>
      <c r="GSV53"/>
      <c r="GSW53"/>
      <c r="GSX53"/>
      <c r="GSY53"/>
      <c r="GSZ53"/>
      <c r="GTA53"/>
      <c r="GTB53"/>
      <c r="GTC53"/>
      <c r="GTD53"/>
      <c r="GTE53"/>
      <c r="GTF53"/>
      <c r="GTG53"/>
      <c r="GTH53"/>
      <c r="GTI53"/>
      <c r="GTJ53"/>
      <c r="GTK53"/>
      <c r="GTL53"/>
      <c r="GTM53"/>
      <c r="GTN53"/>
      <c r="GTO53"/>
      <c r="GTP53"/>
      <c r="GTQ53"/>
      <c r="GTR53"/>
      <c r="GTS53"/>
      <c r="GTT53"/>
      <c r="GTU53"/>
      <c r="GTV53"/>
      <c r="GTW53"/>
      <c r="GTX53"/>
      <c r="GTY53"/>
      <c r="GTZ53"/>
      <c r="GUA53"/>
      <c r="GUB53"/>
      <c r="GUC53"/>
      <c r="GUD53"/>
      <c r="GUE53"/>
      <c r="GUF53"/>
      <c r="GUG53"/>
      <c r="GUH53"/>
      <c r="GUI53"/>
      <c r="GUJ53"/>
      <c r="GUK53"/>
      <c r="GUL53"/>
      <c r="GUM53"/>
      <c r="GUN53"/>
      <c r="GUO53"/>
      <c r="GUP53"/>
      <c r="GUQ53"/>
      <c r="GUR53"/>
      <c r="GUS53"/>
      <c r="GUT53"/>
      <c r="GUU53"/>
      <c r="GUV53"/>
      <c r="GUW53"/>
      <c r="GUX53"/>
      <c r="GUY53"/>
      <c r="GUZ53"/>
      <c r="GVA53"/>
      <c r="GVB53"/>
      <c r="GVC53"/>
      <c r="GVD53"/>
      <c r="GVE53"/>
      <c r="GVF53"/>
      <c r="GVG53"/>
      <c r="GVH53"/>
      <c r="GVI53"/>
      <c r="GVJ53"/>
      <c r="GVK53"/>
      <c r="GVL53"/>
      <c r="GVM53"/>
      <c r="GVN53"/>
      <c r="GVO53"/>
      <c r="GVP53"/>
      <c r="GVQ53"/>
      <c r="GVR53"/>
      <c r="GVS53"/>
      <c r="GVT53"/>
      <c r="GVU53"/>
      <c r="GVV53"/>
      <c r="GVW53"/>
      <c r="GVX53"/>
      <c r="GVY53"/>
      <c r="GVZ53"/>
      <c r="GWA53"/>
      <c r="GWB53"/>
      <c r="GWC53"/>
      <c r="GWD53"/>
      <c r="GWE53"/>
      <c r="GWF53"/>
      <c r="GWG53"/>
      <c r="GWH53"/>
      <c r="GWI53"/>
      <c r="GWJ53"/>
      <c r="GWK53"/>
      <c r="GWL53"/>
      <c r="GWM53"/>
      <c r="GWN53"/>
      <c r="GWO53"/>
      <c r="GWP53"/>
      <c r="GWQ53"/>
      <c r="GWR53"/>
      <c r="GWS53"/>
      <c r="GWT53"/>
      <c r="GWU53"/>
      <c r="GWV53"/>
      <c r="GWW53"/>
      <c r="GWX53"/>
      <c r="GWY53"/>
      <c r="GWZ53"/>
      <c r="GXA53"/>
      <c r="GXB53"/>
      <c r="GXC53"/>
      <c r="GXD53"/>
      <c r="GXE53"/>
      <c r="GXF53"/>
      <c r="GXG53"/>
      <c r="GXH53"/>
      <c r="GXI53"/>
      <c r="GXJ53"/>
      <c r="GXK53"/>
      <c r="GXL53"/>
      <c r="GXM53"/>
      <c r="GXN53"/>
      <c r="GXO53"/>
      <c r="GXP53"/>
      <c r="GXQ53"/>
      <c r="GXR53"/>
      <c r="GXS53"/>
      <c r="GXT53"/>
      <c r="GXU53"/>
      <c r="GXV53"/>
      <c r="GXW53"/>
      <c r="GXX53"/>
      <c r="GXY53"/>
      <c r="GXZ53"/>
      <c r="GYA53"/>
      <c r="GYB53"/>
      <c r="GYC53"/>
      <c r="GYD53"/>
      <c r="GYE53"/>
      <c r="GYF53"/>
      <c r="GYG53"/>
      <c r="GYH53"/>
      <c r="GYI53"/>
      <c r="GYJ53"/>
      <c r="GYK53"/>
      <c r="GYL53"/>
      <c r="GYM53"/>
      <c r="GYN53"/>
      <c r="GYO53"/>
      <c r="GYP53"/>
      <c r="GYQ53"/>
      <c r="GYR53"/>
      <c r="GYS53"/>
      <c r="GYT53"/>
      <c r="GYU53"/>
      <c r="GYV53"/>
      <c r="GYW53"/>
      <c r="GYX53"/>
      <c r="GYY53"/>
      <c r="GYZ53"/>
      <c r="GZA53"/>
      <c r="GZB53"/>
      <c r="GZC53"/>
      <c r="GZD53"/>
      <c r="GZE53"/>
      <c r="GZF53"/>
      <c r="GZG53"/>
      <c r="GZH53"/>
      <c r="GZI53"/>
      <c r="GZJ53"/>
      <c r="GZK53"/>
      <c r="GZL53"/>
      <c r="GZM53"/>
      <c r="GZN53"/>
      <c r="GZO53"/>
      <c r="GZP53"/>
      <c r="GZQ53"/>
      <c r="GZR53"/>
      <c r="GZS53"/>
      <c r="GZT53"/>
      <c r="GZU53"/>
      <c r="GZV53"/>
      <c r="GZW53"/>
      <c r="GZX53"/>
      <c r="GZY53"/>
      <c r="GZZ53"/>
      <c r="HAA53"/>
      <c r="HAB53"/>
      <c r="HAC53"/>
      <c r="HAD53"/>
      <c r="HAE53"/>
      <c r="HAF53"/>
      <c r="HAG53"/>
      <c r="HAH53"/>
      <c r="HAI53"/>
      <c r="HAJ53"/>
      <c r="HAK53"/>
      <c r="HAL53"/>
      <c r="HAM53"/>
      <c r="HAN53"/>
      <c r="HAO53"/>
      <c r="HAP53"/>
      <c r="HAQ53"/>
      <c r="HAR53"/>
      <c r="HAS53"/>
      <c r="HAT53"/>
      <c r="HAU53"/>
      <c r="HAV53"/>
      <c r="HAW53"/>
      <c r="HAX53"/>
      <c r="HAY53"/>
      <c r="HAZ53"/>
      <c r="HBA53"/>
      <c r="HBB53"/>
      <c r="HBC53"/>
      <c r="HBD53"/>
      <c r="HBE53"/>
      <c r="HBF53"/>
      <c r="HBG53"/>
      <c r="HBH53"/>
      <c r="HBI53"/>
      <c r="HBJ53"/>
      <c r="HBK53"/>
      <c r="HBL53"/>
      <c r="HBM53"/>
      <c r="HBN53"/>
      <c r="HBO53"/>
      <c r="HBP53"/>
      <c r="HBQ53"/>
      <c r="HBR53"/>
      <c r="HBS53"/>
      <c r="HBT53"/>
      <c r="HBU53"/>
      <c r="HBV53"/>
      <c r="HBW53"/>
      <c r="HBX53"/>
      <c r="HBY53"/>
      <c r="HBZ53"/>
      <c r="HCA53"/>
      <c r="HCB53"/>
      <c r="HCC53"/>
      <c r="HCD53"/>
      <c r="HCE53"/>
      <c r="HCF53"/>
      <c r="HCG53"/>
      <c r="HCH53"/>
      <c r="HCI53"/>
      <c r="HCJ53"/>
      <c r="HCK53"/>
      <c r="HCL53"/>
      <c r="HCM53"/>
      <c r="HCN53"/>
      <c r="HCO53"/>
      <c r="HCP53"/>
      <c r="HCQ53"/>
      <c r="HCR53"/>
      <c r="HCS53"/>
      <c r="HCT53"/>
      <c r="HCU53"/>
      <c r="HCV53"/>
      <c r="HCW53"/>
      <c r="HCX53"/>
      <c r="HCY53"/>
      <c r="HCZ53"/>
      <c r="HDA53"/>
      <c r="HDB53"/>
      <c r="HDC53"/>
      <c r="HDD53"/>
      <c r="HDE53"/>
      <c r="HDF53"/>
      <c r="HDG53"/>
      <c r="HDH53"/>
      <c r="HDI53"/>
      <c r="HDJ53"/>
      <c r="HDK53"/>
      <c r="HDL53"/>
      <c r="HDM53"/>
      <c r="HDN53"/>
      <c r="HDO53"/>
      <c r="HDP53"/>
      <c r="HDQ53"/>
      <c r="HDR53"/>
      <c r="HDS53"/>
      <c r="HDT53"/>
      <c r="HDU53"/>
      <c r="HDV53"/>
      <c r="HDW53"/>
      <c r="HDX53"/>
      <c r="HDY53"/>
      <c r="HDZ53"/>
      <c r="HEA53"/>
      <c r="HEB53"/>
      <c r="HEC53"/>
      <c r="HED53"/>
      <c r="HEE53"/>
      <c r="HEF53"/>
      <c r="HEG53"/>
      <c r="HEH53"/>
      <c r="HEI53"/>
      <c r="HEJ53"/>
      <c r="HEK53"/>
      <c r="HEL53"/>
      <c r="HEM53"/>
      <c r="HEN53"/>
      <c r="HEO53"/>
      <c r="HEP53"/>
      <c r="HEQ53"/>
      <c r="HER53"/>
      <c r="HES53"/>
      <c r="HET53"/>
      <c r="HEU53"/>
      <c r="HEV53"/>
      <c r="HEW53"/>
      <c r="HEX53"/>
      <c r="HEY53"/>
      <c r="HEZ53"/>
      <c r="HFA53"/>
      <c r="HFB53"/>
      <c r="HFC53"/>
      <c r="HFD53"/>
      <c r="HFE53"/>
      <c r="HFF53"/>
      <c r="HFG53"/>
      <c r="HFH53"/>
      <c r="HFI53"/>
      <c r="HFJ53"/>
      <c r="HFK53"/>
      <c r="HFL53"/>
      <c r="HFM53"/>
      <c r="HFN53"/>
      <c r="HFO53"/>
      <c r="HFP53"/>
      <c r="HFQ53"/>
      <c r="HFR53"/>
      <c r="HFS53"/>
      <c r="HFT53"/>
      <c r="HFU53"/>
      <c r="HFV53"/>
      <c r="HFW53"/>
      <c r="HFX53"/>
      <c r="HFY53"/>
      <c r="HFZ53"/>
      <c r="HGA53"/>
      <c r="HGB53"/>
      <c r="HGC53"/>
      <c r="HGD53"/>
      <c r="HGE53"/>
      <c r="HGF53"/>
      <c r="HGG53"/>
      <c r="HGH53"/>
      <c r="HGI53"/>
      <c r="HGJ53"/>
      <c r="HGK53"/>
      <c r="HGL53"/>
      <c r="HGM53"/>
      <c r="HGN53"/>
      <c r="HGO53"/>
      <c r="HGP53"/>
      <c r="HGQ53"/>
      <c r="HGR53"/>
      <c r="HGS53"/>
      <c r="HGT53"/>
      <c r="HGU53"/>
      <c r="HGV53"/>
      <c r="HGW53"/>
      <c r="HGX53"/>
      <c r="HGY53"/>
      <c r="HGZ53"/>
      <c r="HHA53"/>
      <c r="HHB53"/>
      <c r="HHC53"/>
      <c r="HHD53"/>
      <c r="HHE53"/>
      <c r="HHF53"/>
      <c r="HHG53"/>
      <c r="HHH53"/>
      <c r="HHI53"/>
      <c r="HHJ53"/>
      <c r="HHK53"/>
      <c r="HHL53"/>
      <c r="HHM53"/>
      <c r="HHN53"/>
      <c r="HHO53"/>
      <c r="HHP53"/>
      <c r="HHQ53"/>
      <c r="HHR53"/>
      <c r="HHS53"/>
      <c r="HHT53"/>
      <c r="HHU53"/>
      <c r="HHV53"/>
      <c r="HHW53"/>
      <c r="HHX53"/>
      <c r="HHY53"/>
      <c r="HHZ53"/>
      <c r="HIA53"/>
      <c r="HIB53"/>
      <c r="HIC53"/>
      <c r="HID53"/>
      <c r="HIE53"/>
      <c r="HIF53"/>
      <c r="HIG53"/>
      <c r="HIH53"/>
      <c r="HII53"/>
      <c r="HIJ53"/>
      <c r="HIK53"/>
      <c r="HIL53"/>
      <c r="HIM53"/>
      <c r="HIN53"/>
      <c r="HIO53"/>
      <c r="HIP53"/>
      <c r="HIQ53"/>
      <c r="HIR53"/>
      <c r="HIS53"/>
      <c r="HIT53"/>
      <c r="HIU53"/>
      <c r="HIV53"/>
      <c r="HIW53"/>
      <c r="HIX53"/>
      <c r="HIY53"/>
      <c r="HIZ53"/>
      <c r="HJA53"/>
      <c r="HJB53"/>
      <c r="HJC53"/>
      <c r="HJD53"/>
      <c r="HJE53"/>
      <c r="HJF53"/>
      <c r="HJG53"/>
      <c r="HJH53"/>
      <c r="HJI53"/>
      <c r="HJJ53"/>
      <c r="HJK53"/>
      <c r="HJL53"/>
      <c r="HJM53"/>
      <c r="HJN53"/>
      <c r="HJO53"/>
      <c r="HJP53"/>
      <c r="HJQ53"/>
      <c r="HJR53"/>
      <c r="HJS53"/>
      <c r="HJT53"/>
      <c r="HJU53"/>
      <c r="HJV53"/>
      <c r="HJW53"/>
      <c r="HJX53"/>
      <c r="HJY53"/>
      <c r="HJZ53"/>
      <c r="HKA53"/>
      <c r="HKB53"/>
      <c r="HKC53"/>
      <c r="HKD53"/>
      <c r="HKE53"/>
      <c r="HKF53"/>
      <c r="HKG53"/>
      <c r="HKH53"/>
      <c r="HKI53"/>
      <c r="HKJ53"/>
      <c r="HKK53"/>
      <c r="HKL53"/>
      <c r="HKM53"/>
      <c r="HKN53"/>
      <c r="HKO53"/>
      <c r="HKP53"/>
      <c r="HKQ53"/>
      <c r="HKR53"/>
      <c r="HKS53"/>
      <c r="HKT53"/>
      <c r="HKU53"/>
      <c r="HKV53"/>
      <c r="HKW53"/>
      <c r="HKX53"/>
      <c r="HKY53"/>
      <c r="HKZ53"/>
      <c r="HLA53"/>
      <c r="HLB53"/>
      <c r="HLC53"/>
      <c r="HLD53"/>
      <c r="HLE53"/>
      <c r="HLF53"/>
      <c r="HLG53"/>
      <c r="HLH53"/>
      <c r="HLI53"/>
      <c r="HLJ53"/>
      <c r="HLK53"/>
      <c r="HLL53"/>
      <c r="HLM53"/>
      <c r="HLN53"/>
      <c r="HLO53"/>
      <c r="HLP53"/>
      <c r="HLQ53"/>
      <c r="HLR53"/>
      <c r="HLS53"/>
      <c r="HLT53"/>
      <c r="HLU53"/>
      <c r="HLV53"/>
      <c r="HLW53"/>
      <c r="HLX53"/>
      <c r="HLY53"/>
      <c r="HLZ53"/>
      <c r="HMA53"/>
      <c r="HMB53"/>
      <c r="HMC53"/>
      <c r="HMD53"/>
      <c r="HME53"/>
      <c r="HMF53"/>
      <c r="HMG53"/>
      <c r="HMH53"/>
      <c r="HMI53"/>
      <c r="HMJ53"/>
      <c r="HMK53"/>
      <c r="HML53"/>
      <c r="HMM53"/>
      <c r="HMN53"/>
      <c r="HMO53"/>
      <c r="HMP53"/>
      <c r="HMQ53"/>
      <c r="HMR53"/>
      <c r="HMS53"/>
      <c r="HMT53"/>
      <c r="HMU53"/>
      <c r="HMV53"/>
      <c r="HMW53"/>
      <c r="HMX53"/>
      <c r="HMY53"/>
      <c r="HMZ53"/>
      <c r="HNA53"/>
      <c r="HNB53"/>
      <c r="HNC53"/>
      <c r="HND53"/>
      <c r="HNE53"/>
      <c r="HNF53"/>
      <c r="HNG53"/>
      <c r="HNH53"/>
      <c r="HNI53"/>
      <c r="HNJ53"/>
      <c r="HNK53"/>
      <c r="HNL53"/>
      <c r="HNM53"/>
      <c r="HNN53"/>
      <c r="HNO53"/>
      <c r="HNP53"/>
      <c r="HNQ53"/>
      <c r="HNR53"/>
      <c r="HNS53"/>
      <c r="HNT53"/>
      <c r="HNU53"/>
      <c r="HNV53"/>
      <c r="HNW53"/>
      <c r="HNX53"/>
      <c r="HNY53"/>
      <c r="HNZ53"/>
      <c r="HOA53"/>
      <c r="HOB53"/>
      <c r="HOC53"/>
      <c r="HOD53"/>
      <c r="HOE53"/>
      <c r="HOF53"/>
      <c r="HOG53"/>
      <c r="HOH53"/>
      <c r="HOI53"/>
      <c r="HOJ53"/>
      <c r="HOK53"/>
      <c r="HOL53"/>
      <c r="HOM53"/>
      <c r="HON53"/>
      <c r="HOO53"/>
      <c r="HOP53"/>
      <c r="HOQ53"/>
      <c r="HOR53"/>
      <c r="HOS53"/>
      <c r="HOT53"/>
      <c r="HOU53"/>
      <c r="HOV53"/>
      <c r="HOW53"/>
      <c r="HOX53"/>
      <c r="HOY53"/>
      <c r="HOZ53"/>
      <c r="HPA53"/>
      <c r="HPB53"/>
      <c r="HPC53"/>
      <c r="HPD53"/>
      <c r="HPE53"/>
      <c r="HPF53"/>
      <c r="HPG53"/>
      <c r="HPH53"/>
      <c r="HPI53"/>
      <c r="HPJ53"/>
      <c r="HPK53"/>
      <c r="HPL53"/>
      <c r="HPM53"/>
      <c r="HPN53"/>
      <c r="HPO53"/>
      <c r="HPP53"/>
      <c r="HPQ53"/>
      <c r="HPR53"/>
      <c r="HPS53"/>
      <c r="HPT53"/>
      <c r="HPU53"/>
      <c r="HPV53"/>
      <c r="HPW53"/>
      <c r="HPX53"/>
      <c r="HPY53"/>
      <c r="HPZ53"/>
      <c r="HQA53"/>
      <c r="HQB53"/>
      <c r="HQC53"/>
      <c r="HQD53"/>
      <c r="HQE53"/>
      <c r="HQF53"/>
      <c r="HQG53"/>
      <c r="HQH53"/>
      <c r="HQI53"/>
      <c r="HQJ53"/>
      <c r="HQK53"/>
      <c r="HQL53"/>
      <c r="HQM53"/>
      <c r="HQN53"/>
      <c r="HQO53"/>
      <c r="HQP53"/>
      <c r="HQQ53"/>
      <c r="HQR53"/>
      <c r="HQS53"/>
      <c r="HQT53"/>
      <c r="HQU53"/>
      <c r="HQV53"/>
      <c r="HQW53"/>
      <c r="HQX53"/>
      <c r="HQY53"/>
      <c r="HQZ53"/>
      <c r="HRA53"/>
      <c r="HRB53"/>
      <c r="HRC53"/>
      <c r="HRD53"/>
      <c r="HRE53"/>
      <c r="HRF53"/>
      <c r="HRG53"/>
      <c r="HRH53"/>
      <c r="HRI53"/>
      <c r="HRJ53"/>
      <c r="HRK53"/>
      <c r="HRL53"/>
      <c r="HRM53"/>
      <c r="HRN53"/>
      <c r="HRO53"/>
      <c r="HRP53"/>
      <c r="HRQ53"/>
      <c r="HRR53"/>
      <c r="HRS53"/>
      <c r="HRT53"/>
      <c r="HRU53"/>
      <c r="HRV53"/>
      <c r="HRW53"/>
      <c r="HRX53"/>
      <c r="HRY53"/>
      <c r="HRZ53"/>
      <c r="HSA53"/>
      <c r="HSB53"/>
      <c r="HSC53"/>
      <c r="HSD53"/>
      <c r="HSE53"/>
      <c r="HSF53"/>
      <c r="HSG53"/>
      <c r="HSH53"/>
      <c r="HSI53"/>
      <c r="HSJ53"/>
      <c r="HSK53"/>
      <c r="HSL53"/>
      <c r="HSM53"/>
      <c r="HSN53"/>
      <c r="HSO53"/>
      <c r="HSP53"/>
      <c r="HSQ53"/>
      <c r="HSR53"/>
      <c r="HSS53"/>
      <c r="HST53"/>
      <c r="HSU53"/>
      <c r="HSV53"/>
      <c r="HSW53"/>
      <c r="HSX53"/>
      <c r="HSY53"/>
      <c r="HSZ53"/>
      <c r="HTA53"/>
      <c r="HTB53"/>
      <c r="HTC53"/>
      <c r="HTD53"/>
      <c r="HTE53"/>
      <c r="HTF53"/>
      <c r="HTG53"/>
      <c r="HTH53"/>
      <c r="HTI53"/>
      <c r="HTJ53"/>
      <c r="HTK53"/>
      <c r="HTL53"/>
      <c r="HTM53"/>
      <c r="HTN53"/>
      <c r="HTO53"/>
      <c r="HTP53"/>
      <c r="HTQ53"/>
      <c r="HTR53"/>
      <c r="HTS53"/>
      <c r="HTT53"/>
      <c r="HTU53"/>
      <c r="HTV53"/>
      <c r="HTW53"/>
      <c r="HTX53"/>
      <c r="HTY53"/>
      <c r="HTZ53"/>
      <c r="HUA53"/>
      <c r="HUB53"/>
      <c r="HUC53"/>
      <c r="HUD53"/>
      <c r="HUE53"/>
      <c r="HUF53"/>
      <c r="HUG53"/>
      <c r="HUH53"/>
      <c r="HUI53"/>
      <c r="HUJ53"/>
      <c r="HUK53"/>
      <c r="HUL53"/>
      <c r="HUM53"/>
      <c r="HUN53"/>
      <c r="HUO53"/>
      <c r="HUP53"/>
      <c r="HUQ53"/>
      <c r="HUR53"/>
      <c r="HUS53"/>
      <c r="HUT53"/>
      <c r="HUU53"/>
      <c r="HUV53"/>
      <c r="HUW53"/>
      <c r="HUX53"/>
      <c r="HUY53"/>
      <c r="HUZ53"/>
      <c r="HVA53"/>
      <c r="HVB53"/>
      <c r="HVC53"/>
      <c r="HVD53"/>
      <c r="HVE53"/>
      <c r="HVF53"/>
      <c r="HVG53"/>
      <c r="HVH53"/>
      <c r="HVI53"/>
      <c r="HVJ53"/>
      <c r="HVK53"/>
      <c r="HVL53"/>
      <c r="HVM53"/>
      <c r="HVN53"/>
      <c r="HVO53"/>
      <c r="HVP53"/>
      <c r="HVQ53"/>
      <c r="HVR53"/>
      <c r="HVS53"/>
      <c r="HVT53"/>
      <c r="HVU53"/>
      <c r="HVV53"/>
      <c r="HVW53"/>
      <c r="HVX53"/>
      <c r="HVY53"/>
      <c r="HVZ53"/>
      <c r="HWA53"/>
      <c r="HWB53"/>
      <c r="HWC53"/>
      <c r="HWD53"/>
      <c r="HWE53"/>
      <c r="HWF53"/>
      <c r="HWG53"/>
      <c r="HWH53"/>
      <c r="HWI53"/>
      <c r="HWJ53"/>
      <c r="HWK53"/>
      <c r="HWL53"/>
      <c r="HWM53"/>
      <c r="HWN53"/>
      <c r="HWO53"/>
      <c r="HWP53"/>
      <c r="HWQ53"/>
      <c r="HWR53"/>
      <c r="HWS53"/>
      <c r="HWT53"/>
      <c r="HWU53"/>
      <c r="HWV53"/>
      <c r="HWW53"/>
      <c r="HWX53"/>
      <c r="HWY53"/>
      <c r="HWZ53"/>
      <c r="HXA53"/>
      <c r="HXB53"/>
      <c r="HXC53"/>
      <c r="HXD53"/>
      <c r="HXE53"/>
      <c r="HXF53"/>
      <c r="HXG53"/>
      <c r="HXH53"/>
      <c r="HXI53"/>
      <c r="HXJ53"/>
      <c r="HXK53"/>
      <c r="HXL53"/>
      <c r="HXM53"/>
      <c r="HXN53"/>
      <c r="HXO53"/>
      <c r="HXP53"/>
      <c r="HXQ53"/>
      <c r="HXR53"/>
      <c r="HXS53"/>
      <c r="HXT53"/>
      <c r="HXU53"/>
      <c r="HXV53"/>
      <c r="HXW53"/>
      <c r="HXX53"/>
      <c r="HXY53"/>
      <c r="HXZ53"/>
      <c r="HYA53"/>
      <c r="HYB53"/>
      <c r="HYC53"/>
      <c r="HYD53"/>
      <c r="HYE53"/>
      <c r="HYF53"/>
      <c r="HYG53"/>
      <c r="HYH53"/>
      <c r="HYI53"/>
      <c r="HYJ53"/>
      <c r="HYK53"/>
      <c r="HYL53"/>
      <c r="HYM53"/>
      <c r="HYN53"/>
      <c r="HYO53"/>
      <c r="HYP53"/>
      <c r="HYQ53"/>
      <c r="HYR53"/>
      <c r="HYS53"/>
      <c r="HYT53"/>
      <c r="HYU53"/>
      <c r="HYV53"/>
      <c r="HYW53"/>
      <c r="HYX53"/>
      <c r="HYY53"/>
      <c r="HYZ53"/>
      <c r="HZA53"/>
      <c r="HZB53"/>
      <c r="HZC53"/>
      <c r="HZD53"/>
      <c r="HZE53"/>
      <c r="HZF53"/>
      <c r="HZG53"/>
      <c r="HZH53"/>
      <c r="HZI53"/>
      <c r="HZJ53"/>
      <c r="HZK53"/>
      <c r="HZL53"/>
      <c r="HZM53"/>
      <c r="HZN53"/>
      <c r="HZO53"/>
      <c r="HZP53"/>
      <c r="HZQ53"/>
      <c r="HZR53"/>
      <c r="HZS53"/>
      <c r="HZT53"/>
      <c r="HZU53"/>
      <c r="HZV53"/>
      <c r="HZW53"/>
      <c r="HZX53"/>
      <c r="HZY53"/>
      <c r="HZZ53"/>
      <c r="IAA53"/>
      <c r="IAB53"/>
      <c r="IAC53"/>
      <c r="IAD53"/>
      <c r="IAE53"/>
      <c r="IAF53"/>
      <c r="IAG53"/>
      <c r="IAH53"/>
      <c r="IAI53"/>
      <c r="IAJ53"/>
      <c r="IAK53"/>
      <c r="IAL53"/>
      <c r="IAM53"/>
      <c r="IAN53"/>
      <c r="IAO53"/>
      <c r="IAP53"/>
      <c r="IAQ53"/>
      <c r="IAR53"/>
      <c r="IAS53"/>
      <c r="IAT53"/>
      <c r="IAU53"/>
      <c r="IAV53"/>
      <c r="IAW53"/>
      <c r="IAX53"/>
      <c r="IAY53"/>
      <c r="IAZ53"/>
      <c r="IBA53"/>
      <c r="IBB53"/>
      <c r="IBC53"/>
      <c r="IBD53"/>
      <c r="IBE53"/>
      <c r="IBF53"/>
      <c r="IBG53"/>
      <c r="IBH53"/>
      <c r="IBI53"/>
      <c r="IBJ53"/>
      <c r="IBK53"/>
      <c r="IBL53"/>
      <c r="IBM53"/>
      <c r="IBN53"/>
      <c r="IBO53"/>
      <c r="IBP53"/>
      <c r="IBQ53"/>
      <c r="IBR53"/>
      <c r="IBS53"/>
      <c r="IBT53"/>
      <c r="IBU53"/>
      <c r="IBV53"/>
      <c r="IBW53"/>
      <c r="IBX53"/>
      <c r="IBY53"/>
      <c r="IBZ53"/>
      <c r="ICA53"/>
      <c r="ICB53"/>
      <c r="ICC53"/>
      <c r="ICD53"/>
      <c r="ICE53"/>
      <c r="ICF53"/>
      <c r="ICG53"/>
      <c r="ICH53"/>
      <c r="ICI53"/>
      <c r="ICJ53"/>
      <c r="ICK53"/>
      <c r="ICL53"/>
      <c r="ICM53"/>
      <c r="ICN53"/>
      <c r="ICO53"/>
      <c r="ICP53"/>
      <c r="ICQ53"/>
      <c r="ICR53"/>
      <c r="ICS53"/>
      <c r="ICT53"/>
      <c r="ICU53"/>
      <c r="ICV53"/>
      <c r="ICW53"/>
      <c r="ICX53"/>
      <c r="ICY53"/>
      <c r="ICZ53"/>
      <c r="IDA53"/>
      <c r="IDB53"/>
      <c r="IDC53"/>
      <c r="IDD53"/>
      <c r="IDE53"/>
      <c r="IDF53"/>
      <c r="IDG53"/>
      <c r="IDH53"/>
      <c r="IDI53"/>
      <c r="IDJ53"/>
      <c r="IDK53"/>
      <c r="IDL53"/>
      <c r="IDM53"/>
      <c r="IDN53"/>
      <c r="IDO53"/>
      <c r="IDP53"/>
      <c r="IDQ53"/>
      <c r="IDR53"/>
      <c r="IDS53"/>
      <c r="IDT53"/>
      <c r="IDU53"/>
      <c r="IDV53"/>
      <c r="IDW53"/>
      <c r="IDX53"/>
      <c r="IDY53"/>
      <c r="IDZ53"/>
      <c r="IEA53"/>
      <c r="IEB53"/>
      <c r="IEC53"/>
      <c r="IED53"/>
      <c r="IEE53"/>
      <c r="IEF53"/>
      <c r="IEG53"/>
      <c r="IEH53"/>
      <c r="IEI53"/>
      <c r="IEJ53"/>
      <c r="IEK53"/>
      <c r="IEL53"/>
      <c r="IEM53"/>
      <c r="IEN53"/>
      <c r="IEO53"/>
      <c r="IEP53"/>
      <c r="IEQ53"/>
      <c r="IER53"/>
      <c r="IES53"/>
      <c r="IET53"/>
      <c r="IEU53"/>
      <c r="IEV53"/>
      <c r="IEW53"/>
      <c r="IEX53"/>
      <c r="IEY53"/>
      <c r="IEZ53"/>
      <c r="IFA53"/>
      <c r="IFB53"/>
      <c r="IFC53"/>
      <c r="IFD53"/>
      <c r="IFE53"/>
      <c r="IFF53"/>
      <c r="IFG53"/>
      <c r="IFH53"/>
      <c r="IFI53"/>
      <c r="IFJ53"/>
      <c r="IFK53"/>
      <c r="IFL53"/>
      <c r="IFM53"/>
      <c r="IFN53"/>
      <c r="IFO53"/>
      <c r="IFP53"/>
      <c r="IFQ53"/>
      <c r="IFR53"/>
      <c r="IFS53"/>
      <c r="IFT53"/>
      <c r="IFU53"/>
      <c r="IFV53"/>
      <c r="IFW53"/>
      <c r="IFX53"/>
      <c r="IFY53"/>
      <c r="IFZ53"/>
      <c r="IGA53"/>
      <c r="IGB53"/>
      <c r="IGC53"/>
      <c r="IGD53"/>
      <c r="IGE53"/>
      <c r="IGF53"/>
      <c r="IGG53"/>
      <c r="IGH53"/>
      <c r="IGI53"/>
      <c r="IGJ53"/>
      <c r="IGK53"/>
      <c r="IGL53"/>
      <c r="IGM53"/>
      <c r="IGN53"/>
      <c r="IGO53"/>
      <c r="IGP53"/>
      <c r="IGQ53"/>
      <c r="IGR53"/>
      <c r="IGS53"/>
      <c r="IGT53"/>
      <c r="IGU53"/>
      <c r="IGV53"/>
      <c r="IGW53"/>
      <c r="IGX53"/>
      <c r="IGY53"/>
      <c r="IGZ53"/>
      <c r="IHA53"/>
      <c r="IHB53"/>
      <c r="IHC53"/>
      <c r="IHD53"/>
      <c r="IHE53"/>
      <c r="IHF53"/>
      <c r="IHG53"/>
      <c r="IHH53"/>
      <c r="IHI53"/>
      <c r="IHJ53"/>
      <c r="IHK53"/>
      <c r="IHL53"/>
      <c r="IHM53"/>
      <c r="IHN53"/>
      <c r="IHO53"/>
      <c r="IHP53"/>
      <c r="IHQ53"/>
      <c r="IHR53"/>
      <c r="IHS53"/>
      <c r="IHT53"/>
      <c r="IHU53"/>
      <c r="IHV53"/>
      <c r="IHW53"/>
      <c r="IHX53"/>
      <c r="IHY53"/>
      <c r="IHZ53"/>
      <c r="IIA53"/>
      <c r="IIB53"/>
      <c r="IIC53"/>
      <c r="IID53"/>
      <c r="IIE53"/>
      <c r="IIF53"/>
      <c r="IIG53"/>
      <c r="IIH53"/>
      <c r="III53"/>
      <c r="IIJ53"/>
      <c r="IIK53"/>
      <c r="IIL53"/>
      <c r="IIM53"/>
      <c r="IIN53"/>
      <c r="IIO53"/>
      <c r="IIP53"/>
      <c r="IIQ53"/>
      <c r="IIR53"/>
      <c r="IIS53"/>
      <c r="IIT53"/>
      <c r="IIU53"/>
      <c r="IIV53"/>
      <c r="IIW53"/>
      <c r="IIX53"/>
      <c r="IIY53"/>
      <c r="IIZ53"/>
      <c r="IJA53"/>
      <c r="IJB53"/>
      <c r="IJC53"/>
      <c r="IJD53"/>
      <c r="IJE53"/>
      <c r="IJF53"/>
      <c r="IJG53"/>
      <c r="IJH53"/>
      <c r="IJI53"/>
      <c r="IJJ53"/>
      <c r="IJK53"/>
      <c r="IJL53"/>
      <c r="IJM53"/>
      <c r="IJN53"/>
      <c r="IJO53"/>
      <c r="IJP53"/>
      <c r="IJQ53"/>
      <c r="IJR53"/>
      <c r="IJS53"/>
      <c r="IJT53"/>
      <c r="IJU53"/>
      <c r="IJV53"/>
      <c r="IJW53"/>
      <c r="IJX53"/>
      <c r="IJY53"/>
      <c r="IJZ53"/>
      <c r="IKA53"/>
      <c r="IKB53"/>
      <c r="IKC53"/>
      <c r="IKD53"/>
      <c r="IKE53"/>
      <c r="IKF53"/>
      <c r="IKG53"/>
      <c r="IKH53"/>
      <c r="IKI53"/>
      <c r="IKJ53"/>
      <c r="IKK53"/>
      <c r="IKL53"/>
      <c r="IKM53"/>
      <c r="IKN53"/>
      <c r="IKO53"/>
      <c r="IKP53"/>
      <c r="IKQ53"/>
      <c r="IKR53"/>
      <c r="IKS53"/>
      <c r="IKT53"/>
      <c r="IKU53"/>
      <c r="IKV53"/>
      <c r="IKW53"/>
      <c r="IKX53"/>
      <c r="IKY53"/>
      <c r="IKZ53"/>
      <c r="ILA53"/>
      <c r="ILB53"/>
      <c r="ILC53"/>
      <c r="ILD53"/>
      <c r="ILE53"/>
      <c r="ILF53"/>
      <c r="ILG53"/>
      <c r="ILH53"/>
      <c r="ILI53"/>
      <c r="ILJ53"/>
      <c r="ILK53"/>
      <c r="ILL53"/>
      <c r="ILM53"/>
      <c r="ILN53"/>
      <c r="ILO53"/>
      <c r="ILP53"/>
      <c r="ILQ53"/>
      <c r="ILR53"/>
      <c r="ILS53"/>
      <c r="ILT53"/>
      <c r="ILU53"/>
      <c r="ILV53"/>
      <c r="ILW53"/>
      <c r="ILX53"/>
      <c r="ILY53"/>
      <c r="ILZ53"/>
      <c r="IMA53"/>
      <c r="IMB53"/>
      <c r="IMC53"/>
      <c r="IMD53"/>
      <c r="IME53"/>
      <c r="IMF53"/>
      <c r="IMG53"/>
      <c r="IMH53"/>
      <c r="IMI53"/>
      <c r="IMJ53"/>
      <c r="IMK53"/>
      <c r="IML53"/>
      <c r="IMM53"/>
      <c r="IMN53"/>
      <c r="IMO53"/>
      <c r="IMP53"/>
      <c r="IMQ53"/>
      <c r="IMR53"/>
      <c r="IMS53"/>
      <c r="IMT53"/>
      <c r="IMU53"/>
      <c r="IMV53"/>
      <c r="IMW53"/>
      <c r="IMX53"/>
      <c r="IMY53"/>
      <c r="IMZ53"/>
      <c r="INA53"/>
      <c r="INB53"/>
      <c r="INC53"/>
      <c r="IND53"/>
      <c r="INE53"/>
      <c r="INF53"/>
      <c r="ING53"/>
      <c r="INH53"/>
      <c r="INI53"/>
      <c r="INJ53"/>
      <c r="INK53"/>
      <c r="INL53"/>
      <c r="INM53"/>
      <c r="INN53"/>
      <c r="INO53"/>
      <c r="INP53"/>
      <c r="INQ53"/>
      <c r="INR53"/>
      <c r="INS53"/>
      <c r="INT53"/>
      <c r="INU53"/>
      <c r="INV53"/>
      <c r="INW53"/>
      <c r="INX53"/>
      <c r="INY53"/>
      <c r="INZ53"/>
      <c r="IOA53"/>
      <c r="IOB53"/>
      <c r="IOC53"/>
      <c r="IOD53"/>
      <c r="IOE53"/>
      <c r="IOF53"/>
      <c r="IOG53"/>
      <c r="IOH53"/>
      <c r="IOI53"/>
      <c r="IOJ53"/>
      <c r="IOK53"/>
      <c r="IOL53"/>
      <c r="IOM53"/>
      <c r="ION53"/>
      <c r="IOO53"/>
      <c r="IOP53"/>
      <c r="IOQ53"/>
      <c r="IOR53"/>
      <c r="IOS53"/>
      <c r="IOT53"/>
      <c r="IOU53"/>
      <c r="IOV53"/>
      <c r="IOW53"/>
      <c r="IOX53"/>
      <c r="IOY53"/>
      <c r="IOZ53"/>
      <c r="IPA53"/>
      <c r="IPB53"/>
      <c r="IPC53"/>
      <c r="IPD53"/>
      <c r="IPE53"/>
      <c r="IPF53"/>
      <c r="IPG53"/>
      <c r="IPH53"/>
      <c r="IPI53"/>
      <c r="IPJ53"/>
      <c r="IPK53"/>
      <c r="IPL53"/>
      <c r="IPM53"/>
      <c r="IPN53"/>
      <c r="IPO53"/>
      <c r="IPP53"/>
      <c r="IPQ53"/>
      <c r="IPR53"/>
      <c r="IPS53"/>
      <c r="IPT53"/>
      <c r="IPU53"/>
      <c r="IPV53"/>
      <c r="IPW53"/>
      <c r="IPX53"/>
      <c r="IPY53"/>
      <c r="IPZ53"/>
      <c r="IQA53"/>
      <c r="IQB53"/>
      <c r="IQC53"/>
      <c r="IQD53"/>
      <c r="IQE53"/>
      <c r="IQF53"/>
      <c r="IQG53"/>
      <c r="IQH53"/>
      <c r="IQI53"/>
      <c r="IQJ53"/>
      <c r="IQK53"/>
      <c r="IQL53"/>
      <c r="IQM53"/>
      <c r="IQN53"/>
      <c r="IQO53"/>
      <c r="IQP53"/>
      <c r="IQQ53"/>
      <c r="IQR53"/>
      <c r="IQS53"/>
      <c r="IQT53"/>
      <c r="IQU53"/>
      <c r="IQV53"/>
      <c r="IQW53"/>
      <c r="IQX53"/>
      <c r="IQY53"/>
      <c r="IQZ53"/>
      <c r="IRA53"/>
      <c r="IRB53"/>
      <c r="IRC53"/>
      <c r="IRD53"/>
      <c r="IRE53"/>
      <c r="IRF53"/>
      <c r="IRG53"/>
      <c r="IRH53"/>
      <c r="IRI53"/>
      <c r="IRJ53"/>
      <c r="IRK53"/>
      <c r="IRL53"/>
      <c r="IRM53"/>
      <c r="IRN53"/>
      <c r="IRO53"/>
      <c r="IRP53"/>
      <c r="IRQ53"/>
      <c r="IRR53"/>
      <c r="IRS53"/>
      <c r="IRT53"/>
      <c r="IRU53"/>
      <c r="IRV53"/>
      <c r="IRW53"/>
      <c r="IRX53"/>
      <c r="IRY53"/>
      <c r="IRZ53"/>
      <c r="ISA53"/>
      <c r="ISB53"/>
      <c r="ISC53"/>
      <c r="ISD53"/>
      <c r="ISE53"/>
      <c r="ISF53"/>
      <c r="ISG53"/>
      <c r="ISH53"/>
      <c r="ISI53"/>
      <c r="ISJ53"/>
      <c r="ISK53"/>
      <c r="ISL53"/>
      <c r="ISM53"/>
      <c r="ISN53"/>
      <c r="ISO53"/>
      <c r="ISP53"/>
      <c r="ISQ53"/>
      <c r="ISR53"/>
      <c r="ISS53"/>
      <c r="IST53"/>
      <c r="ISU53"/>
      <c r="ISV53"/>
      <c r="ISW53"/>
      <c r="ISX53"/>
      <c r="ISY53"/>
      <c r="ISZ53"/>
      <c r="ITA53"/>
      <c r="ITB53"/>
      <c r="ITC53"/>
      <c r="ITD53"/>
      <c r="ITE53"/>
      <c r="ITF53"/>
      <c r="ITG53"/>
      <c r="ITH53"/>
      <c r="ITI53"/>
      <c r="ITJ53"/>
      <c r="ITK53"/>
      <c r="ITL53"/>
      <c r="ITM53"/>
      <c r="ITN53"/>
      <c r="ITO53"/>
      <c r="ITP53"/>
      <c r="ITQ53"/>
      <c r="ITR53"/>
      <c r="ITS53"/>
      <c r="ITT53"/>
      <c r="ITU53"/>
      <c r="ITV53"/>
      <c r="ITW53"/>
      <c r="ITX53"/>
      <c r="ITY53"/>
      <c r="ITZ53"/>
      <c r="IUA53"/>
      <c r="IUB53"/>
      <c r="IUC53"/>
      <c r="IUD53"/>
      <c r="IUE53"/>
      <c r="IUF53"/>
      <c r="IUG53"/>
      <c r="IUH53"/>
      <c r="IUI53"/>
      <c r="IUJ53"/>
      <c r="IUK53"/>
      <c r="IUL53"/>
      <c r="IUM53"/>
      <c r="IUN53"/>
      <c r="IUO53"/>
      <c r="IUP53"/>
      <c r="IUQ53"/>
      <c r="IUR53"/>
      <c r="IUS53"/>
      <c r="IUT53"/>
      <c r="IUU53"/>
      <c r="IUV53"/>
      <c r="IUW53"/>
      <c r="IUX53"/>
      <c r="IUY53"/>
      <c r="IUZ53"/>
      <c r="IVA53"/>
      <c r="IVB53"/>
      <c r="IVC53"/>
      <c r="IVD53"/>
      <c r="IVE53"/>
      <c r="IVF53"/>
      <c r="IVG53"/>
      <c r="IVH53"/>
      <c r="IVI53"/>
      <c r="IVJ53"/>
      <c r="IVK53"/>
      <c r="IVL53"/>
      <c r="IVM53"/>
      <c r="IVN53"/>
      <c r="IVO53"/>
      <c r="IVP53"/>
      <c r="IVQ53"/>
      <c r="IVR53"/>
      <c r="IVS53"/>
      <c r="IVT53"/>
      <c r="IVU53"/>
      <c r="IVV53"/>
      <c r="IVW53"/>
      <c r="IVX53"/>
      <c r="IVY53"/>
      <c r="IVZ53"/>
      <c r="IWA53"/>
      <c r="IWB53"/>
      <c r="IWC53"/>
      <c r="IWD53"/>
      <c r="IWE53"/>
      <c r="IWF53"/>
      <c r="IWG53"/>
      <c r="IWH53"/>
      <c r="IWI53"/>
      <c r="IWJ53"/>
      <c r="IWK53"/>
      <c r="IWL53"/>
      <c r="IWM53"/>
      <c r="IWN53"/>
      <c r="IWO53"/>
      <c r="IWP53"/>
      <c r="IWQ53"/>
      <c r="IWR53"/>
      <c r="IWS53"/>
      <c r="IWT53"/>
      <c r="IWU53"/>
      <c r="IWV53"/>
      <c r="IWW53"/>
      <c r="IWX53"/>
      <c r="IWY53"/>
      <c r="IWZ53"/>
      <c r="IXA53"/>
      <c r="IXB53"/>
      <c r="IXC53"/>
      <c r="IXD53"/>
      <c r="IXE53"/>
      <c r="IXF53"/>
      <c r="IXG53"/>
      <c r="IXH53"/>
      <c r="IXI53"/>
      <c r="IXJ53"/>
      <c r="IXK53"/>
      <c r="IXL53"/>
      <c r="IXM53"/>
      <c r="IXN53"/>
      <c r="IXO53"/>
      <c r="IXP53"/>
      <c r="IXQ53"/>
      <c r="IXR53"/>
      <c r="IXS53"/>
      <c r="IXT53"/>
      <c r="IXU53"/>
      <c r="IXV53"/>
      <c r="IXW53"/>
      <c r="IXX53"/>
      <c r="IXY53"/>
      <c r="IXZ53"/>
      <c r="IYA53"/>
      <c r="IYB53"/>
      <c r="IYC53"/>
      <c r="IYD53"/>
      <c r="IYE53"/>
      <c r="IYF53"/>
      <c r="IYG53"/>
      <c r="IYH53"/>
      <c r="IYI53"/>
      <c r="IYJ53"/>
      <c r="IYK53"/>
      <c r="IYL53"/>
      <c r="IYM53"/>
      <c r="IYN53"/>
      <c r="IYO53"/>
      <c r="IYP53"/>
      <c r="IYQ53"/>
      <c r="IYR53"/>
      <c r="IYS53"/>
      <c r="IYT53"/>
      <c r="IYU53"/>
      <c r="IYV53"/>
      <c r="IYW53"/>
      <c r="IYX53"/>
      <c r="IYY53"/>
      <c r="IYZ53"/>
      <c r="IZA53"/>
      <c r="IZB53"/>
      <c r="IZC53"/>
      <c r="IZD53"/>
      <c r="IZE53"/>
      <c r="IZF53"/>
      <c r="IZG53"/>
      <c r="IZH53"/>
      <c r="IZI53"/>
      <c r="IZJ53"/>
      <c r="IZK53"/>
      <c r="IZL53"/>
      <c r="IZM53"/>
      <c r="IZN53"/>
      <c r="IZO53"/>
      <c r="IZP53"/>
      <c r="IZQ53"/>
      <c r="IZR53"/>
      <c r="IZS53"/>
      <c r="IZT53"/>
      <c r="IZU53"/>
      <c r="IZV53"/>
      <c r="IZW53"/>
      <c r="IZX53"/>
      <c r="IZY53"/>
      <c r="IZZ53"/>
      <c r="JAA53"/>
      <c r="JAB53"/>
      <c r="JAC53"/>
      <c r="JAD53"/>
      <c r="JAE53"/>
      <c r="JAF53"/>
      <c r="JAG53"/>
      <c r="JAH53"/>
      <c r="JAI53"/>
      <c r="JAJ53"/>
      <c r="JAK53"/>
      <c r="JAL53"/>
      <c r="JAM53"/>
      <c r="JAN53"/>
      <c r="JAO53"/>
      <c r="JAP53"/>
      <c r="JAQ53"/>
      <c r="JAR53"/>
      <c r="JAS53"/>
      <c r="JAT53"/>
      <c r="JAU53"/>
      <c r="JAV53"/>
      <c r="JAW53"/>
      <c r="JAX53"/>
      <c r="JAY53"/>
      <c r="JAZ53"/>
      <c r="JBA53"/>
      <c r="JBB53"/>
      <c r="JBC53"/>
      <c r="JBD53"/>
      <c r="JBE53"/>
      <c r="JBF53"/>
      <c r="JBG53"/>
      <c r="JBH53"/>
      <c r="JBI53"/>
      <c r="JBJ53"/>
      <c r="JBK53"/>
      <c r="JBL53"/>
      <c r="JBM53"/>
      <c r="JBN53"/>
      <c r="JBO53"/>
      <c r="JBP53"/>
      <c r="JBQ53"/>
      <c r="JBR53"/>
      <c r="JBS53"/>
      <c r="JBT53"/>
      <c r="JBU53"/>
      <c r="JBV53"/>
      <c r="JBW53"/>
      <c r="JBX53"/>
      <c r="JBY53"/>
      <c r="JBZ53"/>
      <c r="JCA53"/>
      <c r="JCB53"/>
      <c r="JCC53"/>
      <c r="JCD53"/>
      <c r="JCE53"/>
      <c r="JCF53"/>
      <c r="JCG53"/>
      <c r="JCH53"/>
      <c r="JCI53"/>
      <c r="JCJ53"/>
      <c r="JCK53"/>
      <c r="JCL53"/>
      <c r="JCM53"/>
      <c r="JCN53"/>
      <c r="JCO53"/>
      <c r="JCP53"/>
      <c r="JCQ53"/>
      <c r="JCR53"/>
      <c r="JCS53"/>
      <c r="JCT53"/>
      <c r="JCU53"/>
      <c r="JCV53"/>
      <c r="JCW53"/>
      <c r="JCX53"/>
      <c r="JCY53"/>
      <c r="JCZ53"/>
      <c r="JDA53"/>
      <c r="JDB53"/>
      <c r="JDC53"/>
      <c r="JDD53"/>
      <c r="JDE53"/>
      <c r="JDF53"/>
      <c r="JDG53"/>
      <c r="JDH53"/>
      <c r="JDI53"/>
      <c r="JDJ53"/>
      <c r="JDK53"/>
      <c r="JDL53"/>
      <c r="JDM53"/>
      <c r="JDN53"/>
      <c r="JDO53"/>
      <c r="JDP53"/>
      <c r="JDQ53"/>
      <c r="JDR53"/>
      <c r="JDS53"/>
      <c r="JDT53"/>
      <c r="JDU53"/>
      <c r="JDV53"/>
      <c r="JDW53"/>
      <c r="JDX53"/>
      <c r="JDY53"/>
      <c r="JDZ53"/>
      <c r="JEA53"/>
      <c r="JEB53"/>
      <c r="JEC53"/>
      <c r="JED53"/>
      <c r="JEE53"/>
      <c r="JEF53"/>
      <c r="JEG53"/>
      <c r="JEH53"/>
      <c r="JEI53"/>
      <c r="JEJ53"/>
      <c r="JEK53"/>
      <c r="JEL53"/>
      <c r="JEM53"/>
      <c r="JEN53"/>
      <c r="JEO53"/>
      <c r="JEP53"/>
      <c r="JEQ53"/>
      <c r="JER53"/>
      <c r="JES53"/>
      <c r="JET53"/>
      <c r="JEU53"/>
      <c r="JEV53"/>
      <c r="JEW53"/>
      <c r="JEX53"/>
      <c r="JEY53"/>
      <c r="JEZ53"/>
      <c r="JFA53"/>
      <c r="JFB53"/>
      <c r="JFC53"/>
      <c r="JFD53"/>
      <c r="JFE53"/>
      <c r="JFF53"/>
      <c r="JFG53"/>
      <c r="JFH53"/>
      <c r="JFI53"/>
      <c r="JFJ53"/>
      <c r="JFK53"/>
      <c r="JFL53"/>
      <c r="JFM53"/>
      <c r="JFN53"/>
      <c r="JFO53"/>
      <c r="JFP53"/>
      <c r="JFQ53"/>
      <c r="JFR53"/>
      <c r="JFS53"/>
      <c r="JFT53"/>
      <c r="JFU53"/>
      <c r="JFV53"/>
      <c r="JFW53"/>
      <c r="JFX53"/>
      <c r="JFY53"/>
      <c r="JFZ53"/>
      <c r="JGA53"/>
      <c r="JGB53"/>
      <c r="JGC53"/>
      <c r="JGD53"/>
      <c r="JGE53"/>
      <c r="JGF53"/>
      <c r="JGG53"/>
      <c r="JGH53"/>
      <c r="JGI53"/>
      <c r="JGJ53"/>
      <c r="JGK53"/>
      <c r="JGL53"/>
      <c r="JGM53"/>
      <c r="JGN53"/>
      <c r="JGO53"/>
      <c r="JGP53"/>
      <c r="JGQ53"/>
      <c r="JGR53"/>
      <c r="JGS53"/>
      <c r="JGT53"/>
      <c r="JGU53"/>
      <c r="JGV53"/>
      <c r="JGW53"/>
      <c r="JGX53"/>
      <c r="JGY53"/>
      <c r="JGZ53"/>
      <c r="JHA53"/>
      <c r="JHB53"/>
      <c r="JHC53"/>
      <c r="JHD53"/>
      <c r="JHE53"/>
      <c r="JHF53"/>
      <c r="JHG53"/>
      <c r="JHH53"/>
      <c r="JHI53"/>
      <c r="JHJ53"/>
      <c r="JHK53"/>
      <c r="JHL53"/>
      <c r="JHM53"/>
      <c r="JHN53"/>
      <c r="JHO53"/>
      <c r="JHP53"/>
      <c r="JHQ53"/>
      <c r="JHR53"/>
      <c r="JHS53"/>
      <c r="JHT53"/>
      <c r="JHU53"/>
      <c r="JHV53"/>
      <c r="JHW53"/>
      <c r="JHX53"/>
      <c r="JHY53"/>
      <c r="JHZ53"/>
      <c r="JIA53"/>
      <c r="JIB53"/>
      <c r="JIC53"/>
      <c r="JID53"/>
      <c r="JIE53"/>
      <c r="JIF53"/>
      <c r="JIG53"/>
      <c r="JIH53"/>
      <c r="JII53"/>
      <c r="JIJ53"/>
      <c r="JIK53"/>
      <c r="JIL53"/>
      <c r="JIM53"/>
      <c r="JIN53"/>
      <c r="JIO53"/>
      <c r="JIP53"/>
      <c r="JIQ53"/>
      <c r="JIR53"/>
      <c r="JIS53"/>
      <c r="JIT53"/>
      <c r="JIU53"/>
      <c r="JIV53"/>
      <c r="JIW53"/>
      <c r="JIX53"/>
      <c r="JIY53"/>
      <c r="JIZ53"/>
      <c r="JJA53"/>
      <c r="JJB53"/>
      <c r="JJC53"/>
      <c r="JJD53"/>
      <c r="JJE53"/>
      <c r="JJF53"/>
      <c r="JJG53"/>
      <c r="JJH53"/>
      <c r="JJI53"/>
      <c r="JJJ53"/>
      <c r="JJK53"/>
      <c r="JJL53"/>
      <c r="JJM53"/>
      <c r="JJN53"/>
      <c r="JJO53"/>
      <c r="JJP53"/>
      <c r="JJQ53"/>
      <c r="JJR53"/>
      <c r="JJS53"/>
      <c r="JJT53"/>
      <c r="JJU53"/>
      <c r="JJV53"/>
      <c r="JJW53"/>
      <c r="JJX53"/>
      <c r="JJY53"/>
      <c r="JJZ53"/>
      <c r="JKA53"/>
      <c r="JKB53"/>
      <c r="JKC53"/>
      <c r="JKD53"/>
      <c r="JKE53"/>
      <c r="JKF53"/>
      <c r="JKG53"/>
      <c r="JKH53"/>
      <c r="JKI53"/>
      <c r="JKJ53"/>
      <c r="JKK53"/>
      <c r="JKL53"/>
      <c r="JKM53"/>
      <c r="JKN53"/>
      <c r="JKO53"/>
      <c r="JKP53"/>
      <c r="JKQ53"/>
      <c r="JKR53"/>
      <c r="JKS53"/>
      <c r="JKT53"/>
      <c r="JKU53"/>
      <c r="JKV53"/>
      <c r="JKW53"/>
      <c r="JKX53"/>
      <c r="JKY53"/>
      <c r="JKZ53"/>
      <c r="JLA53"/>
      <c r="JLB53"/>
      <c r="JLC53"/>
      <c r="JLD53"/>
      <c r="JLE53"/>
      <c r="JLF53"/>
      <c r="JLG53"/>
      <c r="JLH53"/>
      <c r="JLI53"/>
      <c r="JLJ53"/>
      <c r="JLK53"/>
      <c r="JLL53"/>
      <c r="JLM53"/>
      <c r="JLN53"/>
      <c r="JLO53"/>
      <c r="JLP53"/>
      <c r="JLQ53"/>
      <c r="JLR53"/>
      <c r="JLS53"/>
      <c r="JLT53"/>
      <c r="JLU53"/>
      <c r="JLV53"/>
      <c r="JLW53"/>
      <c r="JLX53"/>
      <c r="JLY53"/>
      <c r="JLZ53"/>
      <c r="JMA53"/>
      <c r="JMB53"/>
      <c r="JMC53"/>
      <c r="JMD53"/>
      <c r="JME53"/>
      <c r="JMF53"/>
      <c r="JMG53"/>
      <c r="JMH53"/>
      <c r="JMI53"/>
      <c r="JMJ53"/>
      <c r="JMK53"/>
      <c r="JML53"/>
      <c r="JMM53"/>
      <c r="JMN53"/>
      <c r="JMO53"/>
      <c r="JMP53"/>
      <c r="JMQ53"/>
      <c r="JMR53"/>
      <c r="JMS53"/>
      <c r="JMT53"/>
      <c r="JMU53"/>
      <c r="JMV53"/>
      <c r="JMW53"/>
      <c r="JMX53"/>
      <c r="JMY53"/>
      <c r="JMZ53"/>
      <c r="JNA53"/>
      <c r="JNB53"/>
      <c r="JNC53"/>
      <c r="JND53"/>
      <c r="JNE53"/>
      <c r="JNF53"/>
      <c r="JNG53"/>
      <c r="JNH53"/>
      <c r="JNI53"/>
      <c r="JNJ53"/>
      <c r="JNK53"/>
      <c r="JNL53"/>
      <c r="JNM53"/>
      <c r="JNN53"/>
      <c r="JNO53"/>
      <c r="JNP53"/>
      <c r="JNQ53"/>
      <c r="JNR53"/>
      <c r="JNS53"/>
      <c r="JNT53"/>
      <c r="JNU53"/>
      <c r="JNV53"/>
      <c r="JNW53"/>
      <c r="JNX53"/>
      <c r="JNY53"/>
      <c r="JNZ53"/>
      <c r="JOA53"/>
      <c r="JOB53"/>
      <c r="JOC53"/>
      <c r="JOD53"/>
      <c r="JOE53"/>
      <c r="JOF53"/>
      <c r="JOG53"/>
      <c r="JOH53"/>
      <c r="JOI53"/>
      <c r="JOJ53"/>
      <c r="JOK53"/>
      <c r="JOL53"/>
      <c r="JOM53"/>
      <c r="JON53"/>
      <c r="JOO53"/>
      <c r="JOP53"/>
      <c r="JOQ53"/>
      <c r="JOR53"/>
      <c r="JOS53"/>
      <c r="JOT53"/>
      <c r="JOU53"/>
      <c r="JOV53"/>
      <c r="JOW53"/>
      <c r="JOX53"/>
      <c r="JOY53"/>
      <c r="JOZ53"/>
      <c r="JPA53"/>
      <c r="JPB53"/>
      <c r="JPC53"/>
      <c r="JPD53"/>
      <c r="JPE53"/>
      <c r="JPF53"/>
      <c r="JPG53"/>
      <c r="JPH53"/>
      <c r="JPI53"/>
      <c r="JPJ53"/>
      <c r="JPK53"/>
      <c r="JPL53"/>
      <c r="JPM53"/>
      <c r="JPN53"/>
      <c r="JPO53"/>
      <c r="JPP53"/>
      <c r="JPQ53"/>
      <c r="JPR53"/>
      <c r="JPS53"/>
      <c r="JPT53"/>
      <c r="JPU53"/>
      <c r="JPV53"/>
      <c r="JPW53"/>
      <c r="JPX53"/>
      <c r="JPY53"/>
      <c r="JPZ53"/>
      <c r="JQA53"/>
      <c r="JQB53"/>
      <c r="JQC53"/>
      <c r="JQD53"/>
      <c r="JQE53"/>
      <c r="JQF53"/>
      <c r="JQG53"/>
      <c r="JQH53"/>
      <c r="JQI53"/>
      <c r="JQJ53"/>
      <c r="JQK53"/>
      <c r="JQL53"/>
      <c r="JQM53"/>
      <c r="JQN53"/>
      <c r="JQO53"/>
      <c r="JQP53"/>
      <c r="JQQ53"/>
      <c r="JQR53"/>
      <c r="JQS53"/>
      <c r="JQT53"/>
      <c r="JQU53"/>
      <c r="JQV53"/>
      <c r="JQW53"/>
      <c r="JQX53"/>
      <c r="JQY53"/>
      <c r="JQZ53"/>
      <c r="JRA53"/>
      <c r="JRB53"/>
      <c r="JRC53"/>
      <c r="JRD53"/>
      <c r="JRE53"/>
      <c r="JRF53"/>
      <c r="JRG53"/>
      <c r="JRH53"/>
      <c r="JRI53"/>
      <c r="JRJ53"/>
      <c r="JRK53"/>
      <c r="JRL53"/>
      <c r="JRM53"/>
      <c r="JRN53"/>
      <c r="JRO53"/>
      <c r="JRP53"/>
      <c r="JRQ53"/>
      <c r="JRR53"/>
      <c r="JRS53"/>
      <c r="JRT53"/>
      <c r="JRU53"/>
      <c r="JRV53"/>
      <c r="JRW53"/>
      <c r="JRX53"/>
      <c r="JRY53"/>
      <c r="JRZ53"/>
      <c r="JSA53"/>
      <c r="JSB53"/>
      <c r="JSC53"/>
      <c r="JSD53"/>
      <c r="JSE53"/>
      <c r="JSF53"/>
      <c r="JSG53"/>
      <c r="JSH53"/>
      <c r="JSI53"/>
      <c r="JSJ53"/>
      <c r="JSK53"/>
      <c r="JSL53"/>
      <c r="JSM53"/>
      <c r="JSN53"/>
      <c r="JSO53"/>
      <c r="JSP53"/>
      <c r="JSQ53"/>
      <c r="JSR53"/>
      <c r="JSS53"/>
      <c r="JST53"/>
      <c r="JSU53"/>
      <c r="JSV53"/>
      <c r="JSW53"/>
      <c r="JSX53"/>
      <c r="JSY53"/>
      <c r="JSZ53"/>
      <c r="JTA53"/>
      <c r="JTB53"/>
      <c r="JTC53"/>
      <c r="JTD53"/>
      <c r="JTE53"/>
      <c r="JTF53"/>
      <c r="JTG53"/>
      <c r="JTH53"/>
      <c r="JTI53"/>
      <c r="JTJ53"/>
      <c r="JTK53"/>
      <c r="JTL53"/>
      <c r="JTM53"/>
      <c r="JTN53"/>
      <c r="JTO53"/>
      <c r="JTP53"/>
      <c r="JTQ53"/>
      <c r="JTR53"/>
      <c r="JTS53"/>
      <c r="JTT53"/>
      <c r="JTU53"/>
      <c r="JTV53"/>
      <c r="JTW53"/>
      <c r="JTX53"/>
      <c r="JTY53"/>
      <c r="JTZ53"/>
      <c r="JUA53"/>
      <c r="JUB53"/>
      <c r="JUC53"/>
      <c r="JUD53"/>
      <c r="JUE53"/>
      <c r="JUF53"/>
      <c r="JUG53"/>
      <c r="JUH53"/>
      <c r="JUI53"/>
      <c r="JUJ53"/>
      <c r="JUK53"/>
      <c r="JUL53"/>
      <c r="JUM53"/>
      <c r="JUN53"/>
      <c r="JUO53"/>
      <c r="JUP53"/>
      <c r="JUQ53"/>
      <c r="JUR53"/>
      <c r="JUS53"/>
      <c r="JUT53"/>
      <c r="JUU53"/>
      <c r="JUV53"/>
      <c r="JUW53"/>
      <c r="JUX53"/>
      <c r="JUY53"/>
      <c r="JUZ53"/>
      <c r="JVA53"/>
      <c r="JVB53"/>
      <c r="JVC53"/>
      <c r="JVD53"/>
      <c r="JVE53"/>
      <c r="JVF53"/>
      <c r="JVG53"/>
      <c r="JVH53"/>
      <c r="JVI53"/>
      <c r="JVJ53"/>
      <c r="JVK53"/>
      <c r="JVL53"/>
      <c r="JVM53"/>
      <c r="JVN53"/>
      <c r="JVO53"/>
      <c r="JVP53"/>
      <c r="JVQ53"/>
      <c r="JVR53"/>
      <c r="JVS53"/>
      <c r="JVT53"/>
      <c r="JVU53"/>
      <c r="JVV53"/>
      <c r="JVW53"/>
      <c r="JVX53"/>
      <c r="JVY53"/>
      <c r="JVZ53"/>
      <c r="JWA53"/>
      <c r="JWB53"/>
      <c r="JWC53"/>
      <c r="JWD53"/>
      <c r="JWE53"/>
      <c r="JWF53"/>
      <c r="JWG53"/>
      <c r="JWH53"/>
      <c r="JWI53"/>
      <c r="JWJ53"/>
      <c r="JWK53"/>
      <c r="JWL53"/>
      <c r="JWM53"/>
      <c r="JWN53"/>
      <c r="JWO53"/>
      <c r="JWP53"/>
      <c r="JWQ53"/>
      <c r="JWR53"/>
      <c r="JWS53"/>
      <c r="JWT53"/>
      <c r="JWU53"/>
      <c r="JWV53"/>
      <c r="JWW53"/>
      <c r="JWX53"/>
      <c r="JWY53"/>
      <c r="JWZ53"/>
      <c r="JXA53"/>
      <c r="JXB53"/>
      <c r="JXC53"/>
      <c r="JXD53"/>
      <c r="JXE53"/>
      <c r="JXF53"/>
      <c r="JXG53"/>
      <c r="JXH53"/>
      <c r="JXI53"/>
      <c r="JXJ53"/>
      <c r="JXK53"/>
      <c r="JXL53"/>
      <c r="JXM53"/>
      <c r="JXN53"/>
      <c r="JXO53"/>
      <c r="JXP53"/>
      <c r="JXQ53"/>
      <c r="JXR53"/>
      <c r="JXS53"/>
      <c r="JXT53"/>
      <c r="JXU53"/>
      <c r="JXV53"/>
      <c r="JXW53"/>
      <c r="JXX53"/>
      <c r="JXY53"/>
      <c r="JXZ53"/>
      <c r="JYA53"/>
      <c r="JYB53"/>
      <c r="JYC53"/>
      <c r="JYD53"/>
      <c r="JYE53"/>
      <c r="JYF53"/>
      <c r="JYG53"/>
      <c r="JYH53"/>
      <c r="JYI53"/>
      <c r="JYJ53"/>
      <c r="JYK53"/>
      <c r="JYL53"/>
      <c r="JYM53"/>
      <c r="JYN53"/>
      <c r="JYO53"/>
      <c r="JYP53"/>
      <c r="JYQ53"/>
      <c r="JYR53"/>
      <c r="JYS53"/>
      <c r="JYT53"/>
      <c r="JYU53"/>
      <c r="JYV53"/>
      <c r="JYW53"/>
      <c r="JYX53"/>
      <c r="JYY53"/>
      <c r="JYZ53"/>
      <c r="JZA53"/>
      <c r="JZB53"/>
      <c r="JZC53"/>
      <c r="JZD53"/>
      <c r="JZE53"/>
      <c r="JZF53"/>
      <c r="JZG53"/>
      <c r="JZH53"/>
      <c r="JZI53"/>
      <c r="JZJ53"/>
      <c r="JZK53"/>
      <c r="JZL53"/>
      <c r="JZM53"/>
      <c r="JZN53"/>
      <c r="JZO53"/>
      <c r="JZP53"/>
      <c r="JZQ53"/>
      <c r="JZR53"/>
      <c r="JZS53"/>
      <c r="JZT53"/>
      <c r="JZU53"/>
      <c r="JZV53"/>
      <c r="JZW53"/>
      <c r="JZX53"/>
      <c r="JZY53"/>
      <c r="JZZ53"/>
      <c r="KAA53"/>
      <c r="KAB53"/>
      <c r="KAC53"/>
      <c r="KAD53"/>
      <c r="KAE53"/>
      <c r="KAF53"/>
      <c r="KAG53"/>
      <c r="KAH53"/>
      <c r="KAI53"/>
      <c r="KAJ53"/>
      <c r="KAK53"/>
      <c r="KAL53"/>
      <c r="KAM53"/>
      <c r="KAN53"/>
      <c r="KAO53"/>
      <c r="KAP53"/>
      <c r="KAQ53"/>
      <c r="KAR53"/>
      <c r="KAS53"/>
      <c r="KAT53"/>
      <c r="KAU53"/>
      <c r="KAV53"/>
      <c r="KAW53"/>
      <c r="KAX53"/>
      <c r="KAY53"/>
      <c r="KAZ53"/>
      <c r="KBA53"/>
      <c r="KBB53"/>
      <c r="KBC53"/>
      <c r="KBD53"/>
      <c r="KBE53"/>
      <c r="KBF53"/>
      <c r="KBG53"/>
      <c r="KBH53"/>
      <c r="KBI53"/>
      <c r="KBJ53"/>
      <c r="KBK53"/>
      <c r="KBL53"/>
      <c r="KBM53"/>
      <c r="KBN53"/>
      <c r="KBO53"/>
      <c r="KBP53"/>
      <c r="KBQ53"/>
      <c r="KBR53"/>
      <c r="KBS53"/>
      <c r="KBT53"/>
      <c r="KBU53"/>
      <c r="KBV53"/>
      <c r="KBW53"/>
      <c r="KBX53"/>
      <c r="KBY53"/>
      <c r="KBZ53"/>
      <c r="KCA53"/>
      <c r="KCB53"/>
      <c r="KCC53"/>
      <c r="KCD53"/>
      <c r="KCE53"/>
      <c r="KCF53"/>
      <c r="KCG53"/>
      <c r="KCH53"/>
      <c r="KCI53"/>
      <c r="KCJ53"/>
      <c r="KCK53"/>
      <c r="KCL53"/>
      <c r="KCM53"/>
      <c r="KCN53"/>
      <c r="KCO53"/>
      <c r="KCP53"/>
      <c r="KCQ53"/>
      <c r="KCR53"/>
      <c r="KCS53"/>
      <c r="KCT53"/>
      <c r="KCU53"/>
      <c r="KCV53"/>
      <c r="KCW53"/>
      <c r="KCX53"/>
      <c r="KCY53"/>
      <c r="KCZ53"/>
      <c r="KDA53"/>
      <c r="KDB53"/>
      <c r="KDC53"/>
      <c r="KDD53"/>
      <c r="KDE53"/>
      <c r="KDF53"/>
      <c r="KDG53"/>
      <c r="KDH53"/>
      <c r="KDI53"/>
      <c r="KDJ53"/>
      <c r="KDK53"/>
      <c r="KDL53"/>
      <c r="KDM53"/>
      <c r="KDN53"/>
      <c r="KDO53"/>
      <c r="KDP53"/>
      <c r="KDQ53"/>
      <c r="KDR53"/>
      <c r="KDS53"/>
      <c r="KDT53"/>
      <c r="KDU53"/>
      <c r="KDV53"/>
      <c r="KDW53"/>
      <c r="KDX53"/>
      <c r="KDY53"/>
      <c r="KDZ53"/>
      <c r="KEA53"/>
      <c r="KEB53"/>
      <c r="KEC53"/>
      <c r="KED53"/>
      <c r="KEE53"/>
      <c r="KEF53"/>
      <c r="KEG53"/>
      <c r="KEH53"/>
      <c r="KEI53"/>
      <c r="KEJ53"/>
      <c r="KEK53"/>
      <c r="KEL53"/>
      <c r="KEM53"/>
      <c r="KEN53"/>
      <c r="KEO53"/>
      <c r="KEP53"/>
      <c r="KEQ53"/>
      <c r="KER53"/>
      <c r="KES53"/>
      <c r="KET53"/>
      <c r="KEU53"/>
      <c r="KEV53"/>
      <c r="KEW53"/>
      <c r="KEX53"/>
      <c r="KEY53"/>
      <c r="KEZ53"/>
      <c r="KFA53"/>
      <c r="KFB53"/>
      <c r="KFC53"/>
      <c r="KFD53"/>
      <c r="KFE53"/>
      <c r="KFF53"/>
      <c r="KFG53"/>
      <c r="KFH53"/>
      <c r="KFI53"/>
      <c r="KFJ53"/>
      <c r="KFK53"/>
      <c r="KFL53"/>
      <c r="KFM53"/>
      <c r="KFN53"/>
      <c r="KFO53"/>
      <c r="KFP53"/>
      <c r="KFQ53"/>
      <c r="KFR53"/>
      <c r="KFS53"/>
      <c r="KFT53"/>
      <c r="KFU53"/>
      <c r="KFV53"/>
      <c r="KFW53"/>
      <c r="KFX53"/>
      <c r="KFY53"/>
      <c r="KFZ53"/>
      <c r="KGA53"/>
      <c r="KGB53"/>
      <c r="KGC53"/>
      <c r="KGD53"/>
      <c r="KGE53"/>
      <c r="KGF53"/>
      <c r="KGG53"/>
      <c r="KGH53"/>
      <c r="KGI53"/>
      <c r="KGJ53"/>
      <c r="KGK53"/>
      <c r="KGL53"/>
      <c r="KGM53"/>
      <c r="KGN53"/>
      <c r="KGO53"/>
      <c r="KGP53"/>
      <c r="KGQ53"/>
      <c r="KGR53"/>
      <c r="KGS53"/>
      <c r="KGT53"/>
      <c r="KGU53"/>
      <c r="KGV53"/>
      <c r="KGW53"/>
      <c r="KGX53"/>
      <c r="KGY53"/>
      <c r="KGZ53"/>
      <c r="KHA53"/>
      <c r="KHB53"/>
      <c r="KHC53"/>
      <c r="KHD53"/>
      <c r="KHE53"/>
      <c r="KHF53"/>
      <c r="KHG53"/>
      <c r="KHH53"/>
      <c r="KHI53"/>
      <c r="KHJ53"/>
      <c r="KHK53"/>
      <c r="KHL53"/>
      <c r="KHM53"/>
      <c r="KHN53"/>
      <c r="KHO53"/>
      <c r="KHP53"/>
      <c r="KHQ53"/>
      <c r="KHR53"/>
      <c r="KHS53"/>
      <c r="KHT53"/>
      <c r="KHU53"/>
      <c r="KHV53"/>
      <c r="KHW53"/>
      <c r="KHX53"/>
      <c r="KHY53"/>
      <c r="KHZ53"/>
      <c r="KIA53"/>
      <c r="KIB53"/>
      <c r="KIC53"/>
      <c r="KID53"/>
      <c r="KIE53"/>
      <c r="KIF53"/>
      <c r="KIG53"/>
      <c r="KIH53"/>
      <c r="KII53"/>
      <c r="KIJ53"/>
      <c r="KIK53"/>
      <c r="KIL53"/>
      <c r="KIM53"/>
      <c r="KIN53"/>
      <c r="KIO53"/>
      <c r="KIP53"/>
      <c r="KIQ53"/>
      <c r="KIR53"/>
      <c r="KIS53"/>
      <c r="KIT53"/>
      <c r="KIU53"/>
      <c r="KIV53"/>
      <c r="KIW53"/>
      <c r="KIX53"/>
      <c r="KIY53"/>
      <c r="KIZ53"/>
      <c r="KJA53"/>
      <c r="KJB53"/>
      <c r="KJC53"/>
      <c r="KJD53"/>
      <c r="KJE53"/>
      <c r="KJF53"/>
      <c r="KJG53"/>
      <c r="KJH53"/>
      <c r="KJI53"/>
      <c r="KJJ53"/>
      <c r="KJK53"/>
      <c r="KJL53"/>
      <c r="KJM53"/>
      <c r="KJN53"/>
      <c r="KJO53"/>
      <c r="KJP53"/>
      <c r="KJQ53"/>
      <c r="KJR53"/>
      <c r="KJS53"/>
      <c r="KJT53"/>
      <c r="KJU53"/>
      <c r="KJV53"/>
      <c r="KJW53"/>
      <c r="KJX53"/>
      <c r="KJY53"/>
      <c r="KJZ53"/>
      <c r="KKA53"/>
      <c r="KKB53"/>
      <c r="KKC53"/>
      <c r="KKD53"/>
      <c r="KKE53"/>
      <c r="KKF53"/>
      <c r="KKG53"/>
      <c r="KKH53"/>
      <c r="KKI53"/>
      <c r="KKJ53"/>
      <c r="KKK53"/>
      <c r="KKL53"/>
      <c r="KKM53"/>
      <c r="KKN53"/>
      <c r="KKO53"/>
      <c r="KKP53"/>
      <c r="KKQ53"/>
      <c r="KKR53"/>
      <c r="KKS53"/>
      <c r="KKT53"/>
      <c r="KKU53"/>
      <c r="KKV53"/>
      <c r="KKW53"/>
      <c r="KKX53"/>
      <c r="KKY53"/>
      <c r="KKZ53"/>
      <c r="KLA53"/>
      <c r="KLB53"/>
      <c r="KLC53"/>
      <c r="KLD53"/>
      <c r="KLE53"/>
      <c r="KLF53"/>
      <c r="KLG53"/>
      <c r="KLH53"/>
      <c r="KLI53"/>
      <c r="KLJ53"/>
      <c r="KLK53"/>
      <c r="KLL53"/>
      <c r="KLM53"/>
      <c r="KLN53"/>
      <c r="KLO53"/>
      <c r="KLP53"/>
      <c r="KLQ53"/>
      <c r="KLR53"/>
      <c r="KLS53"/>
      <c r="KLT53"/>
      <c r="KLU53"/>
      <c r="KLV53"/>
      <c r="KLW53"/>
      <c r="KLX53"/>
      <c r="KLY53"/>
      <c r="KLZ53"/>
      <c r="KMA53"/>
      <c r="KMB53"/>
      <c r="KMC53"/>
      <c r="KMD53"/>
      <c r="KME53"/>
      <c r="KMF53"/>
      <c r="KMG53"/>
      <c r="KMH53"/>
      <c r="KMI53"/>
      <c r="KMJ53"/>
      <c r="KMK53"/>
      <c r="KML53"/>
      <c r="KMM53"/>
      <c r="KMN53"/>
      <c r="KMO53"/>
      <c r="KMP53"/>
      <c r="KMQ53"/>
      <c r="KMR53"/>
      <c r="KMS53"/>
      <c r="KMT53"/>
      <c r="KMU53"/>
      <c r="KMV53"/>
      <c r="KMW53"/>
      <c r="KMX53"/>
      <c r="KMY53"/>
      <c r="KMZ53"/>
      <c r="KNA53"/>
      <c r="KNB53"/>
      <c r="KNC53"/>
      <c r="KND53"/>
      <c r="KNE53"/>
      <c r="KNF53"/>
      <c r="KNG53"/>
      <c r="KNH53"/>
      <c r="KNI53"/>
      <c r="KNJ53"/>
      <c r="KNK53"/>
      <c r="KNL53"/>
      <c r="KNM53"/>
      <c r="KNN53"/>
      <c r="KNO53"/>
      <c r="KNP53"/>
      <c r="KNQ53"/>
      <c r="KNR53"/>
      <c r="KNS53"/>
      <c r="KNT53"/>
      <c r="KNU53"/>
      <c r="KNV53"/>
      <c r="KNW53"/>
      <c r="KNX53"/>
      <c r="KNY53"/>
      <c r="KNZ53"/>
      <c r="KOA53"/>
      <c r="KOB53"/>
      <c r="KOC53"/>
      <c r="KOD53"/>
      <c r="KOE53"/>
      <c r="KOF53"/>
      <c r="KOG53"/>
      <c r="KOH53"/>
      <c r="KOI53"/>
      <c r="KOJ53"/>
      <c r="KOK53"/>
      <c r="KOL53"/>
      <c r="KOM53"/>
      <c r="KON53"/>
      <c r="KOO53"/>
      <c r="KOP53"/>
      <c r="KOQ53"/>
      <c r="KOR53"/>
      <c r="KOS53"/>
      <c r="KOT53"/>
      <c r="KOU53"/>
      <c r="KOV53"/>
      <c r="KOW53"/>
      <c r="KOX53"/>
      <c r="KOY53"/>
      <c r="KOZ53"/>
      <c r="KPA53"/>
      <c r="KPB53"/>
      <c r="KPC53"/>
      <c r="KPD53"/>
      <c r="KPE53"/>
      <c r="KPF53"/>
      <c r="KPG53"/>
      <c r="KPH53"/>
      <c r="KPI53"/>
      <c r="KPJ53"/>
      <c r="KPK53"/>
      <c r="KPL53"/>
      <c r="KPM53"/>
      <c r="KPN53"/>
      <c r="KPO53"/>
      <c r="KPP53"/>
      <c r="KPQ53"/>
      <c r="KPR53"/>
      <c r="KPS53"/>
      <c r="KPT53"/>
      <c r="KPU53"/>
      <c r="KPV53"/>
      <c r="KPW53"/>
      <c r="KPX53"/>
      <c r="KPY53"/>
      <c r="KPZ53"/>
      <c r="KQA53"/>
      <c r="KQB53"/>
      <c r="KQC53"/>
      <c r="KQD53"/>
      <c r="KQE53"/>
      <c r="KQF53"/>
      <c r="KQG53"/>
      <c r="KQH53"/>
      <c r="KQI53"/>
      <c r="KQJ53"/>
      <c r="KQK53"/>
      <c r="KQL53"/>
      <c r="KQM53"/>
      <c r="KQN53"/>
      <c r="KQO53"/>
      <c r="KQP53"/>
      <c r="KQQ53"/>
      <c r="KQR53"/>
      <c r="KQS53"/>
      <c r="KQT53"/>
      <c r="KQU53"/>
      <c r="KQV53"/>
      <c r="KQW53"/>
      <c r="KQX53"/>
      <c r="KQY53"/>
      <c r="KQZ53"/>
      <c r="KRA53"/>
      <c r="KRB53"/>
      <c r="KRC53"/>
      <c r="KRD53"/>
      <c r="KRE53"/>
      <c r="KRF53"/>
      <c r="KRG53"/>
      <c r="KRH53"/>
      <c r="KRI53"/>
      <c r="KRJ53"/>
      <c r="KRK53"/>
      <c r="KRL53"/>
      <c r="KRM53"/>
      <c r="KRN53"/>
      <c r="KRO53"/>
      <c r="KRP53"/>
      <c r="KRQ53"/>
      <c r="KRR53"/>
      <c r="KRS53"/>
      <c r="KRT53"/>
      <c r="KRU53"/>
      <c r="KRV53"/>
      <c r="KRW53"/>
      <c r="KRX53"/>
      <c r="KRY53"/>
      <c r="KRZ53"/>
      <c r="KSA53"/>
      <c r="KSB53"/>
      <c r="KSC53"/>
      <c r="KSD53"/>
      <c r="KSE53"/>
      <c r="KSF53"/>
      <c r="KSG53"/>
      <c r="KSH53"/>
      <c r="KSI53"/>
      <c r="KSJ53"/>
      <c r="KSK53"/>
      <c r="KSL53"/>
      <c r="KSM53"/>
      <c r="KSN53"/>
      <c r="KSO53"/>
      <c r="KSP53"/>
      <c r="KSQ53"/>
      <c r="KSR53"/>
      <c r="KSS53"/>
      <c r="KST53"/>
      <c r="KSU53"/>
      <c r="KSV53"/>
      <c r="KSW53"/>
      <c r="KSX53"/>
      <c r="KSY53"/>
      <c r="KSZ53"/>
      <c r="KTA53"/>
      <c r="KTB53"/>
      <c r="KTC53"/>
      <c r="KTD53"/>
      <c r="KTE53"/>
      <c r="KTF53"/>
      <c r="KTG53"/>
      <c r="KTH53"/>
      <c r="KTI53"/>
      <c r="KTJ53"/>
      <c r="KTK53"/>
      <c r="KTL53"/>
      <c r="KTM53"/>
      <c r="KTN53"/>
      <c r="KTO53"/>
      <c r="KTP53"/>
      <c r="KTQ53"/>
      <c r="KTR53"/>
      <c r="KTS53"/>
      <c r="KTT53"/>
      <c r="KTU53"/>
      <c r="KTV53"/>
      <c r="KTW53"/>
      <c r="KTX53"/>
      <c r="KTY53"/>
      <c r="KTZ53"/>
      <c r="KUA53"/>
      <c r="KUB53"/>
      <c r="KUC53"/>
      <c r="KUD53"/>
      <c r="KUE53"/>
      <c r="KUF53"/>
      <c r="KUG53"/>
      <c r="KUH53"/>
      <c r="KUI53"/>
      <c r="KUJ53"/>
      <c r="KUK53"/>
      <c r="KUL53"/>
      <c r="KUM53"/>
      <c r="KUN53"/>
      <c r="KUO53"/>
      <c r="KUP53"/>
      <c r="KUQ53"/>
      <c r="KUR53"/>
      <c r="KUS53"/>
      <c r="KUT53"/>
      <c r="KUU53"/>
      <c r="KUV53"/>
      <c r="KUW53"/>
      <c r="KUX53"/>
      <c r="KUY53"/>
      <c r="KUZ53"/>
      <c r="KVA53"/>
      <c r="KVB53"/>
      <c r="KVC53"/>
      <c r="KVD53"/>
      <c r="KVE53"/>
      <c r="KVF53"/>
      <c r="KVG53"/>
      <c r="KVH53"/>
      <c r="KVI53"/>
      <c r="KVJ53"/>
      <c r="KVK53"/>
      <c r="KVL53"/>
      <c r="KVM53"/>
      <c r="KVN53"/>
      <c r="KVO53"/>
      <c r="KVP53"/>
      <c r="KVQ53"/>
      <c r="KVR53"/>
      <c r="KVS53"/>
      <c r="KVT53"/>
      <c r="KVU53"/>
      <c r="KVV53"/>
      <c r="KVW53"/>
      <c r="KVX53"/>
      <c r="KVY53"/>
      <c r="KVZ53"/>
      <c r="KWA53"/>
      <c r="KWB53"/>
      <c r="KWC53"/>
      <c r="KWD53"/>
      <c r="KWE53"/>
      <c r="KWF53"/>
      <c r="KWG53"/>
      <c r="KWH53"/>
      <c r="KWI53"/>
      <c r="KWJ53"/>
      <c r="KWK53"/>
      <c r="KWL53"/>
      <c r="KWM53"/>
      <c r="KWN53"/>
      <c r="KWO53"/>
      <c r="KWP53"/>
      <c r="KWQ53"/>
      <c r="KWR53"/>
      <c r="KWS53"/>
      <c r="KWT53"/>
      <c r="KWU53"/>
      <c r="KWV53"/>
      <c r="KWW53"/>
      <c r="KWX53"/>
      <c r="KWY53"/>
      <c r="KWZ53"/>
      <c r="KXA53"/>
      <c r="KXB53"/>
      <c r="KXC53"/>
      <c r="KXD53"/>
      <c r="KXE53"/>
      <c r="KXF53"/>
      <c r="KXG53"/>
      <c r="KXH53"/>
      <c r="KXI53"/>
      <c r="KXJ53"/>
      <c r="KXK53"/>
      <c r="KXL53"/>
      <c r="KXM53"/>
      <c r="KXN53"/>
      <c r="KXO53"/>
      <c r="KXP53"/>
      <c r="KXQ53"/>
      <c r="KXR53"/>
      <c r="KXS53"/>
      <c r="KXT53"/>
      <c r="KXU53"/>
      <c r="KXV53"/>
      <c r="KXW53"/>
      <c r="KXX53"/>
      <c r="KXY53"/>
      <c r="KXZ53"/>
      <c r="KYA53"/>
      <c r="KYB53"/>
      <c r="KYC53"/>
      <c r="KYD53"/>
      <c r="KYE53"/>
      <c r="KYF53"/>
      <c r="KYG53"/>
      <c r="KYH53"/>
      <c r="KYI53"/>
      <c r="KYJ53"/>
      <c r="KYK53"/>
      <c r="KYL53"/>
      <c r="KYM53"/>
      <c r="KYN53"/>
      <c r="KYO53"/>
      <c r="KYP53"/>
      <c r="KYQ53"/>
      <c r="KYR53"/>
      <c r="KYS53"/>
      <c r="KYT53"/>
      <c r="KYU53"/>
      <c r="KYV53"/>
      <c r="KYW53"/>
      <c r="KYX53"/>
      <c r="KYY53"/>
      <c r="KYZ53"/>
      <c r="KZA53"/>
      <c r="KZB53"/>
      <c r="KZC53"/>
      <c r="KZD53"/>
      <c r="KZE53"/>
      <c r="KZF53"/>
      <c r="KZG53"/>
      <c r="KZH53"/>
      <c r="KZI53"/>
      <c r="KZJ53"/>
      <c r="KZK53"/>
      <c r="KZL53"/>
      <c r="KZM53"/>
      <c r="KZN53"/>
      <c r="KZO53"/>
      <c r="KZP53"/>
      <c r="KZQ53"/>
      <c r="KZR53"/>
      <c r="KZS53"/>
      <c r="KZT53"/>
      <c r="KZU53"/>
      <c r="KZV53"/>
      <c r="KZW53"/>
      <c r="KZX53"/>
      <c r="KZY53"/>
      <c r="KZZ53"/>
      <c r="LAA53"/>
      <c r="LAB53"/>
      <c r="LAC53"/>
      <c r="LAD53"/>
      <c r="LAE53"/>
      <c r="LAF53"/>
      <c r="LAG53"/>
      <c r="LAH53"/>
      <c r="LAI53"/>
      <c r="LAJ53"/>
      <c r="LAK53"/>
      <c r="LAL53"/>
      <c r="LAM53"/>
      <c r="LAN53"/>
      <c r="LAO53"/>
      <c r="LAP53"/>
      <c r="LAQ53"/>
      <c r="LAR53"/>
      <c r="LAS53"/>
      <c r="LAT53"/>
      <c r="LAU53"/>
      <c r="LAV53"/>
      <c r="LAW53"/>
      <c r="LAX53"/>
      <c r="LAY53"/>
      <c r="LAZ53"/>
      <c r="LBA53"/>
      <c r="LBB53"/>
      <c r="LBC53"/>
      <c r="LBD53"/>
      <c r="LBE53"/>
      <c r="LBF53"/>
      <c r="LBG53"/>
      <c r="LBH53"/>
      <c r="LBI53"/>
      <c r="LBJ53"/>
      <c r="LBK53"/>
      <c r="LBL53"/>
      <c r="LBM53"/>
      <c r="LBN53"/>
      <c r="LBO53"/>
      <c r="LBP53"/>
      <c r="LBQ53"/>
      <c r="LBR53"/>
      <c r="LBS53"/>
      <c r="LBT53"/>
      <c r="LBU53"/>
      <c r="LBV53"/>
      <c r="LBW53"/>
      <c r="LBX53"/>
      <c r="LBY53"/>
      <c r="LBZ53"/>
      <c r="LCA53"/>
      <c r="LCB53"/>
      <c r="LCC53"/>
      <c r="LCD53"/>
      <c r="LCE53"/>
      <c r="LCF53"/>
      <c r="LCG53"/>
      <c r="LCH53"/>
      <c r="LCI53"/>
      <c r="LCJ53"/>
      <c r="LCK53"/>
      <c r="LCL53"/>
      <c r="LCM53"/>
      <c r="LCN53"/>
      <c r="LCO53"/>
      <c r="LCP53"/>
      <c r="LCQ53"/>
      <c r="LCR53"/>
      <c r="LCS53"/>
      <c r="LCT53"/>
      <c r="LCU53"/>
      <c r="LCV53"/>
      <c r="LCW53"/>
      <c r="LCX53"/>
      <c r="LCY53"/>
      <c r="LCZ53"/>
      <c r="LDA53"/>
      <c r="LDB53"/>
      <c r="LDC53"/>
      <c r="LDD53"/>
      <c r="LDE53"/>
      <c r="LDF53"/>
      <c r="LDG53"/>
      <c r="LDH53"/>
      <c r="LDI53"/>
      <c r="LDJ53"/>
      <c r="LDK53"/>
      <c r="LDL53"/>
      <c r="LDM53"/>
      <c r="LDN53"/>
      <c r="LDO53"/>
      <c r="LDP53"/>
      <c r="LDQ53"/>
      <c r="LDR53"/>
      <c r="LDS53"/>
      <c r="LDT53"/>
      <c r="LDU53"/>
      <c r="LDV53"/>
      <c r="LDW53"/>
      <c r="LDX53"/>
      <c r="LDY53"/>
      <c r="LDZ53"/>
      <c r="LEA53"/>
      <c r="LEB53"/>
      <c r="LEC53"/>
      <c r="LED53"/>
      <c r="LEE53"/>
      <c r="LEF53"/>
      <c r="LEG53"/>
      <c r="LEH53"/>
      <c r="LEI53"/>
      <c r="LEJ53"/>
      <c r="LEK53"/>
      <c r="LEL53"/>
      <c r="LEM53"/>
      <c r="LEN53"/>
      <c r="LEO53"/>
      <c r="LEP53"/>
      <c r="LEQ53"/>
      <c r="LER53"/>
      <c r="LES53"/>
      <c r="LET53"/>
      <c r="LEU53"/>
      <c r="LEV53"/>
      <c r="LEW53"/>
      <c r="LEX53"/>
      <c r="LEY53"/>
      <c r="LEZ53"/>
      <c r="LFA53"/>
      <c r="LFB53"/>
      <c r="LFC53"/>
      <c r="LFD53"/>
      <c r="LFE53"/>
      <c r="LFF53"/>
      <c r="LFG53"/>
      <c r="LFH53"/>
      <c r="LFI53"/>
      <c r="LFJ53"/>
      <c r="LFK53"/>
      <c r="LFL53"/>
      <c r="LFM53"/>
      <c r="LFN53"/>
      <c r="LFO53"/>
      <c r="LFP53"/>
      <c r="LFQ53"/>
      <c r="LFR53"/>
      <c r="LFS53"/>
      <c r="LFT53"/>
      <c r="LFU53"/>
      <c r="LFV53"/>
      <c r="LFW53"/>
      <c r="LFX53"/>
      <c r="LFY53"/>
      <c r="LFZ53"/>
      <c r="LGA53"/>
      <c r="LGB53"/>
      <c r="LGC53"/>
      <c r="LGD53"/>
      <c r="LGE53"/>
      <c r="LGF53"/>
      <c r="LGG53"/>
      <c r="LGH53"/>
      <c r="LGI53"/>
      <c r="LGJ53"/>
      <c r="LGK53"/>
      <c r="LGL53"/>
      <c r="LGM53"/>
      <c r="LGN53"/>
      <c r="LGO53"/>
      <c r="LGP53"/>
      <c r="LGQ53"/>
      <c r="LGR53"/>
      <c r="LGS53"/>
      <c r="LGT53"/>
      <c r="LGU53"/>
      <c r="LGV53"/>
      <c r="LGW53"/>
      <c r="LGX53"/>
      <c r="LGY53"/>
      <c r="LGZ53"/>
      <c r="LHA53"/>
      <c r="LHB53"/>
      <c r="LHC53"/>
      <c r="LHD53"/>
      <c r="LHE53"/>
      <c r="LHF53"/>
      <c r="LHG53"/>
      <c r="LHH53"/>
      <c r="LHI53"/>
      <c r="LHJ53"/>
      <c r="LHK53"/>
      <c r="LHL53"/>
      <c r="LHM53"/>
      <c r="LHN53"/>
      <c r="LHO53"/>
      <c r="LHP53"/>
      <c r="LHQ53"/>
      <c r="LHR53"/>
      <c r="LHS53"/>
      <c r="LHT53"/>
      <c r="LHU53"/>
      <c r="LHV53"/>
      <c r="LHW53"/>
      <c r="LHX53"/>
      <c r="LHY53"/>
      <c r="LHZ53"/>
      <c r="LIA53"/>
      <c r="LIB53"/>
      <c r="LIC53"/>
      <c r="LID53"/>
      <c r="LIE53"/>
      <c r="LIF53"/>
      <c r="LIG53"/>
      <c r="LIH53"/>
      <c r="LII53"/>
      <c r="LIJ53"/>
      <c r="LIK53"/>
      <c r="LIL53"/>
      <c r="LIM53"/>
      <c r="LIN53"/>
      <c r="LIO53"/>
      <c r="LIP53"/>
      <c r="LIQ53"/>
      <c r="LIR53"/>
      <c r="LIS53"/>
      <c r="LIT53"/>
      <c r="LIU53"/>
      <c r="LIV53"/>
      <c r="LIW53"/>
      <c r="LIX53"/>
      <c r="LIY53"/>
      <c r="LIZ53"/>
      <c r="LJA53"/>
      <c r="LJB53"/>
      <c r="LJC53"/>
      <c r="LJD53"/>
      <c r="LJE53"/>
      <c r="LJF53"/>
      <c r="LJG53"/>
      <c r="LJH53"/>
      <c r="LJI53"/>
      <c r="LJJ53"/>
      <c r="LJK53"/>
      <c r="LJL53"/>
      <c r="LJM53"/>
      <c r="LJN53"/>
      <c r="LJO53"/>
      <c r="LJP53"/>
      <c r="LJQ53"/>
      <c r="LJR53"/>
      <c r="LJS53"/>
      <c r="LJT53"/>
      <c r="LJU53"/>
      <c r="LJV53"/>
      <c r="LJW53"/>
      <c r="LJX53"/>
      <c r="LJY53"/>
      <c r="LJZ53"/>
      <c r="LKA53"/>
      <c r="LKB53"/>
      <c r="LKC53"/>
      <c r="LKD53"/>
      <c r="LKE53"/>
      <c r="LKF53"/>
      <c r="LKG53"/>
      <c r="LKH53"/>
      <c r="LKI53"/>
      <c r="LKJ53"/>
      <c r="LKK53"/>
      <c r="LKL53"/>
      <c r="LKM53"/>
      <c r="LKN53"/>
      <c r="LKO53"/>
      <c r="LKP53"/>
      <c r="LKQ53"/>
      <c r="LKR53"/>
      <c r="LKS53"/>
      <c r="LKT53"/>
      <c r="LKU53"/>
      <c r="LKV53"/>
      <c r="LKW53"/>
      <c r="LKX53"/>
      <c r="LKY53"/>
      <c r="LKZ53"/>
      <c r="LLA53"/>
      <c r="LLB53"/>
      <c r="LLC53"/>
      <c r="LLD53"/>
      <c r="LLE53"/>
      <c r="LLF53"/>
      <c r="LLG53"/>
      <c r="LLH53"/>
      <c r="LLI53"/>
      <c r="LLJ53"/>
      <c r="LLK53"/>
      <c r="LLL53"/>
      <c r="LLM53"/>
      <c r="LLN53"/>
      <c r="LLO53"/>
      <c r="LLP53"/>
      <c r="LLQ53"/>
      <c r="LLR53"/>
      <c r="LLS53"/>
      <c r="LLT53"/>
      <c r="LLU53"/>
      <c r="LLV53"/>
      <c r="LLW53"/>
      <c r="LLX53"/>
      <c r="LLY53"/>
      <c r="LLZ53"/>
      <c r="LMA53"/>
      <c r="LMB53"/>
      <c r="LMC53"/>
      <c r="LMD53"/>
      <c r="LME53"/>
      <c r="LMF53"/>
      <c r="LMG53"/>
      <c r="LMH53"/>
      <c r="LMI53"/>
      <c r="LMJ53"/>
      <c r="LMK53"/>
      <c r="LML53"/>
      <c r="LMM53"/>
      <c r="LMN53"/>
      <c r="LMO53"/>
      <c r="LMP53"/>
      <c r="LMQ53"/>
      <c r="LMR53"/>
      <c r="LMS53"/>
      <c r="LMT53"/>
      <c r="LMU53"/>
      <c r="LMV53"/>
      <c r="LMW53"/>
      <c r="LMX53"/>
      <c r="LMY53"/>
      <c r="LMZ53"/>
      <c r="LNA53"/>
      <c r="LNB53"/>
      <c r="LNC53"/>
      <c r="LND53"/>
      <c r="LNE53"/>
      <c r="LNF53"/>
      <c r="LNG53"/>
      <c r="LNH53"/>
      <c r="LNI53"/>
      <c r="LNJ53"/>
      <c r="LNK53"/>
      <c r="LNL53"/>
      <c r="LNM53"/>
      <c r="LNN53"/>
      <c r="LNO53"/>
      <c r="LNP53"/>
      <c r="LNQ53"/>
      <c r="LNR53"/>
      <c r="LNS53"/>
      <c r="LNT53"/>
      <c r="LNU53"/>
      <c r="LNV53"/>
      <c r="LNW53"/>
      <c r="LNX53"/>
      <c r="LNY53"/>
      <c r="LNZ53"/>
      <c r="LOA53"/>
      <c r="LOB53"/>
      <c r="LOC53"/>
      <c r="LOD53"/>
      <c r="LOE53"/>
      <c r="LOF53"/>
      <c r="LOG53"/>
      <c r="LOH53"/>
      <c r="LOI53"/>
      <c r="LOJ53"/>
      <c r="LOK53"/>
      <c r="LOL53"/>
      <c r="LOM53"/>
      <c r="LON53"/>
      <c r="LOO53"/>
      <c r="LOP53"/>
      <c r="LOQ53"/>
      <c r="LOR53"/>
      <c r="LOS53"/>
      <c r="LOT53"/>
      <c r="LOU53"/>
      <c r="LOV53"/>
      <c r="LOW53"/>
      <c r="LOX53"/>
      <c r="LOY53"/>
      <c r="LOZ53"/>
      <c r="LPA53"/>
      <c r="LPB53"/>
      <c r="LPC53"/>
      <c r="LPD53"/>
      <c r="LPE53"/>
      <c r="LPF53"/>
      <c r="LPG53"/>
      <c r="LPH53"/>
      <c r="LPI53"/>
      <c r="LPJ53"/>
      <c r="LPK53"/>
      <c r="LPL53"/>
      <c r="LPM53"/>
      <c r="LPN53"/>
      <c r="LPO53"/>
      <c r="LPP53"/>
      <c r="LPQ53"/>
      <c r="LPR53"/>
      <c r="LPS53"/>
      <c r="LPT53"/>
      <c r="LPU53"/>
      <c r="LPV53"/>
      <c r="LPW53"/>
      <c r="LPX53"/>
      <c r="LPY53"/>
      <c r="LPZ53"/>
      <c r="LQA53"/>
      <c r="LQB53"/>
      <c r="LQC53"/>
      <c r="LQD53"/>
      <c r="LQE53"/>
      <c r="LQF53"/>
      <c r="LQG53"/>
      <c r="LQH53"/>
      <c r="LQI53"/>
      <c r="LQJ53"/>
      <c r="LQK53"/>
      <c r="LQL53"/>
      <c r="LQM53"/>
      <c r="LQN53"/>
      <c r="LQO53"/>
      <c r="LQP53"/>
      <c r="LQQ53"/>
      <c r="LQR53"/>
      <c r="LQS53"/>
      <c r="LQT53"/>
      <c r="LQU53"/>
      <c r="LQV53"/>
      <c r="LQW53"/>
      <c r="LQX53"/>
      <c r="LQY53"/>
      <c r="LQZ53"/>
      <c r="LRA53"/>
      <c r="LRB53"/>
      <c r="LRC53"/>
      <c r="LRD53"/>
      <c r="LRE53"/>
      <c r="LRF53"/>
      <c r="LRG53"/>
      <c r="LRH53"/>
      <c r="LRI53"/>
      <c r="LRJ53"/>
      <c r="LRK53"/>
      <c r="LRL53"/>
      <c r="LRM53"/>
      <c r="LRN53"/>
      <c r="LRO53"/>
      <c r="LRP53"/>
      <c r="LRQ53"/>
      <c r="LRR53"/>
      <c r="LRS53"/>
      <c r="LRT53"/>
      <c r="LRU53"/>
      <c r="LRV53"/>
      <c r="LRW53"/>
      <c r="LRX53"/>
      <c r="LRY53"/>
      <c r="LRZ53"/>
      <c r="LSA53"/>
      <c r="LSB53"/>
      <c r="LSC53"/>
      <c r="LSD53"/>
      <c r="LSE53"/>
      <c r="LSF53"/>
      <c r="LSG53"/>
      <c r="LSH53"/>
      <c r="LSI53"/>
      <c r="LSJ53"/>
      <c r="LSK53"/>
      <c r="LSL53"/>
      <c r="LSM53"/>
      <c r="LSN53"/>
      <c r="LSO53"/>
      <c r="LSP53"/>
      <c r="LSQ53"/>
      <c r="LSR53"/>
      <c r="LSS53"/>
      <c r="LST53"/>
      <c r="LSU53"/>
      <c r="LSV53"/>
      <c r="LSW53"/>
      <c r="LSX53"/>
      <c r="LSY53"/>
      <c r="LSZ53"/>
      <c r="LTA53"/>
      <c r="LTB53"/>
      <c r="LTC53"/>
      <c r="LTD53"/>
      <c r="LTE53"/>
      <c r="LTF53"/>
      <c r="LTG53"/>
      <c r="LTH53"/>
      <c r="LTI53"/>
      <c r="LTJ53"/>
      <c r="LTK53"/>
      <c r="LTL53"/>
      <c r="LTM53"/>
      <c r="LTN53"/>
      <c r="LTO53"/>
      <c r="LTP53"/>
      <c r="LTQ53"/>
      <c r="LTR53"/>
      <c r="LTS53"/>
      <c r="LTT53"/>
      <c r="LTU53"/>
      <c r="LTV53"/>
      <c r="LTW53"/>
      <c r="LTX53"/>
      <c r="LTY53"/>
      <c r="LTZ53"/>
      <c r="LUA53"/>
      <c r="LUB53"/>
      <c r="LUC53"/>
      <c r="LUD53"/>
      <c r="LUE53"/>
      <c r="LUF53"/>
      <c r="LUG53"/>
      <c r="LUH53"/>
      <c r="LUI53"/>
      <c r="LUJ53"/>
      <c r="LUK53"/>
      <c r="LUL53"/>
      <c r="LUM53"/>
      <c r="LUN53"/>
      <c r="LUO53"/>
      <c r="LUP53"/>
      <c r="LUQ53"/>
      <c r="LUR53"/>
      <c r="LUS53"/>
      <c r="LUT53"/>
      <c r="LUU53"/>
      <c r="LUV53"/>
      <c r="LUW53"/>
      <c r="LUX53"/>
      <c r="LUY53"/>
      <c r="LUZ53"/>
      <c r="LVA53"/>
      <c r="LVB53"/>
      <c r="LVC53"/>
      <c r="LVD53"/>
      <c r="LVE53"/>
      <c r="LVF53"/>
      <c r="LVG53"/>
      <c r="LVH53"/>
      <c r="LVI53"/>
      <c r="LVJ53"/>
      <c r="LVK53"/>
      <c r="LVL53"/>
      <c r="LVM53"/>
      <c r="LVN53"/>
      <c r="LVO53"/>
      <c r="LVP53"/>
      <c r="LVQ53"/>
      <c r="LVR53"/>
      <c r="LVS53"/>
      <c r="LVT53"/>
      <c r="LVU53"/>
      <c r="LVV53"/>
      <c r="LVW53"/>
      <c r="LVX53"/>
      <c r="LVY53"/>
      <c r="LVZ53"/>
      <c r="LWA53"/>
      <c r="LWB53"/>
      <c r="LWC53"/>
      <c r="LWD53"/>
      <c r="LWE53"/>
      <c r="LWF53"/>
      <c r="LWG53"/>
      <c r="LWH53"/>
      <c r="LWI53"/>
      <c r="LWJ53"/>
      <c r="LWK53"/>
      <c r="LWL53"/>
      <c r="LWM53"/>
      <c r="LWN53"/>
      <c r="LWO53"/>
      <c r="LWP53"/>
      <c r="LWQ53"/>
      <c r="LWR53"/>
      <c r="LWS53"/>
      <c r="LWT53"/>
      <c r="LWU53"/>
      <c r="LWV53"/>
      <c r="LWW53"/>
      <c r="LWX53"/>
      <c r="LWY53"/>
      <c r="LWZ53"/>
      <c r="LXA53"/>
      <c r="LXB53"/>
      <c r="LXC53"/>
      <c r="LXD53"/>
      <c r="LXE53"/>
      <c r="LXF53"/>
      <c r="LXG53"/>
      <c r="LXH53"/>
      <c r="LXI53"/>
      <c r="LXJ53"/>
      <c r="LXK53"/>
      <c r="LXL53"/>
      <c r="LXM53"/>
      <c r="LXN53"/>
      <c r="LXO53"/>
      <c r="LXP53"/>
      <c r="LXQ53"/>
      <c r="LXR53"/>
      <c r="LXS53"/>
      <c r="LXT53"/>
      <c r="LXU53"/>
      <c r="LXV53"/>
      <c r="LXW53"/>
      <c r="LXX53"/>
      <c r="LXY53"/>
      <c r="LXZ53"/>
      <c r="LYA53"/>
      <c r="LYB53"/>
      <c r="LYC53"/>
      <c r="LYD53"/>
      <c r="LYE53"/>
      <c r="LYF53"/>
      <c r="LYG53"/>
      <c r="LYH53"/>
      <c r="LYI53"/>
      <c r="LYJ53"/>
      <c r="LYK53"/>
      <c r="LYL53"/>
      <c r="LYM53"/>
      <c r="LYN53"/>
      <c r="LYO53"/>
      <c r="LYP53"/>
      <c r="LYQ53"/>
      <c r="LYR53"/>
      <c r="LYS53"/>
      <c r="LYT53"/>
      <c r="LYU53"/>
      <c r="LYV53"/>
      <c r="LYW53"/>
      <c r="LYX53"/>
      <c r="LYY53"/>
      <c r="LYZ53"/>
      <c r="LZA53"/>
      <c r="LZB53"/>
      <c r="LZC53"/>
      <c r="LZD53"/>
      <c r="LZE53"/>
      <c r="LZF53"/>
      <c r="LZG53"/>
      <c r="LZH53"/>
      <c r="LZI53"/>
      <c r="LZJ53"/>
      <c r="LZK53"/>
      <c r="LZL53"/>
      <c r="LZM53"/>
      <c r="LZN53"/>
      <c r="LZO53"/>
      <c r="LZP53"/>
      <c r="LZQ53"/>
      <c r="LZR53"/>
      <c r="LZS53"/>
      <c r="LZT53"/>
      <c r="LZU53"/>
      <c r="LZV53"/>
      <c r="LZW53"/>
      <c r="LZX53"/>
      <c r="LZY53"/>
      <c r="LZZ53"/>
      <c r="MAA53"/>
      <c r="MAB53"/>
      <c r="MAC53"/>
      <c r="MAD53"/>
      <c r="MAE53"/>
      <c r="MAF53"/>
      <c r="MAG53"/>
      <c r="MAH53"/>
      <c r="MAI53"/>
      <c r="MAJ53"/>
      <c r="MAK53"/>
      <c r="MAL53"/>
      <c r="MAM53"/>
      <c r="MAN53"/>
      <c r="MAO53"/>
      <c r="MAP53"/>
      <c r="MAQ53"/>
      <c r="MAR53"/>
      <c r="MAS53"/>
      <c r="MAT53"/>
      <c r="MAU53"/>
      <c r="MAV53"/>
      <c r="MAW53"/>
      <c r="MAX53"/>
      <c r="MAY53"/>
      <c r="MAZ53"/>
      <c r="MBA53"/>
      <c r="MBB53"/>
      <c r="MBC53"/>
      <c r="MBD53"/>
      <c r="MBE53"/>
      <c r="MBF53"/>
      <c r="MBG53"/>
      <c r="MBH53"/>
      <c r="MBI53"/>
      <c r="MBJ53"/>
      <c r="MBK53"/>
      <c r="MBL53"/>
      <c r="MBM53"/>
      <c r="MBN53"/>
      <c r="MBO53"/>
      <c r="MBP53"/>
      <c r="MBQ53"/>
      <c r="MBR53"/>
      <c r="MBS53"/>
      <c r="MBT53"/>
      <c r="MBU53"/>
      <c r="MBV53"/>
      <c r="MBW53"/>
      <c r="MBX53"/>
      <c r="MBY53"/>
      <c r="MBZ53"/>
      <c r="MCA53"/>
      <c r="MCB53"/>
      <c r="MCC53"/>
      <c r="MCD53"/>
      <c r="MCE53"/>
      <c r="MCF53"/>
      <c r="MCG53"/>
      <c r="MCH53"/>
      <c r="MCI53"/>
      <c r="MCJ53"/>
      <c r="MCK53"/>
      <c r="MCL53"/>
      <c r="MCM53"/>
      <c r="MCN53"/>
      <c r="MCO53"/>
      <c r="MCP53"/>
      <c r="MCQ53"/>
      <c r="MCR53"/>
      <c r="MCS53"/>
      <c r="MCT53"/>
      <c r="MCU53"/>
      <c r="MCV53"/>
      <c r="MCW53"/>
      <c r="MCX53"/>
      <c r="MCY53"/>
      <c r="MCZ53"/>
      <c r="MDA53"/>
      <c r="MDB53"/>
      <c r="MDC53"/>
      <c r="MDD53"/>
      <c r="MDE53"/>
      <c r="MDF53"/>
      <c r="MDG53"/>
      <c r="MDH53"/>
      <c r="MDI53"/>
      <c r="MDJ53"/>
      <c r="MDK53"/>
      <c r="MDL53"/>
      <c r="MDM53"/>
      <c r="MDN53"/>
      <c r="MDO53"/>
      <c r="MDP53"/>
      <c r="MDQ53"/>
      <c r="MDR53"/>
      <c r="MDS53"/>
      <c r="MDT53"/>
      <c r="MDU53"/>
      <c r="MDV53"/>
      <c r="MDW53"/>
      <c r="MDX53"/>
      <c r="MDY53"/>
      <c r="MDZ53"/>
      <c r="MEA53"/>
      <c r="MEB53"/>
      <c r="MEC53"/>
      <c r="MED53"/>
      <c r="MEE53"/>
      <c r="MEF53"/>
      <c r="MEG53"/>
      <c r="MEH53"/>
      <c r="MEI53"/>
      <c r="MEJ53"/>
      <c r="MEK53"/>
      <c r="MEL53"/>
      <c r="MEM53"/>
      <c r="MEN53"/>
      <c r="MEO53"/>
      <c r="MEP53"/>
      <c r="MEQ53"/>
      <c r="MER53"/>
      <c r="MES53"/>
      <c r="MET53"/>
      <c r="MEU53"/>
      <c r="MEV53"/>
      <c r="MEW53"/>
      <c r="MEX53"/>
      <c r="MEY53"/>
      <c r="MEZ53"/>
      <c r="MFA53"/>
      <c r="MFB53"/>
      <c r="MFC53"/>
      <c r="MFD53"/>
      <c r="MFE53"/>
      <c r="MFF53"/>
      <c r="MFG53"/>
      <c r="MFH53"/>
      <c r="MFI53"/>
      <c r="MFJ53"/>
      <c r="MFK53"/>
      <c r="MFL53"/>
      <c r="MFM53"/>
      <c r="MFN53"/>
      <c r="MFO53"/>
      <c r="MFP53"/>
      <c r="MFQ53"/>
      <c r="MFR53"/>
      <c r="MFS53"/>
      <c r="MFT53"/>
      <c r="MFU53"/>
      <c r="MFV53"/>
      <c r="MFW53"/>
      <c r="MFX53"/>
      <c r="MFY53"/>
      <c r="MFZ53"/>
      <c r="MGA53"/>
      <c r="MGB53"/>
      <c r="MGC53"/>
      <c r="MGD53"/>
      <c r="MGE53"/>
      <c r="MGF53"/>
      <c r="MGG53"/>
      <c r="MGH53"/>
      <c r="MGI53"/>
      <c r="MGJ53"/>
      <c r="MGK53"/>
      <c r="MGL53"/>
      <c r="MGM53"/>
      <c r="MGN53"/>
      <c r="MGO53"/>
      <c r="MGP53"/>
      <c r="MGQ53"/>
      <c r="MGR53"/>
      <c r="MGS53"/>
      <c r="MGT53"/>
      <c r="MGU53"/>
      <c r="MGV53"/>
      <c r="MGW53"/>
      <c r="MGX53"/>
      <c r="MGY53"/>
      <c r="MGZ53"/>
      <c r="MHA53"/>
      <c r="MHB53"/>
      <c r="MHC53"/>
      <c r="MHD53"/>
      <c r="MHE53"/>
      <c r="MHF53"/>
      <c r="MHG53"/>
      <c r="MHH53"/>
      <c r="MHI53"/>
      <c r="MHJ53"/>
      <c r="MHK53"/>
      <c r="MHL53"/>
      <c r="MHM53"/>
      <c r="MHN53"/>
      <c r="MHO53"/>
      <c r="MHP53"/>
      <c r="MHQ53"/>
      <c r="MHR53"/>
      <c r="MHS53"/>
      <c r="MHT53"/>
      <c r="MHU53"/>
      <c r="MHV53"/>
      <c r="MHW53"/>
      <c r="MHX53"/>
      <c r="MHY53"/>
      <c r="MHZ53"/>
      <c r="MIA53"/>
      <c r="MIB53"/>
      <c r="MIC53"/>
      <c r="MID53"/>
      <c r="MIE53"/>
      <c r="MIF53"/>
      <c r="MIG53"/>
      <c r="MIH53"/>
      <c r="MII53"/>
      <c r="MIJ53"/>
      <c r="MIK53"/>
      <c r="MIL53"/>
      <c r="MIM53"/>
      <c r="MIN53"/>
      <c r="MIO53"/>
      <c r="MIP53"/>
      <c r="MIQ53"/>
      <c r="MIR53"/>
      <c r="MIS53"/>
      <c r="MIT53"/>
      <c r="MIU53"/>
      <c r="MIV53"/>
      <c r="MIW53"/>
      <c r="MIX53"/>
      <c r="MIY53"/>
      <c r="MIZ53"/>
      <c r="MJA53"/>
      <c r="MJB53"/>
      <c r="MJC53"/>
      <c r="MJD53"/>
      <c r="MJE53"/>
      <c r="MJF53"/>
      <c r="MJG53"/>
      <c r="MJH53"/>
      <c r="MJI53"/>
      <c r="MJJ53"/>
      <c r="MJK53"/>
      <c r="MJL53"/>
      <c r="MJM53"/>
      <c r="MJN53"/>
      <c r="MJO53"/>
      <c r="MJP53"/>
      <c r="MJQ53"/>
      <c r="MJR53"/>
      <c r="MJS53"/>
      <c r="MJT53"/>
      <c r="MJU53"/>
      <c r="MJV53"/>
      <c r="MJW53"/>
      <c r="MJX53"/>
      <c r="MJY53"/>
      <c r="MJZ53"/>
      <c r="MKA53"/>
      <c r="MKB53"/>
      <c r="MKC53"/>
      <c r="MKD53"/>
      <c r="MKE53"/>
      <c r="MKF53"/>
      <c r="MKG53"/>
      <c r="MKH53"/>
      <c r="MKI53"/>
      <c r="MKJ53"/>
      <c r="MKK53"/>
      <c r="MKL53"/>
      <c r="MKM53"/>
      <c r="MKN53"/>
      <c r="MKO53"/>
      <c r="MKP53"/>
      <c r="MKQ53"/>
      <c r="MKR53"/>
      <c r="MKS53"/>
      <c r="MKT53"/>
      <c r="MKU53"/>
      <c r="MKV53"/>
      <c r="MKW53"/>
      <c r="MKX53"/>
      <c r="MKY53"/>
      <c r="MKZ53"/>
      <c r="MLA53"/>
      <c r="MLB53"/>
      <c r="MLC53"/>
      <c r="MLD53"/>
      <c r="MLE53"/>
      <c r="MLF53"/>
      <c r="MLG53"/>
      <c r="MLH53"/>
      <c r="MLI53"/>
      <c r="MLJ53"/>
      <c r="MLK53"/>
      <c r="MLL53"/>
      <c r="MLM53"/>
      <c r="MLN53"/>
      <c r="MLO53"/>
      <c r="MLP53"/>
      <c r="MLQ53"/>
      <c r="MLR53"/>
      <c r="MLS53"/>
      <c r="MLT53"/>
      <c r="MLU53"/>
      <c r="MLV53"/>
      <c r="MLW53"/>
      <c r="MLX53"/>
      <c r="MLY53"/>
      <c r="MLZ53"/>
      <c r="MMA53"/>
      <c r="MMB53"/>
      <c r="MMC53"/>
      <c r="MMD53"/>
      <c r="MME53"/>
      <c r="MMF53"/>
      <c r="MMG53"/>
      <c r="MMH53"/>
      <c r="MMI53"/>
      <c r="MMJ53"/>
      <c r="MMK53"/>
      <c r="MML53"/>
      <c r="MMM53"/>
      <c r="MMN53"/>
      <c r="MMO53"/>
      <c r="MMP53"/>
      <c r="MMQ53"/>
      <c r="MMR53"/>
      <c r="MMS53"/>
      <c r="MMT53"/>
      <c r="MMU53"/>
      <c r="MMV53"/>
      <c r="MMW53"/>
      <c r="MMX53"/>
      <c r="MMY53"/>
      <c r="MMZ53"/>
      <c r="MNA53"/>
      <c r="MNB53"/>
      <c r="MNC53"/>
      <c r="MND53"/>
      <c r="MNE53"/>
      <c r="MNF53"/>
      <c r="MNG53"/>
      <c r="MNH53"/>
      <c r="MNI53"/>
      <c r="MNJ53"/>
      <c r="MNK53"/>
      <c r="MNL53"/>
      <c r="MNM53"/>
      <c r="MNN53"/>
      <c r="MNO53"/>
      <c r="MNP53"/>
      <c r="MNQ53"/>
      <c r="MNR53"/>
      <c r="MNS53"/>
      <c r="MNT53"/>
      <c r="MNU53"/>
      <c r="MNV53"/>
      <c r="MNW53"/>
      <c r="MNX53"/>
      <c r="MNY53"/>
      <c r="MNZ53"/>
      <c r="MOA53"/>
      <c r="MOB53"/>
      <c r="MOC53"/>
      <c r="MOD53"/>
      <c r="MOE53"/>
      <c r="MOF53"/>
      <c r="MOG53"/>
      <c r="MOH53"/>
      <c r="MOI53"/>
      <c r="MOJ53"/>
      <c r="MOK53"/>
      <c r="MOL53"/>
      <c r="MOM53"/>
      <c r="MON53"/>
      <c r="MOO53"/>
      <c r="MOP53"/>
      <c r="MOQ53"/>
      <c r="MOR53"/>
      <c r="MOS53"/>
      <c r="MOT53"/>
      <c r="MOU53"/>
      <c r="MOV53"/>
      <c r="MOW53"/>
      <c r="MOX53"/>
      <c r="MOY53"/>
      <c r="MOZ53"/>
      <c r="MPA53"/>
      <c r="MPB53"/>
      <c r="MPC53"/>
      <c r="MPD53"/>
      <c r="MPE53"/>
      <c r="MPF53"/>
      <c r="MPG53"/>
      <c r="MPH53"/>
      <c r="MPI53"/>
      <c r="MPJ53"/>
      <c r="MPK53"/>
      <c r="MPL53"/>
      <c r="MPM53"/>
      <c r="MPN53"/>
      <c r="MPO53"/>
      <c r="MPP53"/>
      <c r="MPQ53"/>
      <c r="MPR53"/>
      <c r="MPS53"/>
      <c r="MPT53"/>
      <c r="MPU53"/>
      <c r="MPV53"/>
      <c r="MPW53"/>
      <c r="MPX53"/>
      <c r="MPY53"/>
      <c r="MPZ53"/>
      <c r="MQA53"/>
      <c r="MQB53"/>
      <c r="MQC53"/>
      <c r="MQD53"/>
      <c r="MQE53"/>
      <c r="MQF53"/>
      <c r="MQG53"/>
      <c r="MQH53"/>
      <c r="MQI53"/>
      <c r="MQJ53"/>
      <c r="MQK53"/>
      <c r="MQL53"/>
      <c r="MQM53"/>
      <c r="MQN53"/>
      <c r="MQO53"/>
      <c r="MQP53"/>
      <c r="MQQ53"/>
      <c r="MQR53"/>
      <c r="MQS53"/>
      <c r="MQT53"/>
      <c r="MQU53"/>
      <c r="MQV53"/>
      <c r="MQW53"/>
      <c r="MQX53"/>
      <c r="MQY53"/>
      <c r="MQZ53"/>
      <c r="MRA53"/>
      <c r="MRB53"/>
      <c r="MRC53"/>
      <c r="MRD53"/>
      <c r="MRE53"/>
      <c r="MRF53"/>
      <c r="MRG53"/>
      <c r="MRH53"/>
      <c r="MRI53"/>
      <c r="MRJ53"/>
      <c r="MRK53"/>
      <c r="MRL53"/>
      <c r="MRM53"/>
      <c r="MRN53"/>
      <c r="MRO53"/>
      <c r="MRP53"/>
      <c r="MRQ53"/>
      <c r="MRR53"/>
      <c r="MRS53"/>
      <c r="MRT53"/>
      <c r="MRU53"/>
      <c r="MRV53"/>
      <c r="MRW53"/>
      <c r="MRX53"/>
      <c r="MRY53"/>
      <c r="MRZ53"/>
      <c r="MSA53"/>
      <c r="MSB53"/>
      <c r="MSC53"/>
      <c r="MSD53"/>
      <c r="MSE53"/>
      <c r="MSF53"/>
      <c r="MSG53"/>
      <c r="MSH53"/>
      <c r="MSI53"/>
      <c r="MSJ53"/>
      <c r="MSK53"/>
      <c r="MSL53"/>
      <c r="MSM53"/>
      <c r="MSN53"/>
      <c r="MSO53"/>
      <c r="MSP53"/>
      <c r="MSQ53"/>
      <c r="MSR53"/>
      <c r="MSS53"/>
      <c r="MST53"/>
      <c r="MSU53"/>
      <c r="MSV53"/>
      <c r="MSW53"/>
      <c r="MSX53"/>
      <c r="MSY53"/>
      <c r="MSZ53"/>
      <c r="MTA53"/>
      <c r="MTB53"/>
      <c r="MTC53"/>
      <c r="MTD53"/>
      <c r="MTE53"/>
      <c r="MTF53"/>
      <c r="MTG53"/>
      <c r="MTH53"/>
      <c r="MTI53"/>
      <c r="MTJ53"/>
      <c r="MTK53"/>
      <c r="MTL53"/>
      <c r="MTM53"/>
      <c r="MTN53"/>
      <c r="MTO53"/>
      <c r="MTP53"/>
      <c r="MTQ53"/>
      <c r="MTR53"/>
      <c r="MTS53"/>
      <c r="MTT53"/>
      <c r="MTU53"/>
      <c r="MTV53"/>
      <c r="MTW53"/>
      <c r="MTX53"/>
      <c r="MTY53"/>
      <c r="MTZ53"/>
      <c r="MUA53"/>
      <c r="MUB53"/>
      <c r="MUC53"/>
      <c r="MUD53"/>
      <c r="MUE53"/>
      <c r="MUF53"/>
      <c r="MUG53"/>
      <c r="MUH53"/>
      <c r="MUI53"/>
      <c r="MUJ53"/>
      <c r="MUK53"/>
      <c r="MUL53"/>
      <c r="MUM53"/>
      <c r="MUN53"/>
      <c r="MUO53"/>
      <c r="MUP53"/>
      <c r="MUQ53"/>
      <c r="MUR53"/>
      <c r="MUS53"/>
      <c r="MUT53"/>
      <c r="MUU53"/>
      <c r="MUV53"/>
      <c r="MUW53"/>
      <c r="MUX53"/>
      <c r="MUY53"/>
      <c r="MUZ53"/>
      <c r="MVA53"/>
      <c r="MVB53"/>
      <c r="MVC53"/>
      <c r="MVD53"/>
      <c r="MVE53"/>
      <c r="MVF53"/>
      <c r="MVG53"/>
      <c r="MVH53"/>
      <c r="MVI53"/>
      <c r="MVJ53"/>
      <c r="MVK53"/>
      <c r="MVL53"/>
      <c r="MVM53"/>
      <c r="MVN53"/>
      <c r="MVO53"/>
      <c r="MVP53"/>
      <c r="MVQ53"/>
      <c r="MVR53"/>
      <c r="MVS53"/>
      <c r="MVT53"/>
      <c r="MVU53"/>
      <c r="MVV53"/>
      <c r="MVW53"/>
      <c r="MVX53"/>
      <c r="MVY53"/>
      <c r="MVZ53"/>
      <c r="MWA53"/>
      <c r="MWB53"/>
      <c r="MWC53"/>
      <c r="MWD53"/>
      <c r="MWE53"/>
      <c r="MWF53"/>
      <c r="MWG53"/>
      <c r="MWH53"/>
      <c r="MWI53"/>
      <c r="MWJ53"/>
      <c r="MWK53"/>
      <c r="MWL53"/>
      <c r="MWM53"/>
      <c r="MWN53"/>
      <c r="MWO53"/>
      <c r="MWP53"/>
      <c r="MWQ53"/>
      <c r="MWR53"/>
      <c r="MWS53"/>
      <c r="MWT53"/>
      <c r="MWU53"/>
      <c r="MWV53"/>
      <c r="MWW53"/>
      <c r="MWX53"/>
      <c r="MWY53"/>
      <c r="MWZ53"/>
      <c r="MXA53"/>
      <c r="MXB53"/>
      <c r="MXC53"/>
      <c r="MXD53"/>
      <c r="MXE53"/>
      <c r="MXF53"/>
      <c r="MXG53"/>
      <c r="MXH53"/>
      <c r="MXI53"/>
      <c r="MXJ53"/>
      <c r="MXK53"/>
      <c r="MXL53"/>
      <c r="MXM53"/>
      <c r="MXN53"/>
      <c r="MXO53"/>
      <c r="MXP53"/>
      <c r="MXQ53"/>
      <c r="MXR53"/>
      <c r="MXS53"/>
      <c r="MXT53"/>
      <c r="MXU53"/>
      <c r="MXV53"/>
      <c r="MXW53"/>
      <c r="MXX53"/>
      <c r="MXY53"/>
      <c r="MXZ53"/>
      <c r="MYA53"/>
      <c r="MYB53"/>
      <c r="MYC53"/>
      <c r="MYD53"/>
      <c r="MYE53"/>
      <c r="MYF53"/>
      <c r="MYG53"/>
      <c r="MYH53"/>
      <c r="MYI53"/>
      <c r="MYJ53"/>
      <c r="MYK53"/>
      <c r="MYL53"/>
      <c r="MYM53"/>
      <c r="MYN53"/>
      <c r="MYO53"/>
      <c r="MYP53"/>
      <c r="MYQ53"/>
      <c r="MYR53"/>
      <c r="MYS53"/>
      <c r="MYT53"/>
      <c r="MYU53"/>
      <c r="MYV53"/>
      <c r="MYW53"/>
      <c r="MYX53"/>
      <c r="MYY53"/>
      <c r="MYZ53"/>
      <c r="MZA53"/>
      <c r="MZB53"/>
      <c r="MZC53"/>
      <c r="MZD53"/>
      <c r="MZE53"/>
      <c r="MZF53"/>
      <c r="MZG53"/>
      <c r="MZH53"/>
      <c r="MZI53"/>
      <c r="MZJ53"/>
      <c r="MZK53"/>
      <c r="MZL53"/>
      <c r="MZM53"/>
      <c r="MZN53"/>
      <c r="MZO53"/>
      <c r="MZP53"/>
      <c r="MZQ53"/>
      <c r="MZR53"/>
      <c r="MZS53"/>
      <c r="MZT53"/>
      <c r="MZU53"/>
      <c r="MZV53"/>
      <c r="MZW53"/>
      <c r="MZX53"/>
      <c r="MZY53"/>
      <c r="MZZ53"/>
      <c r="NAA53"/>
      <c r="NAB53"/>
      <c r="NAC53"/>
      <c r="NAD53"/>
      <c r="NAE53"/>
      <c r="NAF53"/>
      <c r="NAG53"/>
      <c r="NAH53"/>
      <c r="NAI53"/>
      <c r="NAJ53"/>
      <c r="NAK53"/>
      <c r="NAL53"/>
      <c r="NAM53"/>
      <c r="NAN53"/>
      <c r="NAO53"/>
      <c r="NAP53"/>
      <c r="NAQ53"/>
      <c r="NAR53"/>
      <c r="NAS53"/>
      <c r="NAT53"/>
      <c r="NAU53"/>
      <c r="NAV53"/>
      <c r="NAW53"/>
      <c r="NAX53"/>
      <c r="NAY53"/>
      <c r="NAZ53"/>
      <c r="NBA53"/>
      <c r="NBB53"/>
      <c r="NBC53"/>
      <c r="NBD53"/>
      <c r="NBE53"/>
      <c r="NBF53"/>
      <c r="NBG53"/>
      <c r="NBH53"/>
      <c r="NBI53"/>
      <c r="NBJ53"/>
      <c r="NBK53"/>
      <c r="NBL53"/>
      <c r="NBM53"/>
      <c r="NBN53"/>
      <c r="NBO53"/>
      <c r="NBP53"/>
      <c r="NBQ53"/>
      <c r="NBR53"/>
      <c r="NBS53"/>
      <c r="NBT53"/>
      <c r="NBU53"/>
      <c r="NBV53"/>
      <c r="NBW53"/>
      <c r="NBX53"/>
      <c r="NBY53"/>
      <c r="NBZ53"/>
      <c r="NCA53"/>
      <c r="NCB53"/>
      <c r="NCC53"/>
      <c r="NCD53"/>
      <c r="NCE53"/>
      <c r="NCF53"/>
      <c r="NCG53"/>
      <c r="NCH53"/>
      <c r="NCI53"/>
      <c r="NCJ53"/>
      <c r="NCK53"/>
      <c r="NCL53"/>
      <c r="NCM53"/>
      <c r="NCN53"/>
      <c r="NCO53"/>
      <c r="NCP53"/>
      <c r="NCQ53"/>
      <c r="NCR53"/>
      <c r="NCS53"/>
      <c r="NCT53"/>
      <c r="NCU53"/>
      <c r="NCV53"/>
      <c r="NCW53"/>
      <c r="NCX53"/>
      <c r="NCY53"/>
      <c r="NCZ53"/>
      <c r="NDA53"/>
      <c r="NDB53"/>
      <c r="NDC53"/>
      <c r="NDD53"/>
      <c r="NDE53"/>
      <c r="NDF53"/>
      <c r="NDG53"/>
      <c r="NDH53"/>
      <c r="NDI53"/>
      <c r="NDJ53"/>
      <c r="NDK53"/>
      <c r="NDL53"/>
      <c r="NDM53"/>
      <c r="NDN53"/>
      <c r="NDO53"/>
      <c r="NDP53"/>
      <c r="NDQ53"/>
      <c r="NDR53"/>
      <c r="NDS53"/>
      <c r="NDT53"/>
      <c r="NDU53"/>
      <c r="NDV53"/>
      <c r="NDW53"/>
      <c r="NDX53"/>
      <c r="NDY53"/>
      <c r="NDZ53"/>
      <c r="NEA53"/>
      <c r="NEB53"/>
      <c r="NEC53"/>
      <c r="NED53"/>
      <c r="NEE53"/>
      <c r="NEF53"/>
      <c r="NEG53"/>
      <c r="NEH53"/>
      <c r="NEI53"/>
      <c r="NEJ53"/>
      <c r="NEK53"/>
      <c r="NEL53"/>
      <c r="NEM53"/>
      <c r="NEN53"/>
      <c r="NEO53"/>
      <c r="NEP53"/>
      <c r="NEQ53"/>
      <c r="NER53"/>
      <c r="NES53"/>
      <c r="NET53"/>
      <c r="NEU53"/>
      <c r="NEV53"/>
      <c r="NEW53"/>
      <c r="NEX53"/>
      <c r="NEY53"/>
      <c r="NEZ53"/>
      <c r="NFA53"/>
      <c r="NFB53"/>
      <c r="NFC53"/>
      <c r="NFD53"/>
      <c r="NFE53"/>
      <c r="NFF53"/>
      <c r="NFG53"/>
      <c r="NFH53"/>
      <c r="NFI53"/>
      <c r="NFJ53"/>
      <c r="NFK53"/>
      <c r="NFL53"/>
      <c r="NFM53"/>
      <c r="NFN53"/>
      <c r="NFO53"/>
      <c r="NFP53"/>
      <c r="NFQ53"/>
      <c r="NFR53"/>
      <c r="NFS53"/>
      <c r="NFT53"/>
      <c r="NFU53"/>
      <c r="NFV53"/>
      <c r="NFW53"/>
      <c r="NFX53"/>
      <c r="NFY53"/>
      <c r="NFZ53"/>
      <c r="NGA53"/>
      <c r="NGB53"/>
      <c r="NGC53"/>
      <c r="NGD53"/>
      <c r="NGE53"/>
      <c r="NGF53"/>
      <c r="NGG53"/>
      <c r="NGH53"/>
      <c r="NGI53"/>
      <c r="NGJ53"/>
      <c r="NGK53"/>
      <c r="NGL53"/>
      <c r="NGM53"/>
      <c r="NGN53"/>
      <c r="NGO53"/>
      <c r="NGP53"/>
      <c r="NGQ53"/>
      <c r="NGR53"/>
      <c r="NGS53"/>
      <c r="NGT53"/>
      <c r="NGU53"/>
      <c r="NGV53"/>
      <c r="NGW53"/>
      <c r="NGX53"/>
      <c r="NGY53"/>
      <c r="NGZ53"/>
      <c r="NHA53"/>
      <c r="NHB53"/>
      <c r="NHC53"/>
      <c r="NHD53"/>
      <c r="NHE53"/>
      <c r="NHF53"/>
      <c r="NHG53"/>
      <c r="NHH53"/>
      <c r="NHI53"/>
      <c r="NHJ53"/>
      <c r="NHK53"/>
      <c r="NHL53"/>
      <c r="NHM53"/>
      <c r="NHN53"/>
      <c r="NHO53"/>
      <c r="NHP53"/>
      <c r="NHQ53"/>
      <c r="NHR53"/>
      <c r="NHS53"/>
      <c r="NHT53"/>
      <c r="NHU53"/>
      <c r="NHV53"/>
      <c r="NHW53"/>
      <c r="NHX53"/>
      <c r="NHY53"/>
      <c r="NHZ53"/>
      <c r="NIA53"/>
      <c r="NIB53"/>
      <c r="NIC53"/>
      <c r="NID53"/>
      <c r="NIE53"/>
      <c r="NIF53"/>
      <c r="NIG53"/>
      <c r="NIH53"/>
      <c r="NII53"/>
      <c r="NIJ53"/>
      <c r="NIK53"/>
      <c r="NIL53"/>
      <c r="NIM53"/>
      <c r="NIN53"/>
      <c r="NIO53"/>
      <c r="NIP53"/>
      <c r="NIQ53"/>
      <c r="NIR53"/>
      <c r="NIS53"/>
      <c r="NIT53"/>
      <c r="NIU53"/>
      <c r="NIV53"/>
      <c r="NIW53"/>
      <c r="NIX53"/>
      <c r="NIY53"/>
      <c r="NIZ53"/>
      <c r="NJA53"/>
      <c r="NJB53"/>
      <c r="NJC53"/>
      <c r="NJD53"/>
      <c r="NJE53"/>
      <c r="NJF53"/>
      <c r="NJG53"/>
      <c r="NJH53"/>
      <c r="NJI53"/>
      <c r="NJJ53"/>
      <c r="NJK53"/>
      <c r="NJL53"/>
      <c r="NJM53"/>
      <c r="NJN53"/>
      <c r="NJO53"/>
      <c r="NJP53"/>
      <c r="NJQ53"/>
      <c r="NJR53"/>
      <c r="NJS53"/>
      <c r="NJT53"/>
      <c r="NJU53"/>
      <c r="NJV53"/>
      <c r="NJW53"/>
      <c r="NJX53"/>
      <c r="NJY53"/>
      <c r="NJZ53"/>
      <c r="NKA53"/>
      <c r="NKB53"/>
      <c r="NKC53"/>
      <c r="NKD53"/>
      <c r="NKE53"/>
      <c r="NKF53"/>
      <c r="NKG53"/>
      <c r="NKH53"/>
      <c r="NKI53"/>
      <c r="NKJ53"/>
      <c r="NKK53"/>
      <c r="NKL53"/>
      <c r="NKM53"/>
      <c r="NKN53"/>
      <c r="NKO53"/>
      <c r="NKP53"/>
      <c r="NKQ53"/>
      <c r="NKR53"/>
      <c r="NKS53"/>
      <c r="NKT53"/>
      <c r="NKU53"/>
      <c r="NKV53"/>
      <c r="NKW53"/>
      <c r="NKX53"/>
      <c r="NKY53"/>
      <c r="NKZ53"/>
      <c r="NLA53"/>
      <c r="NLB53"/>
      <c r="NLC53"/>
      <c r="NLD53"/>
      <c r="NLE53"/>
      <c r="NLF53"/>
      <c r="NLG53"/>
      <c r="NLH53"/>
      <c r="NLI53"/>
      <c r="NLJ53"/>
      <c r="NLK53"/>
      <c r="NLL53"/>
      <c r="NLM53"/>
      <c r="NLN53"/>
      <c r="NLO53"/>
      <c r="NLP53"/>
      <c r="NLQ53"/>
      <c r="NLR53"/>
      <c r="NLS53"/>
      <c r="NLT53"/>
      <c r="NLU53"/>
      <c r="NLV53"/>
      <c r="NLW53"/>
      <c r="NLX53"/>
      <c r="NLY53"/>
      <c r="NLZ53"/>
      <c r="NMA53"/>
      <c r="NMB53"/>
      <c r="NMC53"/>
      <c r="NMD53"/>
      <c r="NME53"/>
      <c r="NMF53"/>
      <c r="NMG53"/>
      <c r="NMH53"/>
      <c r="NMI53"/>
      <c r="NMJ53"/>
      <c r="NMK53"/>
      <c r="NML53"/>
      <c r="NMM53"/>
      <c r="NMN53"/>
      <c r="NMO53"/>
      <c r="NMP53"/>
      <c r="NMQ53"/>
      <c r="NMR53"/>
      <c r="NMS53"/>
      <c r="NMT53"/>
      <c r="NMU53"/>
      <c r="NMV53"/>
      <c r="NMW53"/>
      <c r="NMX53"/>
      <c r="NMY53"/>
      <c r="NMZ53"/>
      <c r="NNA53"/>
      <c r="NNB53"/>
      <c r="NNC53"/>
      <c r="NND53"/>
      <c r="NNE53"/>
      <c r="NNF53"/>
      <c r="NNG53"/>
      <c r="NNH53"/>
      <c r="NNI53"/>
      <c r="NNJ53"/>
      <c r="NNK53"/>
      <c r="NNL53"/>
      <c r="NNM53"/>
      <c r="NNN53"/>
      <c r="NNO53"/>
      <c r="NNP53"/>
      <c r="NNQ53"/>
      <c r="NNR53"/>
      <c r="NNS53"/>
      <c r="NNT53"/>
      <c r="NNU53"/>
      <c r="NNV53"/>
      <c r="NNW53"/>
      <c r="NNX53"/>
      <c r="NNY53"/>
      <c r="NNZ53"/>
      <c r="NOA53"/>
      <c r="NOB53"/>
      <c r="NOC53"/>
      <c r="NOD53"/>
      <c r="NOE53"/>
      <c r="NOF53"/>
      <c r="NOG53"/>
      <c r="NOH53"/>
      <c r="NOI53"/>
      <c r="NOJ53"/>
      <c r="NOK53"/>
      <c r="NOL53"/>
      <c r="NOM53"/>
      <c r="NON53"/>
      <c r="NOO53"/>
      <c r="NOP53"/>
      <c r="NOQ53"/>
      <c r="NOR53"/>
      <c r="NOS53"/>
      <c r="NOT53"/>
      <c r="NOU53"/>
      <c r="NOV53"/>
      <c r="NOW53"/>
      <c r="NOX53"/>
      <c r="NOY53"/>
      <c r="NOZ53"/>
      <c r="NPA53"/>
      <c r="NPB53"/>
      <c r="NPC53"/>
      <c r="NPD53"/>
      <c r="NPE53"/>
      <c r="NPF53"/>
      <c r="NPG53"/>
      <c r="NPH53"/>
      <c r="NPI53"/>
      <c r="NPJ53"/>
      <c r="NPK53"/>
      <c r="NPL53"/>
      <c r="NPM53"/>
      <c r="NPN53"/>
      <c r="NPO53"/>
      <c r="NPP53"/>
      <c r="NPQ53"/>
      <c r="NPR53"/>
      <c r="NPS53"/>
      <c r="NPT53"/>
      <c r="NPU53"/>
      <c r="NPV53"/>
      <c r="NPW53"/>
      <c r="NPX53"/>
      <c r="NPY53"/>
      <c r="NPZ53"/>
      <c r="NQA53"/>
      <c r="NQB53"/>
      <c r="NQC53"/>
      <c r="NQD53"/>
      <c r="NQE53"/>
      <c r="NQF53"/>
      <c r="NQG53"/>
      <c r="NQH53"/>
      <c r="NQI53"/>
      <c r="NQJ53"/>
      <c r="NQK53"/>
      <c r="NQL53"/>
      <c r="NQM53"/>
      <c r="NQN53"/>
      <c r="NQO53"/>
      <c r="NQP53"/>
      <c r="NQQ53"/>
      <c r="NQR53"/>
      <c r="NQS53"/>
      <c r="NQT53"/>
      <c r="NQU53"/>
      <c r="NQV53"/>
      <c r="NQW53"/>
      <c r="NQX53"/>
      <c r="NQY53"/>
      <c r="NQZ53"/>
      <c r="NRA53"/>
      <c r="NRB53"/>
      <c r="NRC53"/>
      <c r="NRD53"/>
      <c r="NRE53"/>
      <c r="NRF53"/>
      <c r="NRG53"/>
      <c r="NRH53"/>
      <c r="NRI53"/>
      <c r="NRJ53"/>
      <c r="NRK53"/>
      <c r="NRL53"/>
      <c r="NRM53"/>
      <c r="NRN53"/>
      <c r="NRO53"/>
      <c r="NRP53"/>
      <c r="NRQ53"/>
      <c r="NRR53"/>
      <c r="NRS53"/>
      <c r="NRT53"/>
      <c r="NRU53"/>
      <c r="NRV53"/>
      <c r="NRW53"/>
      <c r="NRX53"/>
      <c r="NRY53"/>
      <c r="NRZ53"/>
      <c r="NSA53"/>
      <c r="NSB53"/>
      <c r="NSC53"/>
      <c r="NSD53"/>
      <c r="NSE53"/>
      <c r="NSF53"/>
      <c r="NSG53"/>
      <c r="NSH53"/>
      <c r="NSI53"/>
      <c r="NSJ53"/>
      <c r="NSK53"/>
      <c r="NSL53"/>
      <c r="NSM53"/>
      <c r="NSN53"/>
      <c r="NSO53"/>
      <c r="NSP53"/>
      <c r="NSQ53"/>
      <c r="NSR53"/>
      <c r="NSS53"/>
      <c r="NST53"/>
      <c r="NSU53"/>
      <c r="NSV53"/>
      <c r="NSW53"/>
      <c r="NSX53"/>
      <c r="NSY53"/>
      <c r="NSZ53"/>
      <c r="NTA53"/>
      <c r="NTB53"/>
      <c r="NTC53"/>
      <c r="NTD53"/>
      <c r="NTE53"/>
      <c r="NTF53"/>
      <c r="NTG53"/>
      <c r="NTH53"/>
      <c r="NTI53"/>
      <c r="NTJ53"/>
      <c r="NTK53"/>
      <c r="NTL53"/>
      <c r="NTM53"/>
      <c r="NTN53"/>
      <c r="NTO53"/>
      <c r="NTP53"/>
      <c r="NTQ53"/>
      <c r="NTR53"/>
      <c r="NTS53"/>
      <c r="NTT53"/>
      <c r="NTU53"/>
      <c r="NTV53"/>
      <c r="NTW53"/>
      <c r="NTX53"/>
      <c r="NTY53"/>
      <c r="NTZ53"/>
      <c r="NUA53"/>
      <c r="NUB53"/>
      <c r="NUC53"/>
      <c r="NUD53"/>
      <c r="NUE53"/>
      <c r="NUF53"/>
      <c r="NUG53"/>
      <c r="NUH53"/>
      <c r="NUI53"/>
      <c r="NUJ53"/>
      <c r="NUK53"/>
      <c r="NUL53"/>
      <c r="NUM53"/>
      <c r="NUN53"/>
      <c r="NUO53"/>
      <c r="NUP53"/>
      <c r="NUQ53"/>
      <c r="NUR53"/>
      <c r="NUS53"/>
      <c r="NUT53"/>
      <c r="NUU53"/>
      <c r="NUV53"/>
      <c r="NUW53"/>
      <c r="NUX53"/>
      <c r="NUY53"/>
      <c r="NUZ53"/>
      <c r="NVA53"/>
      <c r="NVB53"/>
      <c r="NVC53"/>
      <c r="NVD53"/>
      <c r="NVE53"/>
      <c r="NVF53"/>
      <c r="NVG53"/>
      <c r="NVH53"/>
      <c r="NVI53"/>
      <c r="NVJ53"/>
      <c r="NVK53"/>
      <c r="NVL53"/>
      <c r="NVM53"/>
      <c r="NVN53"/>
      <c r="NVO53"/>
      <c r="NVP53"/>
      <c r="NVQ53"/>
      <c r="NVR53"/>
      <c r="NVS53"/>
      <c r="NVT53"/>
      <c r="NVU53"/>
      <c r="NVV53"/>
      <c r="NVW53"/>
      <c r="NVX53"/>
      <c r="NVY53"/>
      <c r="NVZ53"/>
      <c r="NWA53"/>
      <c r="NWB53"/>
      <c r="NWC53"/>
      <c r="NWD53"/>
      <c r="NWE53"/>
      <c r="NWF53"/>
      <c r="NWG53"/>
      <c r="NWH53"/>
      <c r="NWI53"/>
      <c r="NWJ53"/>
      <c r="NWK53"/>
      <c r="NWL53"/>
      <c r="NWM53"/>
      <c r="NWN53"/>
      <c r="NWO53"/>
      <c r="NWP53"/>
      <c r="NWQ53"/>
      <c r="NWR53"/>
      <c r="NWS53"/>
      <c r="NWT53"/>
      <c r="NWU53"/>
      <c r="NWV53"/>
      <c r="NWW53"/>
      <c r="NWX53"/>
      <c r="NWY53"/>
      <c r="NWZ53"/>
      <c r="NXA53"/>
      <c r="NXB53"/>
      <c r="NXC53"/>
      <c r="NXD53"/>
      <c r="NXE53"/>
      <c r="NXF53"/>
      <c r="NXG53"/>
      <c r="NXH53"/>
      <c r="NXI53"/>
      <c r="NXJ53"/>
      <c r="NXK53"/>
      <c r="NXL53"/>
      <c r="NXM53"/>
      <c r="NXN53"/>
      <c r="NXO53"/>
      <c r="NXP53"/>
      <c r="NXQ53"/>
      <c r="NXR53"/>
      <c r="NXS53"/>
      <c r="NXT53"/>
      <c r="NXU53"/>
      <c r="NXV53"/>
      <c r="NXW53"/>
      <c r="NXX53"/>
      <c r="NXY53"/>
      <c r="NXZ53"/>
      <c r="NYA53"/>
      <c r="NYB53"/>
      <c r="NYC53"/>
      <c r="NYD53"/>
      <c r="NYE53"/>
      <c r="NYF53"/>
      <c r="NYG53"/>
      <c r="NYH53"/>
      <c r="NYI53"/>
      <c r="NYJ53"/>
      <c r="NYK53"/>
      <c r="NYL53"/>
      <c r="NYM53"/>
      <c r="NYN53"/>
      <c r="NYO53"/>
      <c r="NYP53"/>
      <c r="NYQ53"/>
      <c r="NYR53"/>
      <c r="NYS53"/>
      <c r="NYT53"/>
      <c r="NYU53"/>
      <c r="NYV53"/>
      <c r="NYW53"/>
      <c r="NYX53"/>
      <c r="NYY53"/>
      <c r="NYZ53"/>
      <c r="NZA53"/>
      <c r="NZB53"/>
      <c r="NZC53"/>
      <c r="NZD53"/>
      <c r="NZE53"/>
      <c r="NZF53"/>
      <c r="NZG53"/>
      <c r="NZH53"/>
      <c r="NZI53"/>
      <c r="NZJ53"/>
      <c r="NZK53"/>
      <c r="NZL53"/>
      <c r="NZM53"/>
      <c r="NZN53"/>
      <c r="NZO53"/>
      <c r="NZP53"/>
      <c r="NZQ53"/>
      <c r="NZR53"/>
      <c r="NZS53"/>
      <c r="NZT53"/>
      <c r="NZU53"/>
      <c r="NZV53"/>
      <c r="NZW53"/>
      <c r="NZX53"/>
      <c r="NZY53"/>
      <c r="NZZ53"/>
      <c r="OAA53"/>
      <c r="OAB53"/>
      <c r="OAC53"/>
      <c r="OAD53"/>
      <c r="OAE53"/>
      <c r="OAF53"/>
      <c r="OAG53"/>
      <c r="OAH53"/>
      <c r="OAI53"/>
      <c r="OAJ53"/>
      <c r="OAK53"/>
      <c r="OAL53"/>
      <c r="OAM53"/>
      <c r="OAN53"/>
      <c r="OAO53"/>
      <c r="OAP53"/>
      <c r="OAQ53"/>
      <c r="OAR53"/>
      <c r="OAS53"/>
      <c r="OAT53"/>
      <c r="OAU53"/>
      <c r="OAV53"/>
      <c r="OAW53"/>
      <c r="OAX53"/>
      <c r="OAY53"/>
      <c r="OAZ53"/>
      <c r="OBA53"/>
      <c r="OBB53"/>
      <c r="OBC53"/>
      <c r="OBD53"/>
      <c r="OBE53"/>
      <c r="OBF53"/>
      <c r="OBG53"/>
      <c r="OBH53"/>
      <c r="OBI53"/>
      <c r="OBJ53"/>
      <c r="OBK53"/>
      <c r="OBL53"/>
      <c r="OBM53"/>
      <c r="OBN53"/>
      <c r="OBO53"/>
      <c r="OBP53"/>
      <c r="OBQ53"/>
      <c r="OBR53"/>
      <c r="OBS53"/>
      <c r="OBT53"/>
      <c r="OBU53"/>
      <c r="OBV53"/>
      <c r="OBW53"/>
      <c r="OBX53"/>
      <c r="OBY53"/>
      <c r="OBZ53"/>
      <c r="OCA53"/>
      <c r="OCB53"/>
      <c r="OCC53"/>
      <c r="OCD53"/>
      <c r="OCE53"/>
      <c r="OCF53"/>
      <c r="OCG53"/>
      <c r="OCH53"/>
      <c r="OCI53"/>
      <c r="OCJ53"/>
      <c r="OCK53"/>
      <c r="OCL53"/>
      <c r="OCM53"/>
      <c r="OCN53"/>
      <c r="OCO53"/>
      <c r="OCP53"/>
      <c r="OCQ53"/>
      <c r="OCR53"/>
      <c r="OCS53"/>
      <c r="OCT53"/>
      <c r="OCU53"/>
      <c r="OCV53"/>
      <c r="OCW53"/>
      <c r="OCX53"/>
      <c r="OCY53"/>
      <c r="OCZ53"/>
      <c r="ODA53"/>
      <c r="ODB53"/>
      <c r="ODC53"/>
      <c r="ODD53"/>
      <c r="ODE53"/>
      <c r="ODF53"/>
      <c r="ODG53"/>
      <c r="ODH53"/>
      <c r="ODI53"/>
      <c r="ODJ53"/>
      <c r="ODK53"/>
      <c r="ODL53"/>
      <c r="ODM53"/>
      <c r="ODN53"/>
      <c r="ODO53"/>
      <c r="ODP53"/>
      <c r="ODQ53"/>
      <c r="ODR53"/>
      <c r="ODS53"/>
      <c r="ODT53"/>
      <c r="ODU53"/>
      <c r="ODV53"/>
      <c r="ODW53"/>
      <c r="ODX53"/>
      <c r="ODY53"/>
      <c r="ODZ53"/>
      <c r="OEA53"/>
      <c r="OEB53"/>
      <c r="OEC53"/>
      <c r="OED53"/>
      <c r="OEE53"/>
      <c r="OEF53"/>
      <c r="OEG53"/>
      <c r="OEH53"/>
      <c r="OEI53"/>
      <c r="OEJ53"/>
      <c r="OEK53"/>
      <c r="OEL53"/>
      <c r="OEM53"/>
      <c r="OEN53"/>
      <c r="OEO53"/>
      <c r="OEP53"/>
      <c r="OEQ53"/>
      <c r="OER53"/>
      <c r="OES53"/>
      <c r="OET53"/>
      <c r="OEU53"/>
      <c r="OEV53"/>
      <c r="OEW53"/>
      <c r="OEX53"/>
      <c r="OEY53"/>
      <c r="OEZ53"/>
      <c r="OFA53"/>
      <c r="OFB53"/>
      <c r="OFC53"/>
      <c r="OFD53"/>
      <c r="OFE53"/>
      <c r="OFF53"/>
      <c r="OFG53"/>
      <c r="OFH53"/>
      <c r="OFI53"/>
      <c r="OFJ53"/>
      <c r="OFK53"/>
      <c r="OFL53"/>
      <c r="OFM53"/>
      <c r="OFN53"/>
      <c r="OFO53"/>
      <c r="OFP53"/>
      <c r="OFQ53"/>
      <c r="OFR53"/>
      <c r="OFS53"/>
      <c r="OFT53"/>
      <c r="OFU53"/>
      <c r="OFV53"/>
      <c r="OFW53"/>
      <c r="OFX53"/>
      <c r="OFY53"/>
      <c r="OFZ53"/>
      <c r="OGA53"/>
      <c r="OGB53"/>
      <c r="OGC53"/>
      <c r="OGD53"/>
      <c r="OGE53"/>
      <c r="OGF53"/>
      <c r="OGG53"/>
      <c r="OGH53"/>
      <c r="OGI53"/>
      <c r="OGJ53"/>
      <c r="OGK53"/>
      <c r="OGL53"/>
      <c r="OGM53"/>
      <c r="OGN53"/>
      <c r="OGO53"/>
      <c r="OGP53"/>
      <c r="OGQ53"/>
      <c r="OGR53"/>
      <c r="OGS53"/>
      <c r="OGT53"/>
      <c r="OGU53"/>
      <c r="OGV53"/>
      <c r="OGW53"/>
      <c r="OGX53"/>
      <c r="OGY53"/>
      <c r="OGZ53"/>
      <c r="OHA53"/>
      <c r="OHB53"/>
      <c r="OHC53"/>
      <c r="OHD53"/>
      <c r="OHE53"/>
      <c r="OHF53"/>
      <c r="OHG53"/>
      <c r="OHH53"/>
      <c r="OHI53"/>
      <c r="OHJ53"/>
      <c r="OHK53"/>
      <c r="OHL53"/>
      <c r="OHM53"/>
      <c r="OHN53"/>
      <c r="OHO53"/>
      <c r="OHP53"/>
      <c r="OHQ53"/>
      <c r="OHR53"/>
      <c r="OHS53"/>
      <c r="OHT53"/>
      <c r="OHU53"/>
      <c r="OHV53"/>
      <c r="OHW53"/>
      <c r="OHX53"/>
      <c r="OHY53"/>
      <c r="OHZ53"/>
      <c r="OIA53"/>
      <c r="OIB53"/>
      <c r="OIC53"/>
      <c r="OID53"/>
      <c r="OIE53"/>
      <c r="OIF53"/>
      <c r="OIG53"/>
      <c r="OIH53"/>
      <c r="OII53"/>
      <c r="OIJ53"/>
      <c r="OIK53"/>
      <c r="OIL53"/>
      <c r="OIM53"/>
      <c r="OIN53"/>
      <c r="OIO53"/>
      <c r="OIP53"/>
      <c r="OIQ53"/>
      <c r="OIR53"/>
      <c r="OIS53"/>
      <c r="OIT53"/>
      <c r="OIU53"/>
      <c r="OIV53"/>
      <c r="OIW53"/>
      <c r="OIX53"/>
      <c r="OIY53"/>
      <c r="OIZ53"/>
      <c r="OJA53"/>
      <c r="OJB53"/>
      <c r="OJC53"/>
      <c r="OJD53"/>
      <c r="OJE53"/>
      <c r="OJF53"/>
      <c r="OJG53"/>
      <c r="OJH53"/>
      <c r="OJI53"/>
      <c r="OJJ53"/>
      <c r="OJK53"/>
      <c r="OJL53"/>
      <c r="OJM53"/>
      <c r="OJN53"/>
      <c r="OJO53"/>
      <c r="OJP53"/>
      <c r="OJQ53"/>
      <c r="OJR53"/>
      <c r="OJS53"/>
      <c r="OJT53"/>
      <c r="OJU53"/>
      <c r="OJV53"/>
      <c r="OJW53"/>
      <c r="OJX53"/>
      <c r="OJY53"/>
      <c r="OJZ53"/>
      <c r="OKA53"/>
      <c r="OKB53"/>
      <c r="OKC53"/>
      <c r="OKD53"/>
      <c r="OKE53"/>
      <c r="OKF53"/>
      <c r="OKG53"/>
      <c r="OKH53"/>
      <c r="OKI53"/>
      <c r="OKJ53"/>
      <c r="OKK53"/>
      <c r="OKL53"/>
      <c r="OKM53"/>
      <c r="OKN53"/>
      <c r="OKO53"/>
      <c r="OKP53"/>
      <c r="OKQ53"/>
      <c r="OKR53"/>
      <c r="OKS53"/>
      <c r="OKT53"/>
      <c r="OKU53"/>
      <c r="OKV53"/>
      <c r="OKW53"/>
      <c r="OKX53"/>
      <c r="OKY53"/>
      <c r="OKZ53"/>
      <c r="OLA53"/>
      <c r="OLB53"/>
      <c r="OLC53"/>
      <c r="OLD53"/>
      <c r="OLE53"/>
      <c r="OLF53"/>
      <c r="OLG53"/>
      <c r="OLH53"/>
      <c r="OLI53"/>
      <c r="OLJ53"/>
      <c r="OLK53"/>
      <c r="OLL53"/>
      <c r="OLM53"/>
      <c r="OLN53"/>
      <c r="OLO53"/>
      <c r="OLP53"/>
      <c r="OLQ53"/>
      <c r="OLR53"/>
      <c r="OLS53"/>
      <c r="OLT53"/>
      <c r="OLU53"/>
      <c r="OLV53"/>
      <c r="OLW53"/>
      <c r="OLX53"/>
      <c r="OLY53"/>
      <c r="OLZ53"/>
      <c r="OMA53"/>
      <c r="OMB53"/>
      <c r="OMC53"/>
      <c r="OMD53"/>
      <c r="OME53"/>
      <c r="OMF53"/>
      <c r="OMG53"/>
      <c r="OMH53"/>
      <c r="OMI53"/>
      <c r="OMJ53"/>
      <c r="OMK53"/>
      <c r="OML53"/>
      <c r="OMM53"/>
      <c r="OMN53"/>
      <c r="OMO53"/>
      <c r="OMP53"/>
      <c r="OMQ53"/>
      <c r="OMR53"/>
      <c r="OMS53"/>
      <c r="OMT53"/>
      <c r="OMU53"/>
      <c r="OMV53"/>
      <c r="OMW53"/>
      <c r="OMX53"/>
      <c r="OMY53"/>
      <c r="OMZ53"/>
      <c r="ONA53"/>
      <c r="ONB53"/>
      <c r="ONC53"/>
      <c r="OND53"/>
      <c r="ONE53"/>
      <c r="ONF53"/>
      <c r="ONG53"/>
      <c r="ONH53"/>
      <c r="ONI53"/>
      <c r="ONJ53"/>
      <c r="ONK53"/>
      <c r="ONL53"/>
      <c r="ONM53"/>
      <c r="ONN53"/>
      <c r="ONO53"/>
      <c r="ONP53"/>
      <c r="ONQ53"/>
      <c r="ONR53"/>
      <c r="ONS53"/>
      <c r="ONT53"/>
      <c r="ONU53"/>
      <c r="ONV53"/>
      <c r="ONW53"/>
      <c r="ONX53"/>
      <c r="ONY53"/>
      <c r="ONZ53"/>
      <c r="OOA53"/>
      <c r="OOB53"/>
      <c r="OOC53"/>
      <c r="OOD53"/>
      <c r="OOE53"/>
      <c r="OOF53"/>
      <c r="OOG53"/>
      <c r="OOH53"/>
      <c r="OOI53"/>
      <c r="OOJ53"/>
      <c r="OOK53"/>
      <c r="OOL53"/>
      <c r="OOM53"/>
      <c r="OON53"/>
      <c r="OOO53"/>
      <c r="OOP53"/>
      <c r="OOQ53"/>
      <c r="OOR53"/>
      <c r="OOS53"/>
      <c r="OOT53"/>
      <c r="OOU53"/>
      <c r="OOV53"/>
      <c r="OOW53"/>
      <c r="OOX53"/>
      <c r="OOY53"/>
      <c r="OOZ53"/>
      <c r="OPA53"/>
      <c r="OPB53"/>
      <c r="OPC53"/>
      <c r="OPD53"/>
      <c r="OPE53"/>
      <c r="OPF53"/>
      <c r="OPG53"/>
      <c r="OPH53"/>
      <c r="OPI53"/>
      <c r="OPJ53"/>
      <c r="OPK53"/>
      <c r="OPL53"/>
      <c r="OPM53"/>
      <c r="OPN53"/>
      <c r="OPO53"/>
      <c r="OPP53"/>
      <c r="OPQ53"/>
      <c r="OPR53"/>
      <c r="OPS53"/>
      <c r="OPT53"/>
      <c r="OPU53"/>
      <c r="OPV53"/>
      <c r="OPW53"/>
      <c r="OPX53"/>
      <c r="OPY53"/>
      <c r="OPZ53"/>
      <c r="OQA53"/>
      <c r="OQB53"/>
      <c r="OQC53"/>
      <c r="OQD53"/>
      <c r="OQE53"/>
      <c r="OQF53"/>
      <c r="OQG53"/>
      <c r="OQH53"/>
      <c r="OQI53"/>
      <c r="OQJ53"/>
      <c r="OQK53"/>
      <c r="OQL53"/>
      <c r="OQM53"/>
      <c r="OQN53"/>
      <c r="OQO53"/>
      <c r="OQP53"/>
      <c r="OQQ53"/>
      <c r="OQR53"/>
      <c r="OQS53"/>
      <c r="OQT53"/>
      <c r="OQU53"/>
      <c r="OQV53"/>
      <c r="OQW53"/>
      <c r="OQX53"/>
      <c r="OQY53"/>
      <c r="OQZ53"/>
      <c r="ORA53"/>
      <c r="ORB53"/>
      <c r="ORC53"/>
      <c r="ORD53"/>
      <c r="ORE53"/>
      <c r="ORF53"/>
      <c r="ORG53"/>
      <c r="ORH53"/>
      <c r="ORI53"/>
      <c r="ORJ53"/>
      <c r="ORK53"/>
      <c r="ORL53"/>
      <c r="ORM53"/>
      <c r="ORN53"/>
      <c r="ORO53"/>
      <c r="ORP53"/>
      <c r="ORQ53"/>
      <c r="ORR53"/>
      <c r="ORS53"/>
      <c r="ORT53"/>
      <c r="ORU53"/>
      <c r="ORV53"/>
      <c r="ORW53"/>
      <c r="ORX53"/>
      <c r="ORY53"/>
      <c r="ORZ53"/>
      <c r="OSA53"/>
      <c r="OSB53"/>
      <c r="OSC53"/>
      <c r="OSD53"/>
      <c r="OSE53"/>
      <c r="OSF53"/>
      <c r="OSG53"/>
      <c r="OSH53"/>
      <c r="OSI53"/>
      <c r="OSJ53"/>
      <c r="OSK53"/>
      <c r="OSL53"/>
      <c r="OSM53"/>
      <c r="OSN53"/>
      <c r="OSO53"/>
      <c r="OSP53"/>
      <c r="OSQ53"/>
      <c r="OSR53"/>
      <c r="OSS53"/>
      <c r="OST53"/>
      <c r="OSU53"/>
      <c r="OSV53"/>
      <c r="OSW53"/>
      <c r="OSX53"/>
      <c r="OSY53"/>
      <c r="OSZ53"/>
      <c r="OTA53"/>
      <c r="OTB53"/>
      <c r="OTC53"/>
      <c r="OTD53"/>
      <c r="OTE53"/>
      <c r="OTF53"/>
      <c r="OTG53"/>
      <c r="OTH53"/>
      <c r="OTI53"/>
      <c r="OTJ53"/>
      <c r="OTK53"/>
      <c r="OTL53"/>
      <c r="OTM53"/>
      <c r="OTN53"/>
      <c r="OTO53"/>
      <c r="OTP53"/>
      <c r="OTQ53"/>
      <c r="OTR53"/>
      <c r="OTS53"/>
      <c r="OTT53"/>
      <c r="OTU53"/>
      <c r="OTV53"/>
      <c r="OTW53"/>
      <c r="OTX53"/>
      <c r="OTY53"/>
      <c r="OTZ53"/>
      <c r="OUA53"/>
      <c r="OUB53"/>
      <c r="OUC53"/>
      <c r="OUD53"/>
      <c r="OUE53"/>
      <c r="OUF53"/>
      <c r="OUG53"/>
      <c r="OUH53"/>
      <c r="OUI53"/>
      <c r="OUJ53"/>
      <c r="OUK53"/>
      <c r="OUL53"/>
      <c r="OUM53"/>
      <c r="OUN53"/>
      <c r="OUO53"/>
      <c r="OUP53"/>
      <c r="OUQ53"/>
      <c r="OUR53"/>
      <c r="OUS53"/>
      <c r="OUT53"/>
      <c r="OUU53"/>
      <c r="OUV53"/>
      <c r="OUW53"/>
      <c r="OUX53"/>
      <c r="OUY53"/>
      <c r="OUZ53"/>
      <c r="OVA53"/>
      <c r="OVB53"/>
      <c r="OVC53"/>
      <c r="OVD53"/>
      <c r="OVE53"/>
      <c r="OVF53"/>
      <c r="OVG53"/>
      <c r="OVH53"/>
      <c r="OVI53"/>
      <c r="OVJ53"/>
      <c r="OVK53"/>
      <c r="OVL53"/>
      <c r="OVM53"/>
      <c r="OVN53"/>
      <c r="OVO53"/>
      <c r="OVP53"/>
      <c r="OVQ53"/>
      <c r="OVR53"/>
      <c r="OVS53"/>
      <c r="OVT53"/>
      <c r="OVU53"/>
      <c r="OVV53"/>
      <c r="OVW53"/>
      <c r="OVX53"/>
      <c r="OVY53"/>
      <c r="OVZ53"/>
      <c r="OWA53"/>
      <c r="OWB53"/>
      <c r="OWC53"/>
      <c r="OWD53"/>
      <c r="OWE53"/>
      <c r="OWF53"/>
      <c r="OWG53"/>
      <c r="OWH53"/>
      <c r="OWI53"/>
      <c r="OWJ53"/>
      <c r="OWK53"/>
      <c r="OWL53"/>
      <c r="OWM53"/>
      <c r="OWN53"/>
      <c r="OWO53"/>
      <c r="OWP53"/>
      <c r="OWQ53"/>
      <c r="OWR53"/>
      <c r="OWS53"/>
      <c r="OWT53"/>
      <c r="OWU53"/>
      <c r="OWV53"/>
      <c r="OWW53"/>
      <c r="OWX53"/>
      <c r="OWY53"/>
      <c r="OWZ53"/>
      <c r="OXA53"/>
      <c r="OXB53"/>
      <c r="OXC53"/>
      <c r="OXD53"/>
      <c r="OXE53"/>
      <c r="OXF53"/>
      <c r="OXG53"/>
      <c r="OXH53"/>
      <c r="OXI53"/>
      <c r="OXJ53"/>
      <c r="OXK53"/>
      <c r="OXL53"/>
      <c r="OXM53"/>
      <c r="OXN53"/>
      <c r="OXO53"/>
      <c r="OXP53"/>
      <c r="OXQ53"/>
      <c r="OXR53"/>
      <c r="OXS53"/>
      <c r="OXT53"/>
      <c r="OXU53"/>
      <c r="OXV53"/>
      <c r="OXW53"/>
      <c r="OXX53"/>
      <c r="OXY53"/>
      <c r="OXZ53"/>
      <c r="OYA53"/>
      <c r="OYB53"/>
      <c r="OYC53"/>
      <c r="OYD53"/>
      <c r="OYE53"/>
      <c r="OYF53"/>
      <c r="OYG53"/>
      <c r="OYH53"/>
      <c r="OYI53"/>
      <c r="OYJ53"/>
      <c r="OYK53"/>
      <c r="OYL53"/>
      <c r="OYM53"/>
      <c r="OYN53"/>
      <c r="OYO53"/>
      <c r="OYP53"/>
      <c r="OYQ53"/>
      <c r="OYR53"/>
      <c r="OYS53"/>
      <c r="OYT53"/>
      <c r="OYU53"/>
      <c r="OYV53"/>
      <c r="OYW53"/>
      <c r="OYX53"/>
      <c r="OYY53"/>
      <c r="OYZ53"/>
      <c r="OZA53"/>
      <c r="OZB53"/>
      <c r="OZC53"/>
      <c r="OZD53"/>
      <c r="OZE53"/>
      <c r="OZF53"/>
      <c r="OZG53"/>
      <c r="OZH53"/>
      <c r="OZI53"/>
      <c r="OZJ53"/>
      <c r="OZK53"/>
      <c r="OZL53"/>
      <c r="OZM53"/>
      <c r="OZN53"/>
      <c r="OZO53"/>
      <c r="OZP53"/>
      <c r="OZQ53"/>
      <c r="OZR53"/>
      <c r="OZS53"/>
      <c r="OZT53"/>
      <c r="OZU53"/>
      <c r="OZV53"/>
      <c r="OZW53"/>
      <c r="OZX53"/>
      <c r="OZY53"/>
      <c r="OZZ53"/>
      <c r="PAA53"/>
      <c r="PAB53"/>
      <c r="PAC53"/>
      <c r="PAD53"/>
      <c r="PAE53"/>
      <c r="PAF53"/>
      <c r="PAG53"/>
      <c r="PAH53"/>
      <c r="PAI53"/>
      <c r="PAJ53"/>
      <c r="PAK53"/>
      <c r="PAL53"/>
      <c r="PAM53"/>
      <c r="PAN53"/>
      <c r="PAO53"/>
      <c r="PAP53"/>
      <c r="PAQ53"/>
      <c r="PAR53"/>
      <c r="PAS53"/>
      <c r="PAT53"/>
      <c r="PAU53"/>
      <c r="PAV53"/>
      <c r="PAW53"/>
      <c r="PAX53"/>
      <c r="PAY53"/>
      <c r="PAZ53"/>
      <c r="PBA53"/>
      <c r="PBB53"/>
      <c r="PBC53"/>
      <c r="PBD53"/>
      <c r="PBE53"/>
      <c r="PBF53"/>
      <c r="PBG53"/>
      <c r="PBH53"/>
      <c r="PBI53"/>
      <c r="PBJ53"/>
      <c r="PBK53"/>
      <c r="PBL53"/>
      <c r="PBM53"/>
      <c r="PBN53"/>
      <c r="PBO53"/>
      <c r="PBP53"/>
      <c r="PBQ53"/>
      <c r="PBR53"/>
      <c r="PBS53"/>
      <c r="PBT53"/>
      <c r="PBU53"/>
      <c r="PBV53"/>
      <c r="PBW53"/>
      <c r="PBX53"/>
      <c r="PBY53"/>
      <c r="PBZ53"/>
      <c r="PCA53"/>
      <c r="PCB53"/>
      <c r="PCC53"/>
      <c r="PCD53"/>
      <c r="PCE53"/>
      <c r="PCF53"/>
      <c r="PCG53"/>
      <c r="PCH53"/>
      <c r="PCI53"/>
      <c r="PCJ53"/>
      <c r="PCK53"/>
      <c r="PCL53"/>
      <c r="PCM53"/>
      <c r="PCN53"/>
      <c r="PCO53"/>
      <c r="PCP53"/>
      <c r="PCQ53"/>
      <c r="PCR53"/>
      <c r="PCS53"/>
      <c r="PCT53"/>
      <c r="PCU53"/>
      <c r="PCV53"/>
      <c r="PCW53"/>
      <c r="PCX53"/>
      <c r="PCY53"/>
      <c r="PCZ53"/>
      <c r="PDA53"/>
      <c r="PDB53"/>
      <c r="PDC53"/>
      <c r="PDD53"/>
      <c r="PDE53"/>
      <c r="PDF53"/>
      <c r="PDG53"/>
      <c r="PDH53"/>
      <c r="PDI53"/>
      <c r="PDJ53"/>
      <c r="PDK53"/>
      <c r="PDL53"/>
      <c r="PDM53"/>
      <c r="PDN53"/>
      <c r="PDO53"/>
      <c r="PDP53"/>
      <c r="PDQ53"/>
      <c r="PDR53"/>
      <c r="PDS53"/>
      <c r="PDT53"/>
      <c r="PDU53"/>
      <c r="PDV53"/>
      <c r="PDW53"/>
      <c r="PDX53"/>
      <c r="PDY53"/>
      <c r="PDZ53"/>
      <c r="PEA53"/>
      <c r="PEB53"/>
      <c r="PEC53"/>
      <c r="PED53"/>
      <c r="PEE53"/>
      <c r="PEF53"/>
      <c r="PEG53"/>
      <c r="PEH53"/>
      <c r="PEI53"/>
      <c r="PEJ53"/>
      <c r="PEK53"/>
      <c r="PEL53"/>
      <c r="PEM53"/>
      <c r="PEN53"/>
      <c r="PEO53"/>
      <c r="PEP53"/>
      <c r="PEQ53"/>
      <c r="PER53"/>
      <c r="PES53"/>
      <c r="PET53"/>
      <c r="PEU53"/>
      <c r="PEV53"/>
      <c r="PEW53"/>
      <c r="PEX53"/>
      <c r="PEY53"/>
      <c r="PEZ53"/>
      <c r="PFA53"/>
      <c r="PFB53"/>
      <c r="PFC53"/>
      <c r="PFD53"/>
      <c r="PFE53"/>
      <c r="PFF53"/>
      <c r="PFG53"/>
      <c r="PFH53"/>
      <c r="PFI53"/>
      <c r="PFJ53"/>
      <c r="PFK53"/>
      <c r="PFL53"/>
      <c r="PFM53"/>
      <c r="PFN53"/>
      <c r="PFO53"/>
      <c r="PFP53"/>
      <c r="PFQ53"/>
      <c r="PFR53"/>
      <c r="PFS53"/>
      <c r="PFT53"/>
      <c r="PFU53"/>
      <c r="PFV53"/>
      <c r="PFW53"/>
      <c r="PFX53"/>
      <c r="PFY53"/>
      <c r="PFZ53"/>
      <c r="PGA53"/>
      <c r="PGB53"/>
      <c r="PGC53"/>
      <c r="PGD53"/>
      <c r="PGE53"/>
      <c r="PGF53"/>
      <c r="PGG53"/>
      <c r="PGH53"/>
      <c r="PGI53"/>
      <c r="PGJ53"/>
      <c r="PGK53"/>
      <c r="PGL53"/>
      <c r="PGM53"/>
      <c r="PGN53"/>
      <c r="PGO53"/>
      <c r="PGP53"/>
      <c r="PGQ53"/>
      <c r="PGR53"/>
      <c r="PGS53"/>
      <c r="PGT53"/>
      <c r="PGU53"/>
      <c r="PGV53"/>
      <c r="PGW53"/>
      <c r="PGX53"/>
      <c r="PGY53"/>
      <c r="PGZ53"/>
      <c r="PHA53"/>
      <c r="PHB53"/>
      <c r="PHC53"/>
      <c r="PHD53"/>
      <c r="PHE53"/>
      <c r="PHF53"/>
      <c r="PHG53"/>
      <c r="PHH53"/>
      <c r="PHI53"/>
      <c r="PHJ53"/>
      <c r="PHK53"/>
      <c r="PHL53"/>
      <c r="PHM53"/>
      <c r="PHN53"/>
      <c r="PHO53"/>
      <c r="PHP53"/>
      <c r="PHQ53"/>
      <c r="PHR53"/>
      <c r="PHS53"/>
      <c r="PHT53"/>
      <c r="PHU53"/>
      <c r="PHV53"/>
      <c r="PHW53"/>
      <c r="PHX53"/>
      <c r="PHY53"/>
      <c r="PHZ53"/>
      <c r="PIA53"/>
      <c r="PIB53"/>
      <c r="PIC53"/>
      <c r="PID53"/>
      <c r="PIE53"/>
      <c r="PIF53"/>
      <c r="PIG53"/>
      <c r="PIH53"/>
      <c r="PII53"/>
      <c r="PIJ53"/>
      <c r="PIK53"/>
      <c r="PIL53"/>
      <c r="PIM53"/>
      <c r="PIN53"/>
      <c r="PIO53"/>
      <c r="PIP53"/>
      <c r="PIQ53"/>
      <c r="PIR53"/>
      <c r="PIS53"/>
      <c r="PIT53"/>
      <c r="PIU53"/>
      <c r="PIV53"/>
      <c r="PIW53"/>
      <c r="PIX53"/>
      <c r="PIY53"/>
      <c r="PIZ53"/>
      <c r="PJA53"/>
      <c r="PJB53"/>
      <c r="PJC53"/>
      <c r="PJD53"/>
      <c r="PJE53"/>
      <c r="PJF53"/>
      <c r="PJG53"/>
      <c r="PJH53"/>
      <c r="PJI53"/>
      <c r="PJJ53"/>
      <c r="PJK53"/>
      <c r="PJL53"/>
      <c r="PJM53"/>
      <c r="PJN53"/>
      <c r="PJO53"/>
      <c r="PJP53"/>
      <c r="PJQ53"/>
      <c r="PJR53"/>
      <c r="PJS53"/>
      <c r="PJT53"/>
      <c r="PJU53"/>
      <c r="PJV53"/>
      <c r="PJW53"/>
      <c r="PJX53"/>
      <c r="PJY53"/>
      <c r="PJZ53"/>
      <c r="PKA53"/>
      <c r="PKB53"/>
      <c r="PKC53"/>
      <c r="PKD53"/>
      <c r="PKE53"/>
      <c r="PKF53"/>
      <c r="PKG53"/>
      <c r="PKH53"/>
      <c r="PKI53"/>
      <c r="PKJ53"/>
      <c r="PKK53"/>
      <c r="PKL53"/>
      <c r="PKM53"/>
      <c r="PKN53"/>
      <c r="PKO53"/>
      <c r="PKP53"/>
      <c r="PKQ53"/>
      <c r="PKR53"/>
      <c r="PKS53"/>
      <c r="PKT53"/>
      <c r="PKU53"/>
      <c r="PKV53"/>
      <c r="PKW53"/>
      <c r="PKX53"/>
      <c r="PKY53"/>
      <c r="PKZ53"/>
      <c r="PLA53"/>
      <c r="PLB53"/>
      <c r="PLC53"/>
      <c r="PLD53"/>
      <c r="PLE53"/>
      <c r="PLF53"/>
      <c r="PLG53"/>
      <c r="PLH53"/>
      <c r="PLI53"/>
      <c r="PLJ53"/>
      <c r="PLK53"/>
      <c r="PLL53"/>
      <c r="PLM53"/>
      <c r="PLN53"/>
      <c r="PLO53"/>
      <c r="PLP53"/>
      <c r="PLQ53"/>
      <c r="PLR53"/>
      <c r="PLS53"/>
      <c r="PLT53"/>
      <c r="PLU53"/>
      <c r="PLV53"/>
      <c r="PLW53"/>
      <c r="PLX53"/>
      <c r="PLY53"/>
      <c r="PLZ53"/>
      <c r="PMA53"/>
      <c r="PMB53"/>
      <c r="PMC53"/>
      <c r="PMD53"/>
      <c r="PME53"/>
      <c r="PMF53"/>
      <c r="PMG53"/>
      <c r="PMH53"/>
      <c r="PMI53"/>
      <c r="PMJ53"/>
      <c r="PMK53"/>
      <c r="PML53"/>
      <c r="PMM53"/>
      <c r="PMN53"/>
      <c r="PMO53"/>
      <c r="PMP53"/>
      <c r="PMQ53"/>
      <c r="PMR53"/>
      <c r="PMS53"/>
      <c r="PMT53"/>
      <c r="PMU53"/>
      <c r="PMV53"/>
      <c r="PMW53"/>
      <c r="PMX53"/>
      <c r="PMY53"/>
      <c r="PMZ53"/>
      <c r="PNA53"/>
      <c r="PNB53"/>
      <c r="PNC53"/>
      <c r="PND53"/>
      <c r="PNE53"/>
      <c r="PNF53"/>
      <c r="PNG53"/>
      <c r="PNH53"/>
      <c r="PNI53"/>
      <c r="PNJ53"/>
      <c r="PNK53"/>
      <c r="PNL53"/>
      <c r="PNM53"/>
      <c r="PNN53"/>
      <c r="PNO53"/>
      <c r="PNP53"/>
      <c r="PNQ53"/>
      <c r="PNR53"/>
      <c r="PNS53"/>
      <c r="PNT53"/>
      <c r="PNU53"/>
      <c r="PNV53"/>
      <c r="PNW53"/>
      <c r="PNX53"/>
      <c r="PNY53"/>
      <c r="PNZ53"/>
      <c r="POA53"/>
      <c r="POB53"/>
      <c r="POC53"/>
      <c r="POD53"/>
      <c r="POE53"/>
      <c r="POF53"/>
      <c r="POG53"/>
      <c r="POH53"/>
      <c r="POI53"/>
      <c r="POJ53"/>
      <c r="POK53"/>
      <c r="POL53"/>
      <c r="POM53"/>
      <c r="PON53"/>
      <c r="POO53"/>
      <c r="POP53"/>
      <c r="POQ53"/>
      <c r="POR53"/>
      <c r="POS53"/>
      <c r="POT53"/>
      <c r="POU53"/>
      <c r="POV53"/>
      <c r="POW53"/>
      <c r="POX53"/>
      <c r="POY53"/>
      <c r="POZ53"/>
      <c r="PPA53"/>
      <c r="PPB53"/>
      <c r="PPC53"/>
      <c r="PPD53"/>
      <c r="PPE53"/>
      <c r="PPF53"/>
      <c r="PPG53"/>
      <c r="PPH53"/>
      <c r="PPI53"/>
      <c r="PPJ53"/>
      <c r="PPK53"/>
      <c r="PPL53"/>
      <c r="PPM53"/>
      <c r="PPN53"/>
      <c r="PPO53"/>
      <c r="PPP53"/>
      <c r="PPQ53"/>
      <c r="PPR53"/>
      <c r="PPS53"/>
      <c r="PPT53"/>
      <c r="PPU53"/>
      <c r="PPV53"/>
      <c r="PPW53"/>
      <c r="PPX53"/>
      <c r="PPY53"/>
      <c r="PPZ53"/>
      <c r="PQA53"/>
      <c r="PQB53"/>
      <c r="PQC53"/>
      <c r="PQD53"/>
      <c r="PQE53"/>
      <c r="PQF53"/>
      <c r="PQG53"/>
      <c r="PQH53"/>
      <c r="PQI53"/>
      <c r="PQJ53"/>
      <c r="PQK53"/>
      <c r="PQL53"/>
      <c r="PQM53"/>
      <c r="PQN53"/>
      <c r="PQO53"/>
      <c r="PQP53"/>
      <c r="PQQ53"/>
      <c r="PQR53"/>
      <c r="PQS53"/>
      <c r="PQT53"/>
      <c r="PQU53"/>
      <c r="PQV53"/>
      <c r="PQW53"/>
      <c r="PQX53"/>
      <c r="PQY53"/>
      <c r="PQZ53"/>
      <c r="PRA53"/>
      <c r="PRB53"/>
      <c r="PRC53"/>
      <c r="PRD53"/>
      <c r="PRE53"/>
      <c r="PRF53"/>
      <c r="PRG53"/>
      <c r="PRH53"/>
      <c r="PRI53"/>
      <c r="PRJ53"/>
      <c r="PRK53"/>
      <c r="PRL53"/>
      <c r="PRM53"/>
      <c r="PRN53"/>
      <c r="PRO53"/>
      <c r="PRP53"/>
      <c r="PRQ53"/>
      <c r="PRR53"/>
      <c r="PRS53"/>
      <c r="PRT53"/>
      <c r="PRU53"/>
      <c r="PRV53"/>
      <c r="PRW53"/>
      <c r="PRX53"/>
      <c r="PRY53"/>
      <c r="PRZ53"/>
      <c r="PSA53"/>
      <c r="PSB53"/>
      <c r="PSC53"/>
      <c r="PSD53"/>
      <c r="PSE53"/>
      <c r="PSF53"/>
      <c r="PSG53"/>
      <c r="PSH53"/>
      <c r="PSI53"/>
      <c r="PSJ53"/>
      <c r="PSK53"/>
      <c r="PSL53"/>
      <c r="PSM53"/>
      <c r="PSN53"/>
      <c r="PSO53"/>
      <c r="PSP53"/>
      <c r="PSQ53"/>
      <c r="PSR53"/>
      <c r="PSS53"/>
      <c r="PST53"/>
      <c r="PSU53"/>
      <c r="PSV53"/>
      <c r="PSW53"/>
      <c r="PSX53"/>
      <c r="PSY53"/>
      <c r="PSZ53"/>
      <c r="PTA53"/>
      <c r="PTB53"/>
      <c r="PTC53"/>
      <c r="PTD53"/>
      <c r="PTE53"/>
      <c r="PTF53"/>
      <c r="PTG53"/>
      <c r="PTH53"/>
      <c r="PTI53"/>
      <c r="PTJ53"/>
      <c r="PTK53"/>
      <c r="PTL53"/>
      <c r="PTM53"/>
      <c r="PTN53"/>
      <c r="PTO53"/>
      <c r="PTP53"/>
      <c r="PTQ53"/>
      <c r="PTR53"/>
      <c r="PTS53"/>
      <c r="PTT53"/>
      <c r="PTU53"/>
      <c r="PTV53"/>
      <c r="PTW53"/>
      <c r="PTX53"/>
      <c r="PTY53"/>
      <c r="PTZ53"/>
      <c r="PUA53"/>
      <c r="PUB53"/>
      <c r="PUC53"/>
      <c r="PUD53"/>
      <c r="PUE53"/>
      <c r="PUF53"/>
      <c r="PUG53"/>
      <c r="PUH53"/>
      <c r="PUI53"/>
      <c r="PUJ53"/>
      <c r="PUK53"/>
      <c r="PUL53"/>
      <c r="PUM53"/>
      <c r="PUN53"/>
      <c r="PUO53"/>
      <c r="PUP53"/>
      <c r="PUQ53"/>
      <c r="PUR53"/>
      <c r="PUS53"/>
      <c r="PUT53"/>
      <c r="PUU53"/>
      <c r="PUV53"/>
      <c r="PUW53"/>
      <c r="PUX53"/>
      <c r="PUY53"/>
      <c r="PUZ53"/>
      <c r="PVA53"/>
      <c r="PVB53"/>
      <c r="PVC53"/>
      <c r="PVD53"/>
      <c r="PVE53"/>
      <c r="PVF53"/>
      <c r="PVG53"/>
      <c r="PVH53"/>
      <c r="PVI53"/>
      <c r="PVJ53"/>
      <c r="PVK53"/>
      <c r="PVL53"/>
      <c r="PVM53"/>
      <c r="PVN53"/>
      <c r="PVO53"/>
      <c r="PVP53"/>
      <c r="PVQ53"/>
      <c r="PVR53"/>
      <c r="PVS53"/>
      <c r="PVT53"/>
      <c r="PVU53"/>
      <c r="PVV53"/>
      <c r="PVW53"/>
      <c r="PVX53"/>
      <c r="PVY53"/>
      <c r="PVZ53"/>
      <c r="PWA53"/>
      <c r="PWB53"/>
      <c r="PWC53"/>
      <c r="PWD53"/>
      <c r="PWE53"/>
      <c r="PWF53"/>
      <c r="PWG53"/>
      <c r="PWH53"/>
      <c r="PWI53"/>
      <c r="PWJ53"/>
      <c r="PWK53"/>
      <c r="PWL53"/>
      <c r="PWM53"/>
      <c r="PWN53"/>
      <c r="PWO53"/>
      <c r="PWP53"/>
      <c r="PWQ53"/>
      <c r="PWR53"/>
      <c r="PWS53"/>
      <c r="PWT53"/>
      <c r="PWU53"/>
      <c r="PWV53"/>
      <c r="PWW53"/>
      <c r="PWX53"/>
      <c r="PWY53"/>
      <c r="PWZ53"/>
      <c r="PXA53"/>
      <c r="PXB53"/>
      <c r="PXC53"/>
      <c r="PXD53"/>
      <c r="PXE53"/>
      <c r="PXF53"/>
      <c r="PXG53"/>
      <c r="PXH53"/>
      <c r="PXI53"/>
      <c r="PXJ53"/>
      <c r="PXK53"/>
      <c r="PXL53"/>
      <c r="PXM53"/>
      <c r="PXN53"/>
      <c r="PXO53"/>
      <c r="PXP53"/>
      <c r="PXQ53"/>
      <c r="PXR53"/>
      <c r="PXS53"/>
      <c r="PXT53"/>
      <c r="PXU53"/>
      <c r="PXV53"/>
      <c r="PXW53"/>
      <c r="PXX53"/>
      <c r="PXY53"/>
      <c r="PXZ53"/>
      <c r="PYA53"/>
      <c r="PYB53"/>
      <c r="PYC53"/>
      <c r="PYD53"/>
      <c r="PYE53"/>
      <c r="PYF53"/>
      <c r="PYG53"/>
      <c r="PYH53"/>
      <c r="PYI53"/>
      <c r="PYJ53"/>
      <c r="PYK53"/>
      <c r="PYL53"/>
      <c r="PYM53"/>
      <c r="PYN53"/>
      <c r="PYO53"/>
      <c r="PYP53"/>
      <c r="PYQ53"/>
      <c r="PYR53"/>
      <c r="PYS53"/>
      <c r="PYT53"/>
      <c r="PYU53"/>
      <c r="PYV53"/>
      <c r="PYW53"/>
      <c r="PYX53"/>
      <c r="PYY53"/>
      <c r="PYZ53"/>
      <c r="PZA53"/>
      <c r="PZB53"/>
      <c r="PZC53"/>
      <c r="PZD53"/>
      <c r="PZE53"/>
      <c r="PZF53"/>
      <c r="PZG53"/>
      <c r="PZH53"/>
      <c r="PZI53"/>
      <c r="PZJ53"/>
      <c r="PZK53"/>
      <c r="PZL53"/>
      <c r="PZM53"/>
      <c r="PZN53"/>
      <c r="PZO53"/>
      <c r="PZP53"/>
      <c r="PZQ53"/>
      <c r="PZR53"/>
      <c r="PZS53"/>
      <c r="PZT53"/>
      <c r="PZU53"/>
      <c r="PZV53"/>
      <c r="PZW53"/>
      <c r="PZX53"/>
      <c r="PZY53"/>
      <c r="PZZ53"/>
      <c r="QAA53"/>
      <c r="QAB53"/>
      <c r="QAC53"/>
      <c r="QAD53"/>
      <c r="QAE53"/>
      <c r="QAF53"/>
      <c r="QAG53"/>
      <c r="QAH53"/>
      <c r="QAI53"/>
      <c r="QAJ53"/>
      <c r="QAK53"/>
      <c r="QAL53"/>
      <c r="QAM53"/>
      <c r="QAN53"/>
      <c r="QAO53"/>
      <c r="QAP53"/>
      <c r="QAQ53"/>
      <c r="QAR53"/>
      <c r="QAS53"/>
      <c r="QAT53"/>
      <c r="QAU53"/>
      <c r="QAV53"/>
      <c r="QAW53"/>
      <c r="QAX53"/>
      <c r="QAY53"/>
      <c r="QAZ53"/>
      <c r="QBA53"/>
      <c r="QBB53"/>
      <c r="QBC53"/>
      <c r="QBD53"/>
      <c r="QBE53"/>
      <c r="QBF53"/>
      <c r="QBG53"/>
      <c r="QBH53"/>
      <c r="QBI53"/>
      <c r="QBJ53"/>
      <c r="QBK53"/>
      <c r="QBL53"/>
      <c r="QBM53"/>
      <c r="QBN53"/>
      <c r="QBO53"/>
      <c r="QBP53"/>
      <c r="QBQ53"/>
      <c r="QBR53"/>
      <c r="QBS53"/>
      <c r="QBT53"/>
      <c r="QBU53"/>
      <c r="QBV53"/>
      <c r="QBW53"/>
      <c r="QBX53"/>
      <c r="QBY53"/>
      <c r="QBZ53"/>
      <c r="QCA53"/>
      <c r="QCB53"/>
      <c r="QCC53"/>
      <c r="QCD53"/>
      <c r="QCE53"/>
      <c r="QCF53"/>
      <c r="QCG53"/>
      <c r="QCH53"/>
      <c r="QCI53"/>
      <c r="QCJ53"/>
      <c r="QCK53"/>
      <c r="QCL53"/>
      <c r="QCM53"/>
      <c r="QCN53"/>
      <c r="QCO53"/>
      <c r="QCP53"/>
      <c r="QCQ53"/>
      <c r="QCR53"/>
      <c r="QCS53"/>
      <c r="QCT53"/>
      <c r="QCU53"/>
      <c r="QCV53"/>
      <c r="QCW53"/>
      <c r="QCX53"/>
      <c r="QCY53"/>
      <c r="QCZ53"/>
      <c r="QDA53"/>
      <c r="QDB53"/>
      <c r="QDC53"/>
      <c r="QDD53"/>
      <c r="QDE53"/>
      <c r="QDF53"/>
      <c r="QDG53"/>
      <c r="QDH53"/>
      <c r="QDI53"/>
      <c r="QDJ53"/>
      <c r="QDK53"/>
      <c r="QDL53"/>
      <c r="QDM53"/>
      <c r="QDN53"/>
      <c r="QDO53"/>
      <c r="QDP53"/>
      <c r="QDQ53"/>
      <c r="QDR53"/>
      <c r="QDS53"/>
      <c r="QDT53"/>
      <c r="QDU53"/>
      <c r="QDV53"/>
      <c r="QDW53"/>
      <c r="QDX53"/>
      <c r="QDY53"/>
      <c r="QDZ53"/>
      <c r="QEA53"/>
      <c r="QEB53"/>
      <c r="QEC53"/>
      <c r="QED53"/>
      <c r="QEE53"/>
      <c r="QEF53"/>
      <c r="QEG53"/>
      <c r="QEH53"/>
      <c r="QEI53"/>
      <c r="QEJ53"/>
      <c r="QEK53"/>
      <c r="QEL53"/>
      <c r="QEM53"/>
      <c r="QEN53"/>
      <c r="QEO53"/>
      <c r="QEP53"/>
      <c r="QEQ53"/>
      <c r="QER53"/>
      <c r="QES53"/>
      <c r="QET53"/>
      <c r="QEU53"/>
      <c r="QEV53"/>
      <c r="QEW53"/>
      <c r="QEX53"/>
      <c r="QEY53"/>
      <c r="QEZ53"/>
      <c r="QFA53"/>
      <c r="QFB53"/>
      <c r="QFC53"/>
      <c r="QFD53"/>
      <c r="QFE53"/>
      <c r="QFF53"/>
      <c r="QFG53"/>
      <c r="QFH53"/>
      <c r="QFI53"/>
      <c r="QFJ53"/>
      <c r="QFK53"/>
      <c r="QFL53"/>
      <c r="QFM53"/>
      <c r="QFN53"/>
      <c r="QFO53"/>
      <c r="QFP53"/>
      <c r="QFQ53"/>
      <c r="QFR53"/>
      <c r="QFS53"/>
      <c r="QFT53"/>
      <c r="QFU53"/>
      <c r="QFV53"/>
      <c r="QFW53"/>
      <c r="QFX53"/>
      <c r="QFY53"/>
      <c r="QFZ53"/>
      <c r="QGA53"/>
      <c r="QGB53"/>
      <c r="QGC53"/>
      <c r="QGD53"/>
      <c r="QGE53"/>
      <c r="QGF53"/>
      <c r="QGG53"/>
      <c r="QGH53"/>
      <c r="QGI53"/>
      <c r="QGJ53"/>
      <c r="QGK53"/>
      <c r="QGL53"/>
      <c r="QGM53"/>
      <c r="QGN53"/>
      <c r="QGO53"/>
      <c r="QGP53"/>
      <c r="QGQ53"/>
      <c r="QGR53"/>
      <c r="QGS53"/>
      <c r="QGT53"/>
      <c r="QGU53"/>
      <c r="QGV53"/>
      <c r="QGW53"/>
      <c r="QGX53"/>
      <c r="QGY53"/>
      <c r="QGZ53"/>
      <c r="QHA53"/>
      <c r="QHB53"/>
      <c r="QHC53"/>
      <c r="QHD53"/>
      <c r="QHE53"/>
      <c r="QHF53"/>
      <c r="QHG53"/>
      <c r="QHH53"/>
      <c r="QHI53"/>
      <c r="QHJ53"/>
      <c r="QHK53"/>
      <c r="QHL53"/>
      <c r="QHM53"/>
      <c r="QHN53"/>
      <c r="QHO53"/>
      <c r="QHP53"/>
      <c r="QHQ53"/>
      <c r="QHR53"/>
      <c r="QHS53"/>
      <c r="QHT53"/>
      <c r="QHU53"/>
      <c r="QHV53"/>
      <c r="QHW53"/>
      <c r="QHX53"/>
      <c r="QHY53"/>
      <c r="QHZ53"/>
      <c r="QIA53"/>
      <c r="QIB53"/>
      <c r="QIC53"/>
      <c r="QID53"/>
      <c r="QIE53"/>
      <c r="QIF53"/>
      <c r="QIG53"/>
      <c r="QIH53"/>
      <c r="QII53"/>
      <c r="QIJ53"/>
      <c r="QIK53"/>
      <c r="QIL53"/>
      <c r="QIM53"/>
      <c r="QIN53"/>
      <c r="QIO53"/>
      <c r="QIP53"/>
      <c r="QIQ53"/>
      <c r="QIR53"/>
      <c r="QIS53"/>
      <c r="QIT53"/>
      <c r="QIU53"/>
      <c r="QIV53"/>
      <c r="QIW53"/>
      <c r="QIX53"/>
      <c r="QIY53"/>
      <c r="QIZ53"/>
      <c r="QJA53"/>
      <c r="QJB53"/>
      <c r="QJC53"/>
      <c r="QJD53"/>
      <c r="QJE53"/>
      <c r="QJF53"/>
      <c r="QJG53"/>
      <c r="QJH53"/>
      <c r="QJI53"/>
      <c r="QJJ53"/>
      <c r="QJK53"/>
      <c r="QJL53"/>
      <c r="QJM53"/>
      <c r="QJN53"/>
      <c r="QJO53"/>
      <c r="QJP53"/>
      <c r="QJQ53"/>
      <c r="QJR53"/>
      <c r="QJS53"/>
      <c r="QJT53"/>
      <c r="QJU53"/>
      <c r="QJV53"/>
      <c r="QJW53"/>
      <c r="QJX53"/>
      <c r="QJY53"/>
      <c r="QJZ53"/>
      <c r="QKA53"/>
      <c r="QKB53"/>
      <c r="QKC53"/>
      <c r="QKD53"/>
      <c r="QKE53"/>
      <c r="QKF53"/>
      <c r="QKG53"/>
      <c r="QKH53"/>
      <c r="QKI53"/>
      <c r="QKJ53"/>
      <c r="QKK53"/>
      <c r="QKL53"/>
      <c r="QKM53"/>
      <c r="QKN53"/>
      <c r="QKO53"/>
      <c r="QKP53"/>
      <c r="QKQ53"/>
      <c r="QKR53"/>
      <c r="QKS53"/>
      <c r="QKT53"/>
      <c r="QKU53"/>
      <c r="QKV53"/>
      <c r="QKW53"/>
      <c r="QKX53"/>
      <c r="QKY53"/>
      <c r="QKZ53"/>
      <c r="QLA53"/>
      <c r="QLB53"/>
      <c r="QLC53"/>
      <c r="QLD53"/>
      <c r="QLE53"/>
      <c r="QLF53"/>
      <c r="QLG53"/>
      <c r="QLH53"/>
      <c r="QLI53"/>
      <c r="QLJ53"/>
      <c r="QLK53"/>
      <c r="QLL53"/>
      <c r="QLM53"/>
      <c r="QLN53"/>
      <c r="QLO53"/>
      <c r="QLP53"/>
      <c r="QLQ53"/>
      <c r="QLR53"/>
      <c r="QLS53"/>
      <c r="QLT53"/>
      <c r="QLU53"/>
      <c r="QLV53"/>
      <c r="QLW53"/>
      <c r="QLX53"/>
      <c r="QLY53"/>
      <c r="QLZ53"/>
      <c r="QMA53"/>
      <c r="QMB53"/>
      <c r="QMC53"/>
      <c r="QMD53"/>
      <c r="QME53"/>
      <c r="QMF53"/>
      <c r="QMG53"/>
      <c r="QMH53"/>
      <c r="QMI53"/>
      <c r="QMJ53"/>
      <c r="QMK53"/>
      <c r="QML53"/>
      <c r="QMM53"/>
      <c r="QMN53"/>
      <c r="QMO53"/>
      <c r="QMP53"/>
      <c r="QMQ53"/>
      <c r="QMR53"/>
      <c r="QMS53"/>
      <c r="QMT53"/>
      <c r="QMU53"/>
      <c r="QMV53"/>
      <c r="QMW53"/>
      <c r="QMX53"/>
      <c r="QMY53"/>
      <c r="QMZ53"/>
      <c r="QNA53"/>
      <c r="QNB53"/>
      <c r="QNC53"/>
      <c r="QND53"/>
      <c r="QNE53"/>
      <c r="QNF53"/>
      <c r="QNG53"/>
      <c r="QNH53"/>
      <c r="QNI53"/>
      <c r="QNJ53"/>
      <c r="QNK53"/>
      <c r="QNL53"/>
      <c r="QNM53"/>
      <c r="QNN53"/>
      <c r="QNO53"/>
      <c r="QNP53"/>
      <c r="QNQ53"/>
      <c r="QNR53"/>
      <c r="QNS53"/>
      <c r="QNT53"/>
      <c r="QNU53"/>
      <c r="QNV53"/>
      <c r="QNW53"/>
      <c r="QNX53"/>
      <c r="QNY53"/>
      <c r="QNZ53"/>
      <c r="QOA53"/>
      <c r="QOB53"/>
      <c r="QOC53"/>
      <c r="QOD53"/>
      <c r="QOE53"/>
      <c r="QOF53"/>
      <c r="QOG53"/>
      <c r="QOH53"/>
      <c r="QOI53"/>
      <c r="QOJ53"/>
      <c r="QOK53"/>
      <c r="QOL53"/>
      <c r="QOM53"/>
      <c r="QON53"/>
      <c r="QOO53"/>
      <c r="QOP53"/>
      <c r="QOQ53"/>
      <c r="QOR53"/>
      <c r="QOS53"/>
      <c r="QOT53"/>
      <c r="QOU53"/>
      <c r="QOV53"/>
      <c r="QOW53"/>
      <c r="QOX53"/>
      <c r="QOY53"/>
      <c r="QOZ53"/>
      <c r="QPA53"/>
      <c r="QPB53"/>
      <c r="QPC53"/>
      <c r="QPD53"/>
      <c r="QPE53"/>
      <c r="QPF53"/>
      <c r="QPG53"/>
      <c r="QPH53"/>
      <c r="QPI53"/>
      <c r="QPJ53"/>
      <c r="QPK53"/>
      <c r="QPL53"/>
      <c r="QPM53"/>
      <c r="QPN53"/>
      <c r="QPO53"/>
      <c r="QPP53"/>
      <c r="QPQ53"/>
      <c r="QPR53"/>
      <c r="QPS53"/>
      <c r="QPT53"/>
      <c r="QPU53"/>
      <c r="QPV53"/>
      <c r="QPW53"/>
      <c r="QPX53"/>
      <c r="QPY53"/>
      <c r="QPZ53"/>
      <c r="QQA53"/>
      <c r="QQB53"/>
      <c r="QQC53"/>
      <c r="QQD53"/>
      <c r="QQE53"/>
      <c r="QQF53"/>
      <c r="QQG53"/>
      <c r="QQH53"/>
      <c r="QQI53"/>
      <c r="QQJ53"/>
      <c r="QQK53"/>
      <c r="QQL53"/>
      <c r="QQM53"/>
      <c r="QQN53"/>
      <c r="QQO53"/>
      <c r="QQP53"/>
      <c r="QQQ53"/>
      <c r="QQR53"/>
      <c r="QQS53"/>
      <c r="QQT53"/>
      <c r="QQU53"/>
      <c r="QQV53"/>
      <c r="QQW53"/>
      <c r="QQX53"/>
      <c r="QQY53"/>
      <c r="QQZ53"/>
      <c r="QRA53"/>
      <c r="QRB53"/>
      <c r="QRC53"/>
      <c r="QRD53"/>
      <c r="QRE53"/>
      <c r="QRF53"/>
      <c r="QRG53"/>
      <c r="QRH53"/>
      <c r="QRI53"/>
      <c r="QRJ53"/>
      <c r="QRK53"/>
      <c r="QRL53"/>
      <c r="QRM53"/>
      <c r="QRN53"/>
      <c r="QRO53"/>
      <c r="QRP53"/>
      <c r="QRQ53"/>
      <c r="QRR53"/>
      <c r="QRS53"/>
      <c r="QRT53"/>
      <c r="QRU53"/>
      <c r="QRV53"/>
      <c r="QRW53"/>
      <c r="QRX53"/>
      <c r="QRY53"/>
      <c r="QRZ53"/>
      <c r="QSA53"/>
      <c r="QSB53"/>
      <c r="QSC53"/>
      <c r="QSD53"/>
      <c r="QSE53"/>
      <c r="QSF53"/>
      <c r="QSG53"/>
      <c r="QSH53"/>
      <c r="QSI53"/>
      <c r="QSJ53"/>
      <c r="QSK53"/>
      <c r="QSL53"/>
      <c r="QSM53"/>
      <c r="QSN53"/>
      <c r="QSO53"/>
      <c r="QSP53"/>
      <c r="QSQ53"/>
      <c r="QSR53"/>
      <c r="QSS53"/>
      <c r="QST53"/>
      <c r="QSU53"/>
      <c r="QSV53"/>
      <c r="QSW53"/>
      <c r="QSX53"/>
      <c r="QSY53"/>
      <c r="QSZ53"/>
      <c r="QTA53"/>
      <c r="QTB53"/>
      <c r="QTC53"/>
      <c r="QTD53"/>
      <c r="QTE53"/>
      <c r="QTF53"/>
      <c r="QTG53"/>
      <c r="QTH53"/>
      <c r="QTI53"/>
      <c r="QTJ53"/>
      <c r="QTK53"/>
      <c r="QTL53"/>
      <c r="QTM53"/>
      <c r="QTN53"/>
      <c r="QTO53"/>
      <c r="QTP53"/>
      <c r="QTQ53"/>
      <c r="QTR53"/>
      <c r="QTS53"/>
      <c r="QTT53"/>
      <c r="QTU53"/>
      <c r="QTV53"/>
      <c r="QTW53"/>
      <c r="QTX53"/>
      <c r="QTY53"/>
      <c r="QTZ53"/>
      <c r="QUA53"/>
      <c r="QUB53"/>
      <c r="QUC53"/>
      <c r="QUD53"/>
      <c r="QUE53"/>
      <c r="QUF53"/>
      <c r="QUG53"/>
      <c r="QUH53"/>
      <c r="QUI53"/>
      <c r="QUJ53"/>
      <c r="QUK53"/>
      <c r="QUL53"/>
      <c r="QUM53"/>
      <c r="QUN53"/>
      <c r="QUO53"/>
      <c r="QUP53"/>
      <c r="QUQ53"/>
      <c r="QUR53"/>
      <c r="QUS53"/>
      <c r="QUT53"/>
      <c r="QUU53"/>
      <c r="QUV53"/>
      <c r="QUW53"/>
      <c r="QUX53"/>
      <c r="QUY53"/>
      <c r="QUZ53"/>
      <c r="QVA53"/>
      <c r="QVB53"/>
      <c r="QVC53"/>
      <c r="QVD53"/>
      <c r="QVE53"/>
      <c r="QVF53"/>
      <c r="QVG53"/>
      <c r="QVH53"/>
      <c r="QVI53"/>
      <c r="QVJ53"/>
      <c r="QVK53"/>
      <c r="QVL53"/>
      <c r="QVM53"/>
      <c r="QVN53"/>
      <c r="QVO53"/>
      <c r="QVP53"/>
      <c r="QVQ53"/>
      <c r="QVR53"/>
      <c r="QVS53"/>
      <c r="QVT53"/>
      <c r="QVU53"/>
      <c r="QVV53"/>
      <c r="QVW53"/>
      <c r="QVX53"/>
      <c r="QVY53"/>
      <c r="QVZ53"/>
      <c r="QWA53"/>
      <c r="QWB53"/>
      <c r="QWC53"/>
      <c r="QWD53"/>
      <c r="QWE53"/>
      <c r="QWF53"/>
      <c r="QWG53"/>
      <c r="QWH53"/>
      <c r="QWI53"/>
      <c r="QWJ53"/>
      <c r="QWK53"/>
      <c r="QWL53"/>
      <c r="QWM53"/>
      <c r="QWN53"/>
      <c r="QWO53"/>
      <c r="QWP53"/>
      <c r="QWQ53"/>
      <c r="QWR53"/>
      <c r="QWS53"/>
      <c r="QWT53"/>
      <c r="QWU53"/>
      <c r="QWV53"/>
      <c r="QWW53"/>
      <c r="QWX53"/>
      <c r="QWY53"/>
      <c r="QWZ53"/>
      <c r="QXA53"/>
      <c r="QXB53"/>
      <c r="QXC53"/>
      <c r="QXD53"/>
      <c r="QXE53"/>
      <c r="QXF53"/>
      <c r="QXG53"/>
      <c r="QXH53"/>
      <c r="QXI53"/>
      <c r="QXJ53"/>
      <c r="QXK53"/>
      <c r="QXL53"/>
      <c r="QXM53"/>
      <c r="QXN53"/>
      <c r="QXO53"/>
      <c r="QXP53"/>
      <c r="QXQ53"/>
      <c r="QXR53"/>
      <c r="QXS53"/>
      <c r="QXT53"/>
      <c r="QXU53"/>
      <c r="QXV53"/>
      <c r="QXW53"/>
      <c r="QXX53"/>
      <c r="QXY53"/>
      <c r="QXZ53"/>
      <c r="QYA53"/>
      <c r="QYB53"/>
      <c r="QYC53"/>
      <c r="QYD53"/>
      <c r="QYE53"/>
      <c r="QYF53"/>
      <c r="QYG53"/>
      <c r="QYH53"/>
      <c r="QYI53"/>
      <c r="QYJ53"/>
      <c r="QYK53"/>
      <c r="QYL53"/>
      <c r="QYM53"/>
      <c r="QYN53"/>
      <c r="QYO53"/>
      <c r="QYP53"/>
      <c r="QYQ53"/>
      <c r="QYR53"/>
      <c r="QYS53"/>
      <c r="QYT53"/>
      <c r="QYU53"/>
      <c r="QYV53"/>
      <c r="QYW53"/>
      <c r="QYX53"/>
      <c r="QYY53"/>
      <c r="QYZ53"/>
      <c r="QZA53"/>
      <c r="QZB53"/>
      <c r="QZC53"/>
      <c r="QZD53"/>
      <c r="QZE53"/>
      <c r="QZF53"/>
      <c r="QZG53"/>
      <c r="QZH53"/>
      <c r="QZI53"/>
      <c r="QZJ53"/>
      <c r="QZK53"/>
      <c r="QZL53"/>
      <c r="QZM53"/>
      <c r="QZN53"/>
      <c r="QZO53"/>
      <c r="QZP53"/>
      <c r="QZQ53"/>
      <c r="QZR53"/>
      <c r="QZS53"/>
      <c r="QZT53"/>
      <c r="QZU53"/>
      <c r="QZV53"/>
      <c r="QZW53"/>
      <c r="QZX53"/>
      <c r="QZY53"/>
      <c r="QZZ53"/>
      <c r="RAA53"/>
      <c r="RAB53"/>
      <c r="RAC53"/>
      <c r="RAD53"/>
      <c r="RAE53"/>
      <c r="RAF53"/>
      <c r="RAG53"/>
      <c r="RAH53"/>
      <c r="RAI53"/>
      <c r="RAJ53"/>
      <c r="RAK53"/>
      <c r="RAL53"/>
      <c r="RAM53"/>
      <c r="RAN53"/>
      <c r="RAO53"/>
      <c r="RAP53"/>
      <c r="RAQ53"/>
      <c r="RAR53"/>
      <c r="RAS53"/>
      <c r="RAT53"/>
      <c r="RAU53"/>
      <c r="RAV53"/>
      <c r="RAW53"/>
      <c r="RAX53"/>
      <c r="RAY53"/>
      <c r="RAZ53"/>
      <c r="RBA53"/>
      <c r="RBB53"/>
      <c r="RBC53"/>
      <c r="RBD53"/>
      <c r="RBE53"/>
      <c r="RBF53"/>
      <c r="RBG53"/>
      <c r="RBH53"/>
      <c r="RBI53"/>
      <c r="RBJ53"/>
      <c r="RBK53"/>
      <c r="RBL53"/>
      <c r="RBM53"/>
      <c r="RBN53"/>
      <c r="RBO53"/>
      <c r="RBP53"/>
      <c r="RBQ53"/>
      <c r="RBR53"/>
      <c r="RBS53"/>
      <c r="RBT53"/>
      <c r="RBU53"/>
      <c r="RBV53"/>
      <c r="RBW53"/>
      <c r="RBX53"/>
      <c r="RBY53"/>
      <c r="RBZ53"/>
      <c r="RCA53"/>
      <c r="RCB53"/>
      <c r="RCC53"/>
      <c r="RCD53"/>
      <c r="RCE53"/>
      <c r="RCF53"/>
      <c r="RCG53"/>
      <c r="RCH53"/>
      <c r="RCI53"/>
      <c r="RCJ53"/>
      <c r="RCK53"/>
      <c r="RCL53"/>
      <c r="RCM53"/>
      <c r="RCN53"/>
      <c r="RCO53"/>
      <c r="RCP53"/>
      <c r="RCQ53"/>
      <c r="RCR53"/>
      <c r="RCS53"/>
      <c r="RCT53"/>
      <c r="RCU53"/>
      <c r="RCV53"/>
      <c r="RCW53"/>
      <c r="RCX53"/>
      <c r="RCY53"/>
      <c r="RCZ53"/>
      <c r="RDA53"/>
      <c r="RDB53"/>
      <c r="RDC53"/>
      <c r="RDD53"/>
      <c r="RDE53"/>
      <c r="RDF53"/>
      <c r="RDG53"/>
      <c r="RDH53"/>
      <c r="RDI53"/>
      <c r="RDJ53"/>
      <c r="RDK53"/>
      <c r="RDL53"/>
      <c r="RDM53"/>
      <c r="RDN53"/>
      <c r="RDO53"/>
      <c r="RDP53"/>
      <c r="RDQ53"/>
      <c r="RDR53"/>
      <c r="RDS53"/>
      <c r="RDT53"/>
      <c r="RDU53"/>
      <c r="RDV53"/>
      <c r="RDW53"/>
      <c r="RDX53"/>
      <c r="RDY53"/>
      <c r="RDZ53"/>
      <c r="REA53"/>
      <c r="REB53"/>
      <c r="REC53"/>
      <c r="RED53"/>
      <c r="REE53"/>
      <c r="REF53"/>
      <c r="REG53"/>
      <c r="REH53"/>
      <c r="REI53"/>
      <c r="REJ53"/>
      <c r="REK53"/>
      <c r="REL53"/>
      <c r="REM53"/>
      <c r="REN53"/>
      <c r="REO53"/>
      <c r="REP53"/>
      <c r="REQ53"/>
      <c r="RER53"/>
      <c r="RES53"/>
      <c r="RET53"/>
      <c r="REU53"/>
      <c r="REV53"/>
      <c r="REW53"/>
      <c r="REX53"/>
      <c r="REY53"/>
      <c r="REZ53"/>
      <c r="RFA53"/>
      <c r="RFB53"/>
      <c r="RFC53"/>
      <c r="RFD53"/>
      <c r="RFE53"/>
      <c r="RFF53"/>
      <c r="RFG53"/>
      <c r="RFH53"/>
      <c r="RFI53"/>
      <c r="RFJ53"/>
      <c r="RFK53"/>
      <c r="RFL53"/>
      <c r="RFM53"/>
      <c r="RFN53"/>
      <c r="RFO53"/>
      <c r="RFP53"/>
      <c r="RFQ53"/>
      <c r="RFR53"/>
      <c r="RFS53"/>
      <c r="RFT53"/>
      <c r="RFU53"/>
      <c r="RFV53"/>
      <c r="RFW53"/>
      <c r="RFX53"/>
      <c r="RFY53"/>
      <c r="RFZ53"/>
      <c r="RGA53"/>
      <c r="RGB53"/>
      <c r="RGC53"/>
      <c r="RGD53"/>
      <c r="RGE53"/>
      <c r="RGF53"/>
      <c r="RGG53"/>
      <c r="RGH53"/>
      <c r="RGI53"/>
      <c r="RGJ53"/>
      <c r="RGK53"/>
      <c r="RGL53"/>
      <c r="RGM53"/>
      <c r="RGN53"/>
      <c r="RGO53"/>
      <c r="RGP53"/>
      <c r="RGQ53"/>
      <c r="RGR53"/>
      <c r="RGS53"/>
      <c r="RGT53"/>
      <c r="RGU53"/>
      <c r="RGV53"/>
      <c r="RGW53"/>
      <c r="RGX53"/>
      <c r="RGY53"/>
      <c r="RGZ53"/>
      <c r="RHA53"/>
      <c r="RHB53"/>
      <c r="RHC53"/>
      <c r="RHD53"/>
      <c r="RHE53"/>
      <c r="RHF53"/>
      <c r="RHG53"/>
      <c r="RHH53"/>
      <c r="RHI53"/>
      <c r="RHJ53"/>
      <c r="RHK53"/>
      <c r="RHL53"/>
      <c r="RHM53"/>
      <c r="RHN53"/>
      <c r="RHO53"/>
      <c r="RHP53"/>
      <c r="RHQ53"/>
      <c r="RHR53"/>
      <c r="RHS53"/>
      <c r="RHT53"/>
      <c r="RHU53"/>
      <c r="RHV53"/>
      <c r="RHW53"/>
      <c r="RHX53"/>
      <c r="RHY53"/>
      <c r="RHZ53"/>
      <c r="RIA53"/>
      <c r="RIB53"/>
      <c r="RIC53"/>
      <c r="RID53"/>
      <c r="RIE53"/>
      <c r="RIF53"/>
      <c r="RIG53"/>
      <c r="RIH53"/>
      <c r="RII53"/>
      <c r="RIJ53"/>
      <c r="RIK53"/>
      <c r="RIL53"/>
      <c r="RIM53"/>
      <c r="RIN53"/>
      <c r="RIO53"/>
      <c r="RIP53"/>
      <c r="RIQ53"/>
      <c r="RIR53"/>
      <c r="RIS53"/>
      <c r="RIT53"/>
      <c r="RIU53"/>
      <c r="RIV53"/>
      <c r="RIW53"/>
      <c r="RIX53"/>
      <c r="RIY53"/>
      <c r="RIZ53"/>
      <c r="RJA53"/>
      <c r="RJB53"/>
      <c r="RJC53"/>
      <c r="RJD53"/>
      <c r="RJE53"/>
      <c r="RJF53"/>
      <c r="RJG53"/>
      <c r="RJH53"/>
      <c r="RJI53"/>
      <c r="RJJ53"/>
      <c r="RJK53"/>
      <c r="RJL53"/>
      <c r="RJM53"/>
      <c r="RJN53"/>
      <c r="RJO53"/>
      <c r="RJP53"/>
      <c r="RJQ53"/>
      <c r="RJR53"/>
      <c r="RJS53"/>
      <c r="RJT53"/>
      <c r="RJU53"/>
      <c r="RJV53"/>
      <c r="RJW53"/>
      <c r="RJX53"/>
      <c r="RJY53"/>
      <c r="RJZ53"/>
      <c r="RKA53"/>
      <c r="RKB53"/>
      <c r="RKC53"/>
      <c r="RKD53"/>
      <c r="RKE53"/>
      <c r="RKF53"/>
      <c r="RKG53"/>
      <c r="RKH53"/>
      <c r="RKI53"/>
      <c r="RKJ53"/>
      <c r="RKK53"/>
      <c r="RKL53"/>
      <c r="RKM53"/>
      <c r="RKN53"/>
      <c r="RKO53"/>
      <c r="RKP53"/>
      <c r="RKQ53"/>
      <c r="RKR53"/>
      <c r="RKS53"/>
      <c r="RKT53"/>
      <c r="RKU53"/>
      <c r="RKV53"/>
      <c r="RKW53"/>
      <c r="RKX53"/>
      <c r="RKY53"/>
      <c r="RKZ53"/>
      <c r="RLA53"/>
      <c r="RLB53"/>
      <c r="RLC53"/>
      <c r="RLD53"/>
      <c r="RLE53"/>
      <c r="RLF53"/>
      <c r="RLG53"/>
      <c r="RLH53"/>
      <c r="RLI53"/>
      <c r="RLJ53"/>
      <c r="RLK53"/>
      <c r="RLL53"/>
      <c r="RLM53"/>
      <c r="RLN53"/>
      <c r="RLO53"/>
      <c r="RLP53"/>
      <c r="RLQ53"/>
      <c r="RLR53"/>
      <c r="RLS53"/>
      <c r="RLT53"/>
      <c r="RLU53"/>
      <c r="RLV53"/>
      <c r="RLW53"/>
      <c r="RLX53"/>
      <c r="RLY53"/>
      <c r="RLZ53"/>
      <c r="RMA53"/>
      <c r="RMB53"/>
      <c r="RMC53"/>
      <c r="RMD53"/>
      <c r="RME53"/>
      <c r="RMF53"/>
      <c r="RMG53"/>
      <c r="RMH53"/>
      <c r="RMI53"/>
      <c r="RMJ53"/>
      <c r="RMK53"/>
      <c r="RML53"/>
      <c r="RMM53"/>
      <c r="RMN53"/>
      <c r="RMO53"/>
      <c r="RMP53"/>
      <c r="RMQ53"/>
      <c r="RMR53"/>
      <c r="RMS53"/>
      <c r="RMT53"/>
      <c r="RMU53"/>
      <c r="RMV53"/>
      <c r="RMW53"/>
      <c r="RMX53"/>
      <c r="RMY53"/>
      <c r="RMZ53"/>
      <c r="RNA53"/>
      <c r="RNB53"/>
      <c r="RNC53"/>
      <c r="RND53"/>
      <c r="RNE53"/>
      <c r="RNF53"/>
      <c r="RNG53"/>
      <c r="RNH53"/>
      <c r="RNI53"/>
      <c r="RNJ53"/>
      <c r="RNK53"/>
      <c r="RNL53"/>
      <c r="RNM53"/>
      <c r="RNN53"/>
      <c r="RNO53"/>
      <c r="RNP53"/>
      <c r="RNQ53"/>
      <c r="RNR53"/>
      <c r="RNS53"/>
      <c r="RNT53"/>
      <c r="RNU53"/>
      <c r="RNV53"/>
      <c r="RNW53"/>
      <c r="RNX53"/>
      <c r="RNY53"/>
      <c r="RNZ53"/>
      <c r="ROA53"/>
      <c r="ROB53"/>
      <c r="ROC53"/>
      <c r="ROD53"/>
      <c r="ROE53"/>
      <c r="ROF53"/>
      <c r="ROG53"/>
      <c r="ROH53"/>
      <c r="ROI53"/>
      <c r="ROJ53"/>
      <c r="ROK53"/>
      <c r="ROL53"/>
      <c r="ROM53"/>
      <c r="RON53"/>
      <c r="ROO53"/>
      <c r="ROP53"/>
      <c r="ROQ53"/>
      <c r="ROR53"/>
      <c r="ROS53"/>
      <c r="ROT53"/>
      <c r="ROU53"/>
      <c r="ROV53"/>
      <c r="ROW53"/>
      <c r="ROX53"/>
      <c r="ROY53"/>
      <c r="ROZ53"/>
      <c r="RPA53"/>
      <c r="RPB53"/>
      <c r="RPC53"/>
      <c r="RPD53"/>
      <c r="RPE53"/>
      <c r="RPF53"/>
      <c r="RPG53"/>
      <c r="RPH53"/>
      <c r="RPI53"/>
      <c r="RPJ53"/>
      <c r="RPK53"/>
      <c r="RPL53"/>
      <c r="RPM53"/>
      <c r="RPN53"/>
      <c r="RPO53"/>
      <c r="RPP53"/>
      <c r="RPQ53"/>
      <c r="RPR53"/>
      <c r="RPS53"/>
      <c r="RPT53"/>
      <c r="RPU53"/>
      <c r="RPV53"/>
      <c r="RPW53"/>
      <c r="RPX53"/>
      <c r="RPY53"/>
      <c r="RPZ53"/>
      <c r="RQA53"/>
      <c r="RQB53"/>
      <c r="RQC53"/>
      <c r="RQD53"/>
      <c r="RQE53"/>
      <c r="RQF53"/>
      <c r="RQG53"/>
      <c r="RQH53"/>
      <c r="RQI53"/>
      <c r="RQJ53"/>
      <c r="RQK53"/>
      <c r="RQL53"/>
      <c r="RQM53"/>
      <c r="RQN53"/>
      <c r="RQO53"/>
      <c r="RQP53"/>
      <c r="RQQ53"/>
      <c r="RQR53"/>
      <c r="RQS53"/>
      <c r="RQT53"/>
      <c r="RQU53"/>
      <c r="RQV53"/>
      <c r="RQW53"/>
      <c r="RQX53"/>
      <c r="RQY53"/>
      <c r="RQZ53"/>
      <c r="RRA53"/>
      <c r="RRB53"/>
      <c r="RRC53"/>
      <c r="RRD53"/>
      <c r="RRE53"/>
      <c r="RRF53"/>
      <c r="RRG53"/>
      <c r="RRH53"/>
      <c r="RRI53"/>
      <c r="RRJ53"/>
      <c r="RRK53"/>
      <c r="RRL53"/>
      <c r="RRM53"/>
      <c r="RRN53"/>
      <c r="RRO53"/>
      <c r="RRP53"/>
      <c r="RRQ53"/>
      <c r="RRR53"/>
      <c r="RRS53"/>
      <c r="RRT53"/>
      <c r="RRU53"/>
      <c r="RRV53"/>
      <c r="RRW53"/>
      <c r="RRX53"/>
      <c r="RRY53"/>
      <c r="RRZ53"/>
      <c r="RSA53"/>
      <c r="RSB53"/>
      <c r="RSC53"/>
      <c r="RSD53"/>
      <c r="RSE53"/>
      <c r="RSF53"/>
      <c r="RSG53"/>
      <c r="RSH53"/>
      <c r="RSI53"/>
      <c r="RSJ53"/>
      <c r="RSK53"/>
      <c r="RSL53"/>
      <c r="RSM53"/>
      <c r="RSN53"/>
      <c r="RSO53"/>
      <c r="RSP53"/>
      <c r="RSQ53"/>
      <c r="RSR53"/>
      <c r="RSS53"/>
      <c r="RST53"/>
      <c r="RSU53"/>
      <c r="RSV53"/>
      <c r="RSW53"/>
      <c r="RSX53"/>
      <c r="RSY53"/>
      <c r="RSZ53"/>
      <c r="RTA53"/>
      <c r="RTB53"/>
      <c r="RTC53"/>
      <c r="RTD53"/>
      <c r="RTE53"/>
      <c r="RTF53"/>
      <c r="RTG53"/>
      <c r="RTH53"/>
      <c r="RTI53"/>
      <c r="RTJ53"/>
      <c r="RTK53"/>
      <c r="RTL53"/>
      <c r="RTM53"/>
      <c r="RTN53"/>
      <c r="RTO53"/>
      <c r="RTP53"/>
      <c r="RTQ53"/>
      <c r="RTR53"/>
      <c r="RTS53"/>
      <c r="RTT53"/>
      <c r="RTU53"/>
      <c r="RTV53"/>
      <c r="RTW53"/>
      <c r="RTX53"/>
      <c r="RTY53"/>
      <c r="RTZ53"/>
      <c r="RUA53"/>
      <c r="RUB53"/>
      <c r="RUC53"/>
      <c r="RUD53"/>
      <c r="RUE53"/>
      <c r="RUF53"/>
      <c r="RUG53"/>
      <c r="RUH53"/>
      <c r="RUI53"/>
      <c r="RUJ53"/>
      <c r="RUK53"/>
      <c r="RUL53"/>
      <c r="RUM53"/>
      <c r="RUN53"/>
      <c r="RUO53"/>
      <c r="RUP53"/>
      <c r="RUQ53"/>
      <c r="RUR53"/>
      <c r="RUS53"/>
      <c r="RUT53"/>
      <c r="RUU53"/>
      <c r="RUV53"/>
      <c r="RUW53"/>
      <c r="RUX53"/>
      <c r="RUY53"/>
      <c r="RUZ53"/>
      <c r="RVA53"/>
      <c r="RVB53"/>
      <c r="RVC53"/>
      <c r="RVD53"/>
      <c r="RVE53"/>
      <c r="RVF53"/>
      <c r="RVG53"/>
      <c r="RVH53"/>
      <c r="RVI53"/>
      <c r="RVJ53"/>
      <c r="RVK53"/>
      <c r="RVL53"/>
      <c r="RVM53"/>
      <c r="RVN53"/>
      <c r="RVO53"/>
      <c r="RVP53"/>
      <c r="RVQ53"/>
      <c r="RVR53"/>
      <c r="RVS53"/>
      <c r="RVT53"/>
      <c r="RVU53"/>
      <c r="RVV53"/>
      <c r="RVW53"/>
      <c r="RVX53"/>
      <c r="RVY53"/>
      <c r="RVZ53"/>
      <c r="RWA53"/>
      <c r="RWB53"/>
      <c r="RWC53"/>
      <c r="RWD53"/>
      <c r="RWE53"/>
      <c r="RWF53"/>
      <c r="RWG53"/>
      <c r="RWH53"/>
      <c r="RWI53"/>
      <c r="RWJ53"/>
      <c r="RWK53"/>
      <c r="RWL53"/>
      <c r="RWM53"/>
      <c r="RWN53"/>
      <c r="RWO53"/>
      <c r="RWP53"/>
      <c r="RWQ53"/>
      <c r="RWR53"/>
      <c r="RWS53"/>
      <c r="RWT53"/>
      <c r="RWU53"/>
      <c r="RWV53"/>
      <c r="RWW53"/>
      <c r="RWX53"/>
      <c r="RWY53"/>
      <c r="RWZ53"/>
      <c r="RXA53"/>
      <c r="RXB53"/>
      <c r="RXC53"/>
      <c r="RXD53"/>
      <c r="RXE53"/>
      <c r="RXF53"/>
      <c r="RXG53"/>
      <c r="RXH53"/>
      <c r="RXI53"/>
      <c r="RXJ53"/>
      <c r="RXK53"/>
      <c r="RXL53"/>
      <c r="RXM53"/>
      <c r="RXN53"/>
      <c r="RXO53"/>
      <c r="RXP53"/>
      <c r="RXQ53"/>
      <c r="RXR53"/>
      <c r="RXS53"/>
      <c r="RXT53"/>
      <c r="RXU53"/>
      <c r="RXV53"/>
      <c r="RXW53"/>
      <c r="RXX53"/>
      <c r="RXY53"/>
      <c r="RXZ53"/>
      <c r="RYA53"/>
      <c r="RYB53"/>
      <c r="RYC53"/>
      <c r="RYD53"/>
      <c r="RYE53"/>
      <c r="RYF53"/>
      <c r="RYG53"/>
      <c r="RYH53"/>
      <c r="RYI53"/>
      <c r="RYJ53"/>
      <c r="RYK53"/>
      <c r="RYL53"/>
      <c r="RYM53"/>
      <c r="RYN53"/>
      <c r="RYO53"/>
      <c r="RYP53"/>
      <c r="RYQ53"/>
      <c r="RYR53"/>
      <c r="RYS53"/>
      <c r="RYT53"/>
      <c r="RYU53"/>
      <c r="RYV53"/>
      <c r="RYW53"/>
      <c r="RYX53"/>
      <c r="RYY53"/>
      <c r="RYZ53"/>
      <c r="RZA53"/>
      <c r="RZB53"/>
      <c r="RZC53"/>
      <c r="RZD53"/>
      <c r="RZE53"/>
      <c r="RZF53"/>
      <c r="RZG53"/>
      <c r="RZH53"/>
      <c r="RZI53"/>
      <c r="RZJ53"/>
      <c r="RZK53"/>
      <c r="RZL53"/>
      <c r="RZM53"/>
      <c r="RZN53"/>
      <c r="RZO53"/>
      <c r="RZP53"/>
      <c r="RZQ53"/>
      <c r="RZR53"/>
      <c r="RZS53"/>
      <c r="RZT53"/>
      <c r="RZU53"/>
      <c r="RZV53"/>
      <c r="RZW53"/>
      <c r="RZX53"/>
      <c r="RZY53"/>
      <c r="RZZ53"/>
      <c r="SAA53"/>
      <c r="SAB53"/>
      <c r="SAC53"/>
      <c r="SAD53"/>
      <c r="SAE53"/>
      <c r="SAF53"/>
      <c r="SAG53"/>
      <c r="SAH53"/>
      <c r="SAI53"/>
      <c r="SAJ53"/>
      <c r="SAK53"/>
      <c r="SAL53"/>
      <c r="SAM53"/>
      <c r="SAN53"/>
      <c r="SAO53"/>
      <c r="SAP53"/>
      <c r="SAQ53"/>
      <c r="SAR53"/>
      <c r="SAS53"/>
      <c r="SAT53"/>
      <c r="SAU53"/>
      <c r="SAV53"/>
      <c r="SAW53"/>
      <c r="SAX53"/>
      <c r="SAY53"/>
      <c r="SAZ53"/>
      <c r="SBA53"/>
      <c r="SBB53"/>
      <c r="SBC53"/>
      <c r="SBD53"/>
      <c r="SBE53"/>
      <c r="SBF53"/>
      <c r="SBG53"/>
      <c r="SBH53"/>
      <c r="SBI53"/>
      <c r="SBJ53"/>
      <c r="SBK53"/>
      <c r="SBL53"/>
      <c r="SBM53"/>
      <c r="SBN53"/>
      <c r="SBO53"/>
      <c r="SBP53"/>
      <c r="SBQ53"/>
      <c r="SBR53"/>
      <c r="SBS53"/>
      <c r="SBT53"/>
      <c r="SBU53"/>
      <c r="SBV53"/>
      <c r="SBW53"/>
      <c r="SBX53"/>
      <c r="SBY53"/>
      <c r="SBZ53"/>
      <c r="SCA53"/>
      <c r="SCB53"/>
      <c r="SCC53"/>
      <c r="SCD53"/>
      <c r="SCE53"/>
      <c r="SCF53"/>
      <c r="SCG53"/>
      <c r="SCH53"/>
      <c r="SCI53"/>
      <c r="SCJ53"/>
      <c r="SCK53"/>
      <c r="SCL53"/>
      <c r="SCM53"/>
      <c r="SCN53"/>
      <c r="SCO53"/>
      <c r="SCP53"/>
      <c r="SCQ53"/>
      <c r="SCR53"/>
      <c r="SCS53"/>
      <c r="SCT53"/>
      <c r="SCU53"/>
      <c r="SCV53"/>
      <c r="SCW53"/>
      <c r="SCX53"/>
      <c r="SCY53"/>
      <c r="SCZ53"/>
      <c r="SDA53"/>
      <c r="SDB53"/>
      <c r="SDC53"/>
      <c r="SDD53"/>
      <c r="SDE53"/>
      <c r="SDF53"/>
      <c r="SDG53"/>
      <c r="SDH53"/>
      <c r="SDI53"/>
      <c r="SDJ53"/>
      <c r="SDK53"/>
      <c r="SDL53"/>
      <c r="SDM53"/>
      <c r="SDN53"/>
      <c r="SDO53"/>
      <c r="SDP53"/>
      <c r="SDQ53"/>
      <c r="SDR53"/>
      <c r="SDS53"/>
      <c r="SDT53"/>
      <c r="SDU53"/>
      <c r="SDV53"/>
      <c r="SDW53"/>
      <c r="SDX53"/>
      <c r="SDY53"/>
      <c r="SDZ53"/>
      <c r="SEA53"/>
      <c r="SEB53"/>
      <c r="SEC53"/>
      <c r="SED53"/>
      <c r="SEE53"/>
      <c r="SEF53"/>
      <c r="SEG53"/>
      <c r="SEH53"/>
      <c r="SEI53"/>
      <c r="SEJ53"/>
      <c r="SEK53"/>
      <c r="SEL53"/>
      <c r="SEM53"/>
      <c r="SEN53"/>
      <c r="SEO53"/>
      <c r="SEP53"/>
      <c r="SEQ53"/>
      <c r="SER53"/>
      <c r="SES53"/>
      <c r="SET53"/>
      <c r="SEU53"/>
      <c r="SEV53"/>
      <c r="SEW53"/>
      <c r="SEX53"/>
      <c r="SEY53"/>
      <c r="SEZ53"/>
      <c r="SFA53"/>
      <c r="SFB53"/>
      <c r="SFC53"/>
      <c r="SFD53"/>
      <c r="SFE53"/>
      <c r="SFF53"/>
      <c r="SFG53"/>
      <c r="SFH53"/>
      <c r="SFI53"/>
      <c r="SFJ53"/>
      <c r="SFK53"/>
      <c r="SFL53"/>
      <c r="SFM53"/>
      <c r="SFN53"/>
      <c r="SFO53"/>
      <c r="SFP53"/>
      <c r="SFQ53"/>
      <c r="SFR53"/>
      <c r="SFS53"/>
      <c r="SFT53"/>
      <c r="SFU53"/>
      <c r="SFV53"/>
      <c r="SFW53"/>
      <c r="SFX53"/>
      <c r="SFY53"/>
      <c r="SFZ53"/>
      <c r="SGA53"/>
      <c r="SGB53"/>
      <c r="SGC53"/>
      <c r="SGD53"/>
      <c r="SGE53"/>
      <c r="SGF53"/>
      <c r="SGG53"/>
      <c r="SGH53"/>
      <c r="SGI53"/>
      <c r="SGJ53"/>
      <c r="SGK53"/>
      <c r="SGL53"/>
      <c r="SGM53"/>
      <c r="SGN53"/>
      <c r="SGO53"/>
      <c r="SGP53"/>
      <c r="SGQ53"/>
      <c r="SGR53"/>
      <c r="SGS53"/>
      <c r="SGT53"/>
      <c r="SGU53"/>
      <c r="SGV53"/>
      <c r="SGW53"/>
      <c r="SGX53"/>
      <c r="SGY53"/>
      <c r="SGZ53"/>
      <c r="SHA53"/>
      <c r="SHB53"/>
      <c r="SHC53"/>
      <c r="SHD53"/>
      <c r="SHE53"/>
      <c r="SHF53"/>
      <c r="SHG53"/>
      <c r="SHH53"/>
      <c r="SHI53"/>
      <c r="SHJ53"/>
      <c r="SHK53"/>
      <c r="SHL53"/>
      <c r="SHM53"/>
      <c r="SHN53"/>
      <c r="SHO53"/>
      <c r="SHP53"/>
      <c r="SHQ53"/>
      <c r="SHR53"/>
      <c r="SHS53"/>
      <c r="SHT53"/>
      <c r="SHU53"/>
      <c r="SHV53"/>
      <c r="SHW53"/>
      <c r="SHX53"/>
      <c r="SHY53"/>
      <c r="SHZ53"/>
      <c r="SIA53"/>
      <c r="SIB53"/>
      <c r="SIC53"/>
      <c r="SID53"/>
      <c r="SIE53"/>
      <c r="SIF53"/>
      <c r="SIG53"/>
      <c r="SIH53"/>
      <c r="SII53"/>
      <c r="SIJ53"/>
      <c r="SIK53"/>
      <c r="SIL53"/>
      <c r="SIM53"/>
      <c r="SIN53"/>
      <c r="SIO53"/>
      <c r="SIP53"/>
      <c r="SIQ53"/>
      <c r="SIR53"/>
      <c r="SIS53"/>
      <c r="SIT53"/>
      <c r="SIU53"/>
      <c r="SIV53"/>
      <c r="SIW53"/>
      <c r="SIX53"/>
      <c r="SIY53"/>
      <c r="SIZ53"/>
      <c r="SJA53"/>
      <c r="SJB53"/>
      <c r="SJC53"/>
      <c r="SJD53"/>
      <c r="SJE53"/>
      <c r="SJF53"/>
      <c r="SJG53"/>
      <c r="SJH53"/>
      <c r="SJI53"/>
      <c r="SJJ53"/>
      <c r="SJK53"/>
      <c r="SJL53"/>
      <c r="SJM53"/>
      <c r="SJN53"/>
      <c r="SJO53"/>
      <c r="SJP53"/>
      <c r="SJQ53"/>
      <c r="SJR53"/>
      <c r="SJS53"/>
      <c r="SJT53"/>
      <c r="SJU53"/>
      <c r="SJV53"/>
      <c r="SJW53"/>
      <c r="SJX53"/>
      <c r="SJY53"/>
      <c r="SJZ53"/>
      <c r="SKA53"/>
      <c r="SKB53"/>
      <c r="SKC53"/>
      <c r="SKD53"/>
      <c r="SKE53"/>
      <c r="SKF53"/>
      <c r="SKG53"/>
      <c r="SKH53"/>
      <c r="SKI53"/>
      <c r="SKJ53"/>
      <c r="SKK53"/>
      <c r="SKL53"/>
      <c r="SKM53"/>
      <c r="SKN53"/>
      <c r="SKO53"/>
      <c r="SKP53"/>
      <c r="SKQ53"/>
      <c r="SKR53"/>
      <c r="SKS53"/>
      <c r="SKT53"/>
      <c r="SKU53"/>
      <c r="SKV53"/>
      <c r="SKW53"/>
      <c r="SKX53"/>
      <c r="SKY53"/>
      <c r="SKZ53"/>
      <c r="SLA53"/>
      <c r="SLB53"/>
      <c r="SLC53"/>
      <c r="SLD53"/>
      <c r="SLE53"/>
      <c r="SLF53"/>
      <c r="SLG53"/>
      <c r="SLH53"/>
      <c r="SLI53"/>
      <c r="SLJ53"/>
      <c r="SLK53"/>
      <c r="SLL53"/>
      <c r="SLM53"/>
      <c r="SLN53"/>
      <c r="SLO53"/>
      <c r="SLP53"/>
      <c r="SLQ53"/>
      <c r="SLR53"/>
      <c r="SLS53"/>
      <c r="SLT53"/>
      <c r="SLU53"/>
      <c r="SLV53"/>
      <c r="SLW53"/>
      <c r="SLX53"/>
      <c r="SLY53"/>
      <c r="SLZ53"/>
      <c r="SMA53"/>
      <c r="SMB53"/>
      <c r="SMC53"/>
      <c r="SMD53"/>
      <c r="SME53"/>
      <c r="SMF53"/>
      <c r="SMG53"/>
      <c r="SMH53"/>
      <c r="SMI53"/>
      <c r="SMJ53"/>
      <c r="SMK53"/>
      <c r="SML53"/>
      <c r="SMM53"/>
      <c r="SMN53"/>
      <c r="SMO53"/>
      <c r="SMP53"/>
      <c r="SMQ53"/>
      <c r="SMR53"/>
      <c r="SMS53"/>
      <c r="SMT53"/>
      <c r="SMU53"/>
      <c r="SMV53"/>
      <c r="SMW53"/>
      <c r="SMX53"/>
      <c r="SMY53"/>
      <c r="SMZ53"/>
      <c r="SNA53"/>
      <c r="SNB53"/>
      <c r="SNC53"/>
      <c r="SND53"/>
      <c r="SNE53"/>
      <c r="SNF53"/>
      <c r="SNG53"/>
      <c r="SNH53"/>
      <c r="SNI53"/>
      <c r="SNJ53"/>
      <c r="SNK53"/>
      <c r="SNL53"/>
      <c r="SNM53"/>
      <c r="SNN53"/>
      <c r="SNO53"/>
      <c r="SNP53"/>
      <c r="SNQ53"/>
      <c r="SNR53"/>
      <c r="SNS53"/>
      <c r="SNT53"/>
      <c r="SNU53"/>
      <c r="SNV53"/>
      <c r="SNW53"/>
      <c r="SNX53"/>
      <c r="SNY53"/>
      <c r="SNZ53"/>
      <c r="SOA53"/>
      <c r="SOB53"/>
      <c r="SOC53"/>
      <c r="SOD53"/>
      <c r="SOE53"/>
      <c r="SOF53"/>
      <c r="SOG53"/>
      <c r="SOH53"/>
      <c r="SOI53"/>
      <c r="SOJ53"/>
      <c r="SOK53"/>
      <c r="SOL53"/>
      <c r="SOM53"/>
      <c r="SON53"/>
      <c r="SOO53"/>
      <c r="SOP53"/>
      <c r="SOQ53"/>
      <c r="SOR53"/>
      <c r="SOS53"/>
      <c r="SOT53"/>
      <c r="SOU53"/>
      <c r="SOV53"/>
      <c r="SOW53"/>
      <c r="SOX53"/>
      <c r="SOY53"/>
      <c r="SOZ53"/>
      <c r="SPA53"/>
      <c r="SPB53"/>
      <c r="SPC53"/>
      <c r="SPD53"/>
      <c r="SPE53"/>
      <c r="SPF53"/>
      <c r="SPG53"/>
      <c r="SPH53"/>
      <c r="SPI53"/>
      <c r="SPJ53"/>
      <c r="SPK53"/>
      <c r="SPL53"/>
      <c r="SPM53"/>
      <c r="SPN53"/>
      <c r="SPO53"/>
      <c r="SPP53"/>
      <c r="SPQ53"/>
      <c r="SPR53"/>
      <c r="SPS53"/>
      <c r="SPT53"/>
      <c r="SPU53"/>
      <c r="SPV53"/>
      <c r="SPW53"/>
      <c r="SPX53"/>
      <c r="SPY53"/>
      <c r="SPZ53"/>
      <c r="SQA53"/>
      <c r="SQB53"/>
      <c r="SQC53"/>
      <c r="SQD53"/>
      <c r="SQE53"/>
      <c r="SQF53"/>
      <c r="SQG53"/>
      <c r="SQH53"/>
      <c r="SQI53"/>
      <c r="SQJ53"/>
      <c r="SQK53"/>
      <c r="SQL53"/>
      <c r="SQM53"/>
      <c r="SQN53"/>
      <c r="SQO53"/>
      <c r="SQP53"/>
      <c r="SQQ53"/>
      <c r="SQR53"/>
      <c r="SQS53"/>
      <c r="SQT53"/>
      <c r="SQU53"/>
      <c r="SQV53"/>
      <c r="SQW53"/>
      <c r="SQX53"/>
      <c r="SQY53"/>
      <c r="SQZ53"/>
      <c r="SRA53"/>
      <c r="SRB53"/>
      <c r="SRC53"/>
      <c r="SRD53"/>
      <c r="SRE53"/>
      <c r="SRF53"/>
      <c r="SRG53"/>
      <c r="SRH53"/>
      <c r="SRI53"/>
      <c r="SRJ53"/>
      <c r="SRK53"/>
      <c r="SRL53"/>
      <c r="SRM53"/>
      <c r="SRN53"/>
      <c r="SRO53"/>
      <c r="SRP53"/>
      <c r="SRQ53"/>
      <c r="SRR53"/>
      <c r="SRS53"/>
      <c r="SRT53"/>
      <c r="SRU53"/>
      <c r="SRV53"/>
      <c r="SRW53"/>
      <c r="SRX53"/>
      <c r="SRY53"/>
      <c r="SRZ53"/>
      <c r="SSA53"/>
      <c r="SSB53"/>
      <c r="SSC53"/>
      <c r="SSD53"/>
      <c r="SSE53"/>
      <c r="SSF53"/>
      <c r="SSG53"/>
      <c r="SSH53"/>
      <c r="SSI53"/>
      <c r="SSJ53"/>
      <c r="SSK53"/>
      <c r="SSL53"/>
      <c r="SSM53"/>
      <c r="SSN53"/>
      <c r="SSO53"/>
      <c r="SSP53"/>
      <c r="SSQ53"/>
      <c r="SSR53"/>
      <c r="SSS53"/>
      <c r="SST53"/>
      <c r="SSU53"/>
      <c r="SSV53"/>
      <c r="SSW53"/>
      <c r="SSX53"/>
      <c r="SSY53"/>
      <c r="SSZ53"/>
      <c r="STA53"/>
      <c r="STB53"/>
      <c r="STC53"/>
      <c r="STD53"/>
      <c r="STE53"/>
      <c r="STF53"/>
      <c r="STG53"/>
      <c r="STH53"/>
      <c r="STI53"/>
      <c r="STJ53"/>
      <c r="STK53"/>
      <c r="STL53"/>
      <c r="STM53"/>
      <c r="STN53"/>
      <c r="STO53"/>
      <c r="STP53"/>
      <c r="STQ53"/>
      <c r="STR53"/>
      <c r="STS53"/>
      <c r="STT53"/>
      <c r="STU53"/>
      <c r="STV53"/>
      <c r="STW53"/>
      <c r="STX53"/>
      <c r="STY53"/>
      <c r="STZ53"/>
      <c r="SUA53"/>
      <c r="SUB53"/>
      <c r="SUC53"/>
      <c r="SUD53"/>
      <c r="SUE53"/>
      <c r="SUF53"/>
      <c r="SUG53"/>
      <c r="SUH53"/>
      <c r="SUI53"/>
      <c r="SUJ53"/>
      <c r="SUK53"/>
      <c r="SUL53"/>
      <c r="SUM53"/>
      <c r="SUN53"/>
      <c r="SUO53"/>
      <c r="SUP53"/>
      <c r="SUQ53"/>
      <c r="SUR53"/>
      <c r="SUS53"/>
      <c r="SUT53"/>
      <c r="SUU53"/>
      <c r="SUV53"/>
      <c r="SUW53"/>
      <c r="SUX53"/>
      <c r="SUY53"/>
      <c r="SUZ53"/>
      <c r="SVA53"/>
      <c r="SVB53"/>
      <c r="SVC53"/>
      <c r="SVD53"/>
      <c r="SVE53"/>
      <c r="SVF53"/>
      <c r="SVG53"/>
      <c r="SVH53"/>
      <c r="SVI53"/>
      <c r="SVJ53"/>
      <c r="SVK53"/>
      <c r="SVL53"/>
      <c r="SVM53"/>
      <c r="SVN53"/>
      <c r="SVO53"/>
      <c r="SVP53"/>
      <c r="SVQ53"/>
      <c r="SVR53"/>
      <c r="SVS53"/>
      <c r="SVT53"/>
      <c r="SVU53"/>
      <c r="SVV53"/>
      <c r="SVW53"/>
      <c r="SVX53"/>
      <c r="SVY53"/>
      <c r="SVZ53"/>
      <c r="SWA53"/>
      <c r="SWB53"/>
      <c r="SWC53"/>
      <c r="SWD53"/>
      <c r="SWE53"/>
      <c r="SWF53"/>
      <c r="SWG53"/>
      <c r="SWH53"/>
      <c r="SWI53"/>
      <c r="SWJ53"/>
      <c r="SWK53"/>
      <c r="SWL53"/>
      <c r="SWM53"/>
      <c r="SWN53"/>
      <c r="SWO53"/>
      <c r="SWP53"/>
      <c r="SWQ53"/>
      <c r="SWR53"/>
      <c r="SWS53"/>
      <c r="SWT53"/>
      <c r="SWU53"/>
      <c r="SWV53"/>
      <c r="SWW53"/>
      <c r="SWX53"/>
      <c r="SWY53"/>
      <c r="SWZ53"/>
      <c r="SXA53"/>
      <c r="SXB53"/>
      <c r="SXC53"/>
      <c r="SXD53"/>
      <c r="SXE53"/>
      <c r="SXF53"/>
      <c r="SXG53"/>
      <c r="SXH53"/>
      <c r="SXI53"/>
      <c r="SXJ53"/>
      <c r="SXK53"/>
      <c r="SXL53"/>
      <c r="SXM53"/>
      <c r="SXN53"/>
      <c r="SXO53"/>
      <c r="SXP53"/>
      <c r="SXQ53"/>
      <c r="SXR53"/>
      <c r="SXS53"/>
      <c r="SXT53"/>
      <c r="SXU53"/>
      <c r="SXV53"/>
      <c r="SXW53"/>
      <c r="SXX53"/>
      <c r="SXY53"/>
      <c r="SXZ53"/>
      <c r="SYA53"/>
      <c r="SYB53"/>
      <c r="SYC53"/>
      <c r="SYD53"/>
      <c r="SYE53"/>
      <c r="SYF53"/>
      <c r="SYG53"/>
      <c r="SYH53"/>
      <c r="SYI53"/>
      <c r="SYJ53"/>
      <c r="SYK53"/>
      <c r="SYL53"/>
      <c r="SYM53"/>
      <c r="SYN53"/>
      <c r="SYO53"/>
      <c r="SYP53"/>
      <c r="SYQ53"/>
      <c r="SYR53"/>
      <c r="SYS53"/>
      <c r="SYT53"/>
      <c r="SYU53"/>
      <c r="SYV53"/>
      <c r="SYW53"/>
      <c r="SYX53"/>
      <c r="SYY53"/>
      <c r="SYZ53"/>
      <c r="SZA53"/>
      <c r="SZB53"/>
      <c r="SZC53"/>
      <c r="SZD53"/>
      <c r="SZE53"/>
      <c r="SZF53"/>
      <c r="SZG53"/>
      <c r="SZH53"/>
      <c r="SZI53"/>
      <c r="SZJ53"/>
      <c r="SZK53"/>
      <c r="SZL53"/>
      <c r="SZM53"/>
      <c r="SZN53"/>
      <c r="SZO53"/>
      <c r="SZP53"/>
      <c r="SZQ53"/>
      <c r="SZR53"/>
      <c r="SZS53"/>
      <c r="SZT53"/>
      <c r="SZU53"/>
      <c r="SZV53"/>
      <c r="SZW53"/>
      <c r="SZX53"/>
      <c r="SZY53"/>
      <c r="SZZ53"/>
      <c r="TAA53"/>
      <c r="TAB53"/>
      <c r="TAC53"/>
      <c r="TAD53"/>
      <c r="TAE53"/>
      <c r="TAF53"/>
      <c r="TAG53"/>
      <c r="TAH53"/>
      <c r="TAI53"/>
      <c r="TAJ53"/>
      <c r="TAK53"/>
      <c r="TAL53"/>
      <c r="TAM53"/>
      <c r="TAN53"/>
      <c r="TAO53"/>
      <c r="TAP53"/>
      <c r="TAQ53"/>
      <c r="TAR53"/>
      <c r="TAS53"/>
      <c r="TAT53"/>
      <c r="TAU53"/>
      <c r="TAV53"/>
      <c r="TAW53"/>
      <c r="TAX53"/>
      <c r="TAY53"/>
      <c r="TAZ53"/>
      <c r="TBA53"/>
      <c r="TBB53"/>
      <c r="TBC53"/>
      <c r="TBD53"/>
      <c r="TBE53"/>
      <c r="TBF53"/>
      <c r="TBG53"/>
      <c r="TBH53"/>
      <c r="TBI53"/>
      <c r="TBJ53"/>
      <c r="TBK53"/>
      <c r="TBL53"/>
      <c r="TBM53"/>
      <c r="TBN53"/>
      <c r="TBO53"/>
      <c r="TBP53"/>
      <c r="TBQ53"/>
      <c r="TBR53"/>
      <c r="TBS53"/>
      <c r="TBT53"/>
      <c r="TBU53"/>
      <c r="TBV53"/>
      <c r="TBW53"/>
      <c r="TBX53"/>
      <c r="TBY53"/>
      <c r="TBZ53"/>
      <c r="TCA53"/>
      <c r="TCB53"/>
      <c r="TCC53"/>
      <c r="TCD53"/>
      <c r="TCE53"/>
      <c r="TCF53"/>
      <c r="TCG53"/>
      <c r="TCH53"/>
      <c r="TCI53"/>
      <c r="TCJ53"/>
      <c r="TCK53"/>
      <c r="TCL53"/>
      <c r="TCM53"/>
      <c r="TCN53"/>
      <c r="TCO53"/>
      <c r="TCP53"/>
      <c r="TCQ53"/>
      <c r="TCR53"/>
      <c r="TCS53"/>
      <c r="TCT53"/>
      <c r="TCU53"/>
      <c r="TCV53"/>
      <c r="TCW53"/>
      <c r="TCX53"/>
      <c r="TCY53"/>
      <c r="TCZ53"/>
      <c r="TDA53"/>
      <c r="TDB53"/>
      <c r="TDC53"/>
      <c r="TDD53"/>
      <c r="TDE53"/>
      <c r="TDF53"/>
      <c r="TDG53"/>
      <c r="TDH53"/>
      <c r="TDI53"/>
      <c r="TDJ53"/>
      <c r="TDK53"/>
      <c r="TDL53"/>
      <c r="TDM53"/>
      <c r="TDN53"/>
      <c r="TDO53"/>
      <c r="TDP53"/>
      <c r="TDQ53"/>
      <c r="TDR53"/>
      <c r="TDS53"/>
      <c r="TDT53"/>
      <c r="TDU53"/>
      <c r="TDV53"/>
      <c r="TDW53"/>
      <c r="TDX53"/>
      <c r="TDY53"/>
      <c r="TDZ53"/>
      <c r="TEA53"/>
      <c r="TEB53"/>
      <c r="TEC53"/>
      <c r="TED53"/>
      <c r="TEE53"/>
      <c r="TEF53"/>
      <c r="TEG53"/>
      <c r="TEH53"/>
      <c r="TEI53"/>
      <c r="TEJ53"/>
      <c r="TEK53"/>
      <c r="TEL53"/>
      <c r="TEM53"/>
      <c r="TEN53"/>
      <c r="TEO53"/>
      <c r="TEP53"/>
      <c r="TEQ53"/>
      <c r="TER53"/>
      <c r="TES53"/>
      <c r="TET53"/>
      <c r="TEU53"/>
      <c r="TEV53"/>
      <c r="TEW53"/>
      <c r="TEX53"/>
      <c r="TEY53"/>
      <c r="TEZ53"/>
      <c r="TFA53"/>
      <c r="TFB53"/>
      <c r="TFC53"/>
      <c r="TFD53"/>
      <c r="TFE53"/>
      <c r="TFF53"/>
      <c r="TFG53"/>
      <c r="TFH53"/>
      <c r="TFI53"/>
      <c r="TFJ53"/>
      <c r="TFK53"/>
      <c r="TFL53"/>
      <c r="TFM53"/>
      <c r="TFN53"/>
      <c r="TFO53"/>
      <c r="TFP53"/>
      <c r="TFQ53"/>
      <c r="TFR53"/>
      <c r="TFS53"/>
      <c r="TFT53"/>
      <c r="TFU53"/>
      <c r="TFV53"/>
      <c r="TFW53"/>
      <c r="TFX53"/>
      <c r="TFY53"/>
      <c r="TFZ53"/>
      <c r="TGA53"/>
      <c r="TGB53"/>
      <c r="TGC53"/>
      <c r="TGD53"/>
      <c r="TGE53"/>
      <c r="TGF53"/>
      <c r="TGG53"/>
      <c r="TGH53"/>
      <c r="TGI53"/>
      <c r="TGJ53"/>
      <c r="TGK53"/>
      <c r="TGL53"/>
      <c r="TGM53"/>
      <c r="TGN53"/>
      <c r="TGO53"/>
      <c r="TGP53"/>
      <c r="TGQ53"/>
      <c r="TGR53"/>
      <c r="TGS53"/>
      <c r="TGT53"/>
      <c r="TGU53"/>
      <c r="TGV53"/>
      <c r="TGW53"/>
      <c r="TGX53"/>
      <c r="TGY53"/>
      <c r="TGZ53"/>
      <c r="THA53"/>
      <c r="THB53"/>
      <c r="THC53"/>
      <c r="THD53"/>
      <c r="THE53"/>
      <c r="THF53"/>
      <c r="THG53"/>
      <c r="THH53"/>
      <c r="THI53"/>
      <c r="THJ53"/>
      <c r="THK53"/>
      <c r="THL53"/>
      <c r="THM53"/>
      <c r="THN53"/>
      <c r="THO53"/>
      <c r="THP53"/>
      <c r="THQ53"/>
      <c r="THR53"/>
      <c r="THS53"/>
      <c r="THT53"/>
      <c r="THU53"/>
      <c r="THV53"/>
      <c r="THW53"/>
      <c r="THX53"/>
      <c r="THY53"/>
      <c r="THZ53"/>
      <c r="TIA53"/>
      <c r="TIB53"/>
      <c r="TIC53"/>
      <c r="TID53"/>
      <c r="TIE53"/>
      <c r="TIF53"/>
      <c r="TIG53"/>
      <c r="TIH53"/>
      <c r="TII53"/>
      <c r="TIJ53"/>
      <c r="TIK53"/>
      <c r="TIL53"/>
      <c r="TIM53"/>
      <c r="TIN53"/>
      <c r="TIO53"/>
      <c r="TIP53"/>
      <c r="TIQ53"/>
      <c r="TIR53"/>
      <c r="TIS53"/>
      <c r="TIT53"/>
      <c r="TIU53"/>
      <c r="TIV53"/>
      <c r="TIW53"/>
      <c r="TIX53"/>
      <c r="TIY53"/>
      <c r="TIZ53"/>
      <c r="TJA53"/>
      <c r="TJB53"/>
      <c r="TJC53"/>
      <c r="TJD53"/>
      <c r="TJE53"/>
      <c r="TJF53"/>
      <c r="TJG53"/>
      <c r="TJH53"/>
      <c r="TJI53"/>
      <c r="TJJ53"/>
      <c r="TJK53"/>
      <c r="TJL53"/>
      <c r="TJM53"/>
      <c r="TJN53"/>
      <c r="TJO53"/>
      <c r="TJP53"/>
      <c r="TJQ53"/>
      <c r="TJR53"/>
      <c r="TJS53"/>
      <c r="TJT53"/>
      <c r="TJU53"/>
      <c r="TJV53"/>
      <c r="TJW53"/>
      <c r="TJX53"/>
      <c r="TJY53"/>
      <c r="TJZ53"/>
      <c r="TKA53"/>
      <c r="TKB53"/>
      <c r="TKC53"/>
      <c r="TKD53"/>
      <c r="TKE53"/>
      <c r="TKF53"/>
      <c r="TKG53"/>
      <c r="TKH53"/>
      <c r="TKI53"/>
      <c r="TKJ53"/>
      <c r="TKK53"/>
      <c r="TKL53"/>
      <c r="TKM53"/>
      <c r="TKN53"/>
      <c r="TKO53"/>
      <c r="TKP53"/>
      <c r="TKQ53"/>
      <c r="TKR53"/>
      <c r="TKS53"/>
      <c r="TKT53"/>
      <c r="TKU53"/>
      <c r="TKV53"/>
      <c r="TKW53"/>
      <c r="TKX53"/>
      <c r="TKY53"/>
      <c r="TKZ53"/>
      <c r="TLA53"/>
      <c r="TLB53"/>
      <c r="TLC53"/>
      <c r="TLD53"/>
      <c r="TLE53"/>
      <c r="TLF53"/>
      <c r="TLG53"/>
      <c r="TLH53"/>
      <c r="TLI53"/>
      <c r="TLJ53"/>
      <c r="TLK53"/>
      <c r="TLL53"/>
      <c r="TLM53"/>
      <c r="TLN53"/>
      <c r="TLO53"/>
      <c r="TLP53"/>
      <c r="TLQ53"/>
      <c r="TLR53"/>
      <c r="TLS53"/>
      <c r="TLT53"/>
      <c r="TLU53"/>
      <c r="TLV53"/>
      <c r="TLW53"/>
      <c r="TLX53"/>
      <c r="TLY53"/>
      <c r="TLZ53"/>
      <c r="TMA53"/>
      <c r="TMB53"/>
      <c r="TMC53"/>
      <c r="TMD53"/>
      <c r="TME53"/>
      <c r="TMF53"/>
      <c r="TMG53"/>
      <c r="TMH53"/>
      <c r="TMI53"/>
      <c r="TMJ53"/>
      <c r="TMK53"/>
      <c r="TML53"/>
      <c r="TMM53"/>
      <c r="TMN53"/>
      <c r="TMO53"/>
      <c r="TMP53"/>
      <c r="TMQ53"/>
      <c r="TMR53"/>
      <c r="TMS53"/>
      <c r="TMT53"/>
      <c r="TMU53"/>
      <c r="TMV53"/>
      <c r="TMW53"/>
      <c r="TMX53"/>
      <c r="TMY53"/>
      <c r="TMZ53"/>
      <c r="TNA53"/>
      <c r="TNB53"/>
      <c r="TNC53"/>
      <c r="TND53"/>
      <c r="TNE53"/>
      <c r="TNF53"/>
      <c r="TNG53"/>
      <c r="TNH53"/>
      <c r="TNI53"/>
      <c r="TNJ53"/>
      <c r="TNK53"/>
      <c r="TNL53"/>
      <c r="TNM53"/>
      <c r="TNN53"/>
      <c r="TNO53"/>
      <c r="TNP53"/>
      <c r="TNQ53"/>
      <c r="TNR53"/>
      <c r="TNS53"/>
      <c r="TNT53"/>
      <c r="TNU53"/>
      <c r="TNV53"/>
      <c r="TNW53"/>
      <c r="TNX53"/>
      <c r="TNY53"/>
      <c r="TNZ53"/>
      <c r="TOA53"/>
      <c r="TOB53"/>
      <c r="TOC53"/>
      <c r="TOD53"/>
      <c r="TOE53"/>
      <c r="TOF53"/>
      <c r="TOG53"/>
      <c r="TOH53"/>
      <c r="TOI53"/>
      <c r="TOJ53"/>
      <c r="TOK53"/>
      <c r="TOL53"/>
      <c r="TOM53"/>
      <c r="TON53"/>
      <c r="TOO53"/>
      <c r="TOP53"/>
      <c r="TOQ53"/>
      <c r="TOR53"/>
      <c r="TOS53"/>
      <c r="TOT53"/>
      <c r="TOU53"/>
      <c r="TOV53"/>
      <c r="TOW53"/>
      <c r="TOX53"/>
      <c r="TOY53"/>
      <c r="TOZ53"/>
      <c r="TPA53"/>
      <c r="TPB53"/>
      <c r="TPC53"/>
      <c r="TPD53"/>
      <c r="TPE53"/>
      <c r="TPF53"/>
      <c r="TPG53"/>
      <c r="TPH53"/>
      <c r="TPI53"/>
      <c r="TPJ53"/>
      <c r="TPK53"/>
      <c r="TPL53"/>
      <c r="TPM53"/>
      <c r="TPN53"/>
      <c r="TPO53"/>
      <c r="TPP53"/>
      <c r="TPQ53"/>
      <c r="TPR53"/>
      <c r="TPS53"/>
      <c r="TPT53"/>
      <c r="TPU53"/>
      <c r="TPV53"/>
      <c r="TPW53"/>
      <c r="TPX53"/>
      <c r="TPY53"/>
      <c r="TPZ53"/>
      <c r="TQA53"/>
      <c r="TQB53"/>
      <c r="TQC53"/>
      <c r="TQD53"/>
      <c r="TQE53"/>
      <c r="TQF53"/>
      <c r="TQG53"/>
      <c r="TQH53"/>
      <c r="TQI53"/>
      <c r="TQJ53"/>
      <c r="TQK53"/>
      <c r="TQL53"/>
      <c r="TQM53"/>
      <c r="TQN53"/>
      <c r="TQO53"/>
      <c r="TQP53"/>
      <c r="TQQ53"/>
      <c r="TQR53"/>
      <c r="TQS53"/>
      <c r="TQT53"/>
      <c r="TQU53"/>
      <c r="TQV53"/>
      <c r="TQW53"/>
      <c r="TQX53"/>
      <c r="TQY53"/>
      <c r="TQZ53"/>
      <c r="TRA53"/>
      <c r="TRB53"/>
      <c r="TRC53"/>
      <c r="TRD53"/>
      <c r="TRE53"/>
      <c r="TRF53"/>
      <c r="TRG53"/>
      <c r="TRH53"/>
      <c r="TRI53"/>
      <c r="TRJ53"/>
      <c r="TRK53"/>
      <c r="TRL53"/>
      <c r="TRM53"/>
      <c r="TRN53"/>
      <c r="TRO53"/>
      <c r="TRP53"/>
      <c r="TRQ53"/>
      <c r="TRR53"/>
      <c r="TRS53"/>
      <c r="TRT53"/>
      <c r="TRU53"/>
      <c r="TRV53"/>
      <c r="TRW53"/>
      <c r="TRX53"/>
      <c r="TRY53"/>
      <c r="TRZ53"/>
      <c r="TSA53"/>
      <c r="TSB53"/>
      <c r="TSC53"/>
      <c r="TSD53"/>
      <c r="TSE53"/>
      <c r="TSF53"/>
      <c r="TSG53"/>
      <c r="TSH53"/>
      <c r="TSI53"/>
      <c r="TSJ53"/>
      <c r="TSK53"/>
      <c r="TSL53"/>
      <c r="TSM53"/>
      <c r="TSN53"/>
      <c r="TSO53"/>
      <c r="TSP53"/>
      <c r="TSQ53"/>
      <c r="TSR53"/>
      <c r="TSS53"/>
      <c r="TST53"/>
      <c r="TSU53"/>
      <c r="TSV53"/>
      <c r="TSW53"/>
      <c r="TSX53"/>
      <c r="TSY53"/>
      <c r="TSZ53"/>
      <c r="TTA53"/>
      <c r="TTB53"/>
      <c r="TTC53"/>
      <c r="TTD53"/>
      <c r="TTE53"/>
      <c r="TTF53"/>
      <c r="TTG53"/>
      <c r="TTH53"/>
      <c r="TTI53"/>
      <c r="TTJ53"/>
      <c r="TTK53"/>
      <c r="TTL53"/>
      <c r="TTM53"/>
      <c r="TTN53"/>
      <c r="TTO53"/>
      <c r="TTP53"/>
      <c r="TTQ53"/>
      <c r="TTR53"/>
      <c r="TTS53"/>
      <c r="TTT53"/>
      <c r="TTU53"/>
      <c r="TTV53"/>
      <c r="TTW53"/>
      <c r="TTX53"/>
      <c r="TTY53"/>
      <c r="TTZ53"/>
      <c r="TUA53"/>
      <c r="TUB53"/>
      <c r="TUC53"/>
      <c r="TUD53"/>
      <c r="TUE53"/>
      <c r="TUF53"/>
      <c r="TUG53"/>
      <c r="TUH53"/>
      <c r="TUI53"/>
      <c r="TUJ53"/>
      <c r="TUK53"/>
      <c r="TUL53"/>
      <c r="TUM53"/>
      <c r="TUN53"/>
      <c r="TUO53"/>
      <c r="TUP53"/>
      <c r="TUQ53"/>
      <c r="TUR53"/>
      <c r="TUS53"/>
      <c r="TUT53"/>
      <c r="TUU53"/>
      <c r="TUV53"/>
      <c r="TUW53"/>
      <c r="TUX53"/>
      <c r="TUY53"/>
      <c r="TUZ53"/>
      <c r="TVA53"/>
      <c r="TVB53"/>
      <c r="TVC53"/>
      <c r="TVD53"/>
      <c r="TVE53"/>
      <c r="TVF53"/>
      <c r="TVG53"/>
      <c r="TVH53"/>
      <c r="TVI53"/>
      <c r="TVJ53"/>
      <c r="TVK53"/>
      <c r="TVL53"/>
      <c r="TVM53"/>
      <c r="TVN53"/>
      <c r="TVO53"/>
      <c r="TVP53"/>
      <c r="TVQ53"/>
      <c r="TVR53"/>
      <c r="TVS53"/>
      <c r="TVT53"/>
      <c r="TVU53"/>
      <c r="TVV53"/>
      <c r="TVW53"/>
      <c r="TVX53"/>
      <c r="TVY53"/>
      <c r="TVZ53"/>
      <c r="TWA53"/>
      <c r="TWB53"/>
      <c r="TWC53"/>
      <c r="TWD53"/>
      <c r="TWE53"/>
      <c r="TWF53"/>
      <c r="TWG53"/>
      <c r="TWH53"/>
      <c r="TWI53"/>
      <c r="TWJ53"/>
      <c r="TWK53"/>
      <c r="TWL53"/>
      <c r="TWM53"/>
      <c r="TWN53"/>
      <c r="TWO53"/>
      <c r="TWP53"/>
      <c r="TWQ53"/>
      <c r="TWR53"/>
      <c r="TWS53"/>
      <c r="TWT53"/>
      <c r="TWU53"/>
      <c r="TWV53"/>
      <c r="TWW53"/>
      <c r="TWX53"/>
      <c r="TWY53"/>
      <c r="TWZ53"/>
      <c r="TXA53"/>
      <c r="TXB53"/>
      <c r="TXC53"/>
      <c r="TXD53"/>
      <c r="TXE53"/>
      <c r="TXF53"/>
      <c r="TXG53"/>
      <c r="TXH53"/>
      <c r="TXI53"/>
      <c r="TXJ53"/>
      <c r="TXK53"/>
      <c r="TXL53"/>
      <c r="TXM53"/>
      <c r="TXN53"/>
      <c r="TXO53"/>
      <c r="TXP53"/>
      <c r="TXQ53"/>
      <c r="TXR53"/>
      <c r="TXS53"/>
      <c r="TXT53"/>
      <c r="TXU53"/>
      <c r="TXV53"/>
      <c r="TXW53"/>
      <c r="TXX53"/>
      <c r="TXY53"/>
      <c r="TXZ53"/>
      <c r="TYA53"/>
      <c r="TYB53"/>
      <c r="TYC53"/>
      <c r="TYD53"/>
      <c r="TYE53"/>
      <c r="TYF53"/>
      <c r="TYG53"/>
      <c r="TYH53"/>
      <c r="TYI53"/>
      <c r="TYJ53"/>
      <c r="TYK53"/>
      <c r="TYL53"/>
      <c r="TYM53"/>
      <c r="TYN53"/>
      <c r="TYO53"/>
      <c r="TYP53"/>
      <c r="TYQ53"/>
      <c r="TYR53"/>
      <c r="TYS53"/>
      <c r="TYT53"/>
      <c r="TYU53"/>
      <c r="TYV53"/>
      <c r="TYW53"/>
      <c r="TYX53"/>
      <c r="TYY53"/>
      <c r="TYZ53"/>
      <c r="TZA53"/>
      <c r="TZB53"/>
      <c r="TZC53"/>
      <c r="TZD53"/>
      <c r="TZE53"/>
      <c r="TZF53"/>
      <c r="TZG53"/>
      <c r="TZH53"/>
      <c r="TZI53"/>
      <c r="TZJ53"/>
      <c r="TZK53"/>
      <c r="TZL53"/>
      <c r="TZM53"/>
      <c r="TZN53"/>
      <c r="TZO53"/>
      <c r="TZP53"/>
      <c r="TZQ53"/>
      <c r="TZR53"/>
      <c r="TZS53"/>
      <c r="TZT53"/>
      <c r="TZU53"/>
      <c r="TZV53"/>
      <c r="TZW53"/>
      <c r="TZX53"/>
      <c r="TZY53"/>
      <c r="TZZ53"/>
      <c r="UAA53"/>
      <c r="UAB53"/>
      <c r="UAC53"/>
      <c r="UAD53"/>
      <c r="UAE53"/>
      <c r="UAF53"/>
      <c r="UAG53"/>
      <c r="UAH53"/>
      <c r="UAI53"/>
      <c r="UAJ53"/>
      <c r="UAK53"/>
      <c r="UAL53"/>
      <c r="UAM53"/>
      <c r="UAN53"/>
      <c r="UAO53"/>
      <c r="UAP53"/>
      <c r="UAQ53"/>
      <c r="UAR53"/>
      <c r="UAS53"/>
      <c r="UAT53"/>
      <c r="UAU53"/>
      <c r="UAV53"/>
      <c r="UAW53"/>
      <c r="UAX53"/>
      <c r="UAY53"/>
      <c r="UAZ53"/>
      <c r="UBA53"/>
      <c r="UBB53"/>
      <c r="UBC53"/>
      <c r="UBD53"/>
      <c r="UBE53"/>
      <c r="UBF53"/>
      <c r="UBG53"/>
      <c r="UBH53"/>
      <c r="UBI53"/>
      <c r="UBJ53"/>
      <c r="UBK53"/>
      <c r="UBL53"/>
      <c r="UBM53"/>
      <c r="UBN53"/>
      <c r="UBO53"/>
      <c r="UBP53"/>
      <c r="UBQ53"/>
      <c r="UBR53"/>
      <c r="UBS53"/>
      <c r="UBT53"/>
      <c r="UBU53"/>
      <c r="UBV53"/>
      <c r="UBW53"/>
      <c r="UBX53"/>
      <c r="UBY53"/>
      <c r="UBZ53"/>
      <c r="UCA53"/>
      <c r="UCB53"/>
      <c r="UCC53"/>
      <c r="UCD53"/>
      <c r="UCE53"/>
      <c r="UCF53"/>
      <c r="UCG53"/>
      <c r="UCH53"/>
      <c r="UCI53"/>
      <c r="UCJ53"/>
      <c r="UCK53"/>
      <c r="UCL53"/>
      <c r="UCM53"/>
      <c r="UCN53"/>
      <c r="UCO53"/>
      <c r="UCP53"/>
      <c r="UCQ53"/>
      <c r="UCR53"/>
      <c r="UCS53"/>
      <c r="UCT53"/>
      <c r="UCU53"/>
      <c r="UCV53"/>
      <c r="UCW53"/>
      <c r="UCX53"/>
      <c r="UCY53"/>
      <c r="UCZ53"/>
      <c r="UDA53"/>
      <c r="UDB53"/>
      <c r="UDC53"/>
      <c r="UDD53"/>
      <c r="UDE53"/>
      <c r="UDF53"/>
      <c r="UDG53"/>
      <c r="UDH53"/>
      <c r="UDI53"/>
      <c r="UDJ53"/>
      <c r="UDK53"/>
      <c r="UDL53"/>
      <c r="UDM53"/>
      <c r="UDN53"/>
      <c r="UDO53"/>
      <c r="UDP53"/>
      <c r="UDQ53"/>
      <c r="UDR53"/>
      <c r="UDS53"/>
      <c r="UDT53"/>
      <c r="UDU53"/>
      <c r="UDV53"/>
      <c r="UDW53"/>
      <c r="UDX53"/>
      <c r="UDY53"/>
      <c r="UDZ53"/>
      <c r="UEA53"/>
      <c r="UEB53"/>
      <c r="UEC53"/>
      <c r="UED53"/>
      <c r="UEE53"/>
      <c r="UEF53"/>
      <c r="UEG53"/>
      <c r="UEH53"/>
      <c r="UEI53"/>
      <c r="UEJ53"/>
      <c r="UEK53"/>
      <c r="UEL53"/>
      <c r="UEM53"/>
      <c r="UEN53"/>
      <c r="UEO53"/>
      <c r="UEP53"/>
      <c r="UEQ53"/>
      <c r="UER53"/>
      <c r="UES53"/>
      <c r="UET53"/>
      <c r="UEU53"/>
      <c r="UEV53"/>
      <c r="UEW53"/>
      <c r="UEX53"/>
      <c r="UEY53"/>
      <c r="UEZ53"/>
      <c r="UFA53"/>
      <c r="UFB53"/>
      <c r="UFC53"/>
      <c r="UFD53"/>
      <c r="UFE53"/>
      <c r="UFF53"/>
      <c r="UFG53"/>
      <c r="UFH53"/>
      <c r="UFI53"/>
      <c r="UFJ53"/>
      <c r="UFK53"/>
      <c r="UFL53"/>
      <c r="UFM53"/>
      <c r="UFN53"/>
      <c r="UFO53"/>
      <c r="UFP53"/>
      <c r="UFQ53"/>
      <c r="UFR53"/>
      <c r="UFS53"/>
      <c r="UFT53"/>
      <c r="UFU53"/>
      <c r="UFV53"/>
      <c r="UFW53"/>
      <c r="UFX53"/>
      <c r="UFY53"/>
      <c r="UFZ53"/>
      <c r="UGA53"/>
      <c r="UGB53"/>
      <c r="UGC53"/>
      <c r="UGD53"/>
      <c r="UGE53"/>
      <c r="UGF53"/>
      <c r="UGG53"/>
      <c r="UGH53"/>
      <c r="UGI53"/>
      <c r="UGJ53"/>
      <c r="UGK53"/>
      <c r="UGL53"/>
      <c r="UGM53"/>
      <c r="UGN53"/>
      <c r="UGO53"/>
      <c r="UGP53"/>
      <c r="UGQ53"/>
      <c r="UGR53"/>
      <c r="UGS53"/>
      <c r="UGT53"/>
      <c r="UGU53"/>
      <c r="UGV53"/>
      <c r="UGW53"/>
      <c r="UGX53"/>
      <c r="UGY53"/>
      <c r="UGZ53"/>
      <c r="UHA53"/>
      <c r="UHB53"/>
      <c r="UHC53"/>
      <c r="UHD53"/>
      <c r="UHE53"/>
      <c r="UHF53"/>
      <c r="UHG53"/>
      <c r="UHH53"/>
      <c r="UHI53"/>
      <c r="UHJ53"/>
      <c r="UHK53"/>
      <c r="UHL53"/>
      <c r="UHM53"/>
      <c r="UHN53"/>
      <c r="UHO53"/>
      <c r="UHP53"/>
      <c r="UHQ53"/>
      <c r="UHR53"/>
      <c r="UHS53"/>
      <c r="UHT53"/>
      <c r="UHU53"/>
      <c r="UHV53"/>
      <c r="UHW53"/>
      <c r="UHX53"/>
      <c r="UHY53"/>
      <c r="UHZ53"/>
      <c r="UIA53"/>
      <c r="UIB53"/>
      <c r="UIC53"/>
      <c r="UID53"/>
      <c r="UIE53"/>
      <c r="UIF53"/>
      <c r="UIG53"/>
      <c r="UIH53"/>
      <c r="UII53"/>
      <c r="UIJ53"/>
      <c r="UIK53"/>
      <c r="UIL53"/>
      <c r="UIM53"/>
      <c r="UIN53"/>
      <c r="UIO53"/>
      <c r="UIP53"/>
      <c r="UIQ53"/>
      <c r="UIR53"/>
      <c r="UIS53"/>
      <c r="UIT53"/>
      <c r="UIU53"/>
      <c r="UIV53"/>
      <c r="UIW53"/>
      <c r="UIX53"/>
      <c r="UIY53"/>
      <c r="UIZ53"/>
      <c r="UJA53"/>
      <c r="UJB53"/>
      <c r="UJC53"/>
      <c r="UJD53"/>
      <c r="UJE53"/>
      <c r="UJF53"/>
      <c r="UJG53"/>
      <c r="UJH53"/>
      <c r="UJI53"/>
      <c r="UJJ53"/>
      <c r="UJK53"/>
      <c r="UJL53"/>
      <c r="UJM53"/>
      <c r="UJN53"/>
      <c r="UJO53"/>
      <c r="UJP53"/>
      <c r="UJQ53"/>
      <c r="UJR53"/>
      <c r="UJS53"/>
      <c r="UJT53"/>
      <c r="UJU53"/>
      <c r="UJV53"/>
      <c r="UJW53"/>
      <c r="UJX53"/>
      <c r="UJY53"/>
      <c r="UJZ53"/>
      <c r="UKA53"/>
      <c r="UKB53"/>
      <c r="UKC53"/>
      <c r="UKD53"/>
      <c r="UKE53"/>
      <c r="UKF53"/>
      <c r="UKG53"/>
      <c r="UKH53"/>
      <c r="UKI53"/>
      <c r="UKJ53"/>
      <c r="UKK53"/>
      <c r="UKL53"/>
      <c r="UKM53"/>
      <c r="UKN53"/>
      <c r="UKO53"/>
      <c r="UKP53"/>
      <c r="UKQ53"/>
      <c r="UKR53"/>
      <c r="UKS53"/>
      <c r="UKT53"/>
      <c r="UKU53"/>
      <c r="UKV53"/>
      <c r="UKW53"/>
      <c r="UKX53"/>
      <c r="UKY53"/>
      <c r="UKZ53"/>
      <c r="ULA53"/>
      <c r="ULB53"/>
      <c r="ULC53"/>
      <c r="ULD53"/>
      <c r="ULE53"/>
      <c r="ULF53"/>
      <c r="ULG53"/>
      <c r="ULH53"/>
      <c r="ULI53"/>
      <c r="ULJ53"/>
      <c r="ULK53"/>
      <c r="ULL53"/>
      <c r="ULM53"/>
      <c r="ULN53"/>
      <c r="ULO53"/>
      <c r="ULP53"/>
      <c r="ULQ53"/>
      <c r="ULR53"/>
      <c r="ULS53"/>
      <c r="ULT53"/>
      <c r="ULU53"/>
      <c r="ULV53"/>
      <c r="ULW53"/>
      <c r="ULX53"/>
      <c r="ULY53"/>
      <c r="ULZ53"/>
      <c r="UMA53"/>
      <c r="UMB53"/>
      <c r="UMC53"/>
      <c r="UMD53"/>
      <c r="UME53"/>
      <c r="UMF53"/>
      <c r="UMG53"/>
      <c r="UMH53"/>
      <c r="UMI53"/>
      <c r="UMJ53"/>
      <c r="UMK53"/>
      <c r="UML53"/>
      <c r="UMM53"/>
      <c r="UMN53"/>
      <c r="UMO53"/>
      <c r="UMP53"/>
      <c r="UMQ53"/>
      <c r="UMR53"/>
      <c r="UMS53"/>
      <c r="UMT53"/>
      <c r="UMU53"/>
      <c r="UMV53"/>
      <c r="UMW53"/>
      <c r="UMX53"/>
      <c r="UMY53"/>
      <c r="UMZ53"/>
      <c r="UNA53"/>
      <c r="UNB53"/>
      <c r="UNC53"/>
      <c r="UND53"/>
      <c r="UNE53"/>
      <c r="UNF53"/>
      <c r="UNG53"/>
      <c r="UNH53"/>
      <c r="UNI53"/>
      <c r="UNJ53"/>
      <c r="UNK53"/>
      <c r="UNL53"/>
      <c r="UNM53"/>
      <c r="UNN53"/>
      <c r="UNO53"/>
      <c r="UNP53"/>
      <c r="UNQ53"/>
      <c r="UNR53"/>
      <c r="UNS53"/>
      <c r="UNT53"/>
      <c r="UNU53"/>
      <c r="UNV53"/>
      <c r="UNW53"/>
      <c r="UNX53"/>
      <c r="UNY53"/>
      <c r="UNZ53"/>
      <c r="UOA53"/>
      <c r="UOB53"/>
      <c r="UOC53"/>
      <c r="UOD53"/>
      <c r="UOE53"/>
      <c r="UOF53"/>
      <c r="UOG53"/>
      <c r="UOH53"/>
      <c r="UOI53"/>
      <c r="UOJ53"/>
      <c r="UOK53"/>
      <c r="UOL53"/>
      <c r="UOM53"/>
      <c r="UON53"/>
      <c r="UOO53"/>
      <c r="UOP53"/>
      <c r="UOQ53"/>
      <c r="UOR53"/>
      <c r="UOS53"/>
      <c r="UOT53"/>
      <c r="UOU53"/>
      <c r="UOV53"/>
      <c r="UOW53"/>
      <c r="UOX53"/>
      <c r="UOY53"/>
      <c r="UOZ53"/>
      <c r="UPA53"/>
      <c r="UPB53"/>
      <c r="UPC53"/>
      <c r="UPD53"/>
      <c r="UPE53"/>
      <c r="UPF53"/>
      <c r="UPG53"/>
      <c r="UPH53"/>
      <c r="UPI53"/>
      <c r="UPJ53"/>
      <c r="UPK53"/>
      <c r="UPL53"/>
      <c r="UPM53"/>
      <c r="UPN53"/>
      <c r="UPO53"/>
      <c r="UPP53"/>
      <c r="UPQ53"/>
      <c r="UPR53"/>
      <c r="UPS53"/>
      <c r="UPT53"/>
      <c r="UPU53"/>
      <c r="UPV53"/>
      <c r="UPW53"/>
      <c r="UPX53"/>
      <c r="UPY53"/>
      <c r="UPZ53"/>
      <c r="UQA53"/>
      <c r="UQB53"/>
      <c r="UQC53"/>
      <c r="UQD53"/>
      <c r="UQE53"/>
      <c r="UQF53"/>
      <c r="UQG53"/>
      <c r="UQH53"/>
      <c r="UQI53"/>
      <c r="UQJ53"/>
      <c r="UQK53"/>
      <c r="UQL53"/>
      <c r="UQM53"/>
      <c r="UQN53"/>
      <c r="UQO53"/>
      <c r="UQP53"/>
      <c r="UQQ53"/>
      <c r="UQR53"/>
      <c r="UQS53"/>
      <c r="UQT53"/>
      <c r="UQU53"/>
      <c r="UQV53"/>
      <c r="UQW53"/>
      <c r="UQX53"/>
      <c r="UQY53"/>
      <c r="UQZ53"/>
      <c r="URA53"/>
      <c r="URB53"/>
      <c r="URC53"/>
      <c r="URD53"/>
      <c r="URE53"/>
      <c r="URF53"/>
      <c r="URG53"/>
      <c r="URH53"/>
      <c r="URI53"/>
      <c r="URJ53"/>
      <c r="URK53"/>
      <c r="URL53"/>
      <c r="URM53"/>
      <c r="URN53"/>
      <c r="URO53"/>
      <c r="URP53"/>
      <c r="URQ53"/>
      <c r="URR53"/>
      <c r="URS53"/>
      <c r="URT53"/>
      <c r="URU53"/>
      <c r="URV53"/>
      <c r="URW53"/>
      <c r="URX53"/>
      <c r="URY53"/>
      <c r="URZ53"/>
      <c r="USA53"/>
      <c r="USB53"/>
      <c r="USC53"/>
      <c r="USD53"/>
      <c r="USE53"/>
      <c r="USF53"/>
      <c r="USG53"/>
      <c r="USH53"/>
      <c r="USI53"/>
      <c r="USJ53"/>
      <c r="USK53"/>
      <c r="USL53"/>
      <c r="USM53"/>
      <c r="USN53"/>
      <c r="USO53"/>
      <c r="USP53"/>
      <c r="USQ53"/>
      <c r="USR53"/>
      <c r="USS53"/>
      <c r="UST53"/>
      <c r="USU53"/>
      <c r="USV53"/>
      <c r="USW53"/>
      <c r="USX53"/>
      <c r="USY53"/>
      <c r="USZ53"/>
      <c r="UTA53"/>
      <c r="UTB53"/>
      <c r="UTC53"/>
      <c r="UTD53"/>
      <c r="UTE53"/>
      <c r="UTF53"/>
      <c r="UTG53"/>
      <c r="UTH53"/>
      <c r="UTI53"/>
      <c r="UTJ53"/>
      <c r="UTK53"/>
      <c r="UTL53"/>
      <c r="UTM53"/>
      <c r="UTN53"/>
      <c r="UTO53"/>
      <c r="UTP53"/>
      <c r="UTQ53"/>
      <c r="UTR53"/>
      <c r="UTS53"/>
      <c r="UTT53"/>
      <c r="UTU53"/>
      <c r="UTV53"/>
      <c r="UTW53"/>
      <c r="UTX53"/>
      <c r="UTY53"/>
      <c r="UTZ53"/>
      <c r="UUA53"/>
      <c r="UUB53"/>
      <c r="UUC53"/>
      <c r="UUD53"/>
      <c r="UUE53"/>
      <c r="UUF53"/>
      <c r="UUG53"/>
      <c r="UUH53"/>
      <c r="UUI53"/>
      <c r="UUJ53"/>
      <c r="UUK53"/>
      <c r="UUL53"/>
      <c r="UUM53"/>
      <c r="UUN53"/>
      <c r="UUO53"/>
      <c r="UUP53"/>
      <c r="UUQ53"/>
      <c r="UUR53"/>
      <c r="UUS53"/>
      <c r="UUT53"/>
      <c r="UUU53"/>
      <c r="UUV53"/>
      <c r="UUW53"/>
      <c r="UUX53"/>
      <c r="UUY53"/>
      <c r="UUZ53"/>
      <c r="UVA53"/>
      <c r="UVB53"/>
      <c r="UVC53"/>
      <c r="UVD53"/>
      <c r="UVE53"/>
      <c r="UVF53"/>
      <c r="UVG53"/>
      <c r="UVH53"/>
      <c r="UVI53"/>
      <c r="UVJ53"/>
      <c r="UVK53"/>
      <c r="UVL53"/>
      <c r="UVM53"/>
      <c r="UVN53"/>
      <c r="UVO53"/>
      <c r="UVP53"/>
      <c r="UVQ53"/>
      <c r="UVR53"/>
      <c r="UVS53"/>
      <c r="UVT53"/>
      <c r="UVU53"/>
      <c r="UVV53"/>
      <c r="UVW53"/>
      <c r="UVX53"/>
      <c r="UVY53"/>
      <c r="UVZ53"/>
      <c r="UWA53"/>
      <c r="UWB53"/>
      <c r="UWC53"/>
      <c r="UWD53"/>
      <c r="UWE53"/>
      <c r="UWF53"/>
      <c r="UWG53"/>
      <c r="UWH53"/>
      <c r="UWI53"/>
      <c r="UWJ53"/>
      <c r="UWK53"/>
      <c r="UWL53"/>
      <c r="UWM53"/>
      <c r="UWN53"/>
      <c r="UWO53"/>
      <c r="UWP53"/>
      <c r="UWQ53"/>
      <c r="UWR53"/>
      <c r="UWS53"/>
      <c r="UWT53"/>
      <c r="UWU53"/>
      <c r="UWV53"/>
      <c r="UWW53"/>
      <c r="UWX53"/>
      <c r="UWY53"/>
      <c r="UWZ53"/>
      <c r="UXA53"/>
      <c r="UXB53"/>
      <c r="UXC53"/>
      <c r="UXD53"/>
      <c r="UXE53"/>
      <c r="UXF53"/>
      <c r="UXG53"/>
      <c r="UXH53"/>
      <c r="UXI53"/>
      <c r="UXJ53"/>
      <c r="UXK53"/>
      <c r="UXL53"/>
      <c r="UXM53"/>
      <c r="UXN53"/>
      <c r="UXO53"/>
      <c r="UXP53"/>
      <c r="UXQ53"/>
      <c r="UXR53"/>
      <c r="UXS53"/>
      <c r="UXT53"/>
      <c r="UXU53"/>
      <c r="UXV53"/>
      <c r="UXW53"/>
      <c r="UXX53"/>
      <c r="UXY53"/>
      <c r="UXZ53"/>
      <c r="UYA53"/>
      <c r="UYB53"/>
      <c r="UYC53"/>
      <c r="UYD53"/>
      <c r="UYE53"/>
      <c r="UYF53"/>
      <c r="UYG53"/>
      <c r="UYH53"/>
      <c r="UYI53"/>
      <c r="UYJ53"/>
      <c r="UYK53"/>
      <c r="UYL53"/>
      <c r="UYM53"/>
      <c r="UYN53"/>
      <c r="UYO53"/>
      <c r="UYP53"/>
      <c r="UYQ53"/>
      <c r="UYR53"/>
      <c r="UYS53"/>
      <c r="UYT53"/>
      <c r="UYU53"/>
      <c r="UYV53"/>
      <c r="UYW53"/>
      <c r="UYX53"/>
      <c r="UYY53"/>
      <c r="UYZ53"/>
      <c r="UZA53"/>
      <c r="UZB53"/>
      <c r="UZC53"/>
      <c r="UZD53"/>
      <c r="UZE53"/>
      <c r="UZF53"/>
      <c r="UZG53"/>
      <c r="UZH53"/>
      <c r="UZI53"/>
      <c r="UZJ53"/>
      <c r="UZK53"/>
      <c r="UZL53"/>
      <c r="UZM53"/>
      <c r="UZN53"/>
      <c r="UZO53"/>
      <c r="UZP53"/>
      <c r="UZQ53"/>
      <c r="UZR53"/>
      <c r="UZS53"/>
      <c r="UZT53"/>
      <c r="UZU53"/>
      <c r="UZV53"/>
      <c r="UZW53"/>
      <c r="UZX53"/>
      <c r="UZY53"/>
      <c r="UZZ53"/>
      <c r="VAA53"/>
      <c r="VAB53"/>
      <c r="VAC53"/>
      <c r="VAD53"/>
      <c r="VAE53"/>
      <c r="VAF53"/>
      <c r="VAG53"/>
      <c r="VAH53"/>
      <c r="VAI53"/>
      <c r="VAJ53"/>
      <c r="VAK53"/>
      <c r="VAL53"/>
      <c r="VAM53"/>
      <c r="VAN53"/>
      <c r="VAO53"/>
      <c r="VAP53"/>
      <c r="VAQ53"/>
      <c r="VAR53"/>
      <c r="VAS53"/>
      <c r="VAT53"/>
      <c r="VAU53"/>
      <c r="VAV53"/>
      <c r="VAW53"/>
      <c r="VAX53"/>
      <c r="VAY53"/>
      <c r="VAZ53"/>
      <c r="VBA53"/>
      <c r="VBB53"/>
      <c r="VBC53"/>
      <c r="VBD53"/>
      <c r="VBE53"/>
      <c r="VBF53"/>
      <c r="VBG53"/>
      <c r="VBH53"/>
      <c r="VBI53"/>
      <c r="VBJ53"/>
      <c r="VBK53"/>
      <c r="VBL53"/>
      <c r="VBM53"/>
      <c r="VBN53"/>
      <c r="VBO53"/>
      <c r="VBP53"/>
      <c r="VBQ53"/>
      <c r="VBR53"/>
      <c r="VBS53"/>
      <c r="VBT53"/>
      <c r="VBU53"/>
      <c r="VBV53"/>
      <c r="VBW53"/>
      <c r="VBX53"/>
      <c r="VBY53"/>
      <c r="VBZ53"/>
      <c r="VCA53"/>
      <c r="VCB53"/>
      <c r="VCC53"/>
      <c r="VCD53"/>
      <c r="VCE53"/>
      <c r="VCF53"/>
      <c r="VCG53"/>
      <c r="VCH53"/>
      <c r="VCI53"/>
      <c r="VCJ53"/>
      <c r="VCK53"/>
      <c r="VCL53"/>
      <c r="VCM53"/>
      <c r="VCN53"/>
      <c r="VCO53"/>
      <c r="VCP53"/>
      <c r="VCQ53"/>
      <c r="VCR53"/>
      <c r="VCS53"/>
      <c r="VCT53"/>
      <c r="VCU53"/>
      <c r="VCV53"/>
      <c r="VCW53"/>
      <c r="VCX53"/>
      <c r="VCY53"/>
      <c r="VCZ53"/>
      <c r="VDA53"/>
      <c r="VDB53"/>
      <c r="VDC53"/>
      <c r="VDD53"/>
      <c r="VDE53"/>
      <c r="VDF53"/>
      <c r="VDG53"/>
      <c r="VDH53"/>
      <c r="VDI53"/>
      <c r="VDJ53"/>
      <c r="VDK53"/>
      <c r="VDL53"/>
      <c r="VDM53"/>
      <c r="VDN53"/>
      <c r="VDO53"/>
      <c r="VDP53"/>
      <c r="VDQ53"/>
      <c r="VDR53"/>
      <c r="VDS53"/>
      <c r="VDT53"/>
      <c r="VDU53"/>
      <c r="VDV53"/>
      <c r="VDW53"/>
      <c r="VDX53"/>
      <c r="VDY53"/>
      <c r="VDZ53"/>
      <c r="VEA53"/>
      <c r="VEB53"/>
      <c r="VEC53"/>
      <c r="VED53"/>
      <c r="VEE53"/>
      <c r="VEF53"/>
      <c r="VEG53"/>
      <c r="VEH53"/>
      <c r="VEI53"/>
      <c r="VEJ53"/>
      <c r="VEK53"/>
      <c r="VEL53"/>
      <c r="VEM53"/>
      <c r="VEN53"/>
      <c r="VEO53"/>
      <c r="VEP53"/>
      <c r="VEQ53"/>
      <c r="VER53"/>
      <c r="VES53"/>
      <c r="VET53"/>
      <c r="VEU53"/>
      <c r="VEV53"/>
      <c r="VEW53"/>
      <c r="VEX53"/>
      <c r="VEY53"/>
      <c r="VEZ53"/>
      <c r="VFA53"/>
      <c r="VFB53"/>
      <c r="VFC53"/>
      <c r="VFD53"/>
      <c r="VFE53"/>
      <c r="VFF53"/>
      <c r="VFG53"/>
      <c r="VFH53"/>
      <c r="VFI53"/>
      <c r="VFJ53"/>
      <c r="VFK53"/>
      <c r="VFL53"/>
      <c r="VFM53"/>
      <c r="VFN53"/>
      <c r="VFO53"/>
      <c r="VFP53"/>
      <c r="VFQ53"/>
      <c r="VFR53"/>
      <c r="VFS53"/>
      <c r="VFT53"/>
      <c r="VFU53"/>
      <c r="VFV53"/>
      <c r="VFW53"/>
      <c r="VFX53"/>
      <c r="VFY53"/>
      <c r="VFZ53"/>
      <c r="VGA53"/>
      <c r="VGB53"/>
      <c r="VGC53"/>
      <c r="VGD53"/>
      <c r="VGE53"/>
      <c r="VGF53"/>
      <c r="VGG53"/>
      <c r="VGH53"/>
      <c r="VGI53"/>
      <c r="VGJ53"/>
      <c r="VGK53"/>
      <c r="VGL53"/>
      <c r="VGM53"/>
      <c r="VGN53"/>
      <c r="VGO53"/>
      <c r="VGP53"/>
      <c r="VGQ53"/>
      <c r="VGR53"/>
      <c r="VGS53"/>
      <c r="VGT53"/>
      <c r="VGU53"/>
      <c r="VGV53"/>
      <c r="VGW53"/>
      <c r="VGX53"/>
      <c r="VGY53"/>
      <c r="VGZ53"/>
      <c r="VHA53"/>
      <c r="VHB53"/>
      <c r="VHC53"/>
      <c r="VHD53"/>
      <c r="VHE53"/>
      <c r="VHF53"/>
      <c r="VHG53"/>
      <c r="VHH53"/>
      <c r="VHI53"/>
      <c r="VHJ53"/>
      <c r="VHK53"/>
      <c r="VHL53"/>
      <c r="VHM53"/>
      <c r="VHN53"/>
      <c r="VHO53"/>
      <c r="VHP53"/>
      <c r="VHQ53"/>
      <c r="VHR53"/>
      <c r="VHS53"/>
      <c r="VHT53"/>
      <c r="VHU53"/>
      <c r="VHV53"/>
      <c r="VHW53"/>
      <c r="VHX53"/>
      <c r="VHY53"/>
      <c r="VHZ53"/>
      <c r="VIA53"/>
      <c r="VIB53"/>
      <c r="VIC53"/>
      <c r="VID53"/>
      <c r="VIE53"/>
      <c r="VIF53"/>
      <c r="VIG53"/>
      <c r="VIH53"/>
      <c r="VII53"/>
      <c r="VIJ53"/>
      <c r="VIK53"/>
      <c r="VIL53"/>
      <c r="VIM53"/>
      <c r="VIN53"/>
      <c r="VIO53"/>
      <c r="VIP53"/>
      <c r="VIQ53"/>
      <c r="VIR53"/>
      <c r="VIS53"/>
      <c r="VIT53"/>
      <c r="VIU53"/>
      <c r="VIV53"/>
      <c r="VIW53"/>
      <c r="VIX53"/>
      <c r="VIY53"/>
      <c r="VIZ53"/>
      <c r="VJA53"/>
      <c r="VJB53"/>
      <c r="VJC53"/>
      <c r="VJD53"/>
      <c r="VJE53"/>
      <c r="VJF53"/>
      <c r="VJG53"/>
      <c r="VJH53"/>
      <c r="VJI53"/>
      <c r="VJJ53"/>
      <c r="VJK53"/>
      <c r="VJL53"/>
      <c r="VJM53"/>
      <c r="VJN53"/>
      <c r="VJO53"/>
      <c r="VJP53"/>
      <c r="VJQ53"/>
      <c r="VJR53"/>
      <c r="VJS53"/>
      <c r="VJT53"/>
      <c r="VJU53"/>
      <c r="VJV53"/>
      <c r="VJW53"/>
      <c r="VJX53"/>
      <c r="VJY53"/>
      <c r="VJZ53"/>
      <c r="VKA53"/>
      <c r="VKB53"/>
      <c r="VKC53"/>
      <c r="VKD53"/>
      <c r="VKE53"/>
      <c r="VKF53"/>
      <c r="VKG53"/>
      <c r="VKH53"/>
      <c r="VKI53"/>
      <c r="VKJ53"/>
      <c r="VKK53"/>
      <c r="VKL53"/>
      <c r="VKM53"/>
      <c r="VKN53"/>
      <c r="VKO53"/>
      <c r="VKP53"/>
      <c r="VKQ53"/>
      <c r="VKR53"/>
      <c r="VKS53"/>
      <c r="VKT53"/>
      <c r="VKU53"/>
      <c r="VKV53"/>
      <c r="VKW53"/>
      <c r="VKX53"/>
      <c r="VKY53"/>
      <c r="VKZ53"/>
      <c r="VLA53"/>
      <c r="VLB53"/>
      <c r="VLC53"/>
      <c r="VLD53"/>
      <c r="VLE53"/>
      <c r="VLF53"/>
      <c r="VLG53"/>
      <c r="VLH53"/>
      <c r="VLI53"/>
      <c r="VLJ53"/>
      <c r="VLK53"/>
      <c r="VLL53"/>
      <c r="VLM53"/>
      <c r="VLN53"/>
      <c r="VLO53"/>
      <c r="VLP53"/>
      <c r="VLQ53"/>
      <c r="VLR53"/>
      <c r="VLS53"/>
      <c r="VLT53"/>
      <c r="VLU53"/>
      <c r="VLV53"/>
      <c r="VLW53"/>
      <c r="VLX53"/>
      <c r="VLY53"/>
      <c r="VLZ53"/>
      <c r="VMA53"/>
      <c r="VMB53"/>
      <c r="VMC53"/>
      <c r="VMD53"/>
      <c r="VME53"/>
      <c r="VMF53"/>
      <c r="VMG53"/>
      <c r="VMH53"/>
      <c r="VMI53"/>
      <c r="VMJ53"/>
      <c r="VMK53"/>
      <c r="VML53"/>
      <c r="VMM53"/>
      <c r="VMN53"/>
      <c r="VMO53"/>
      <c r="VMP53"/>
      <c r="VMQ53"/>
      <c r="VMR53"/>
      <c r="VMS53"/>
      <c r="VMT53"/>
      <c r="VMU53"/>
      <c r="VMV53"/>
      <c r="VMW53"/>
      <c r="VMX53"/>
      <c r="VMY53"/>
      <c r="VMZ53"/>
      <c r="VNA53"/>
      <c r="VNB53"/>
      <c r="VNC53"/>
      <c r="VND53"/>
      <c r="VNE53"/>
      <c r="VNF53"/>
      <c r="VNG53"/>
      <c r="VNH53"/>
      <c r="VNI53"/>
      <c r="VNJ53"/>
      <c r="VNK53"/>
      <c r="VNL53"/>
      <c r="VNM53"/>
      <c r="VNN53"/>
      <c r="VNO53"/>
      <c r="VNP53"/>
      <c r="VNQ53"/>
      <c r="VNR53"/>
      <c r="VNS53"/>
      <c r="VNT53"/>
      <c r="VNU53"/>
      <c r="VNV53"/>
      <c r="VNW53"/>
      <c r="VNX53"/>
      <c r="VNY53"/>
      <c r="VNZ53"/>
      <c r="VOA53"/>
      <c r="VOB53"/>
      <c r="VOC53"/>
      <c r="VOD53"/>
      <c r="VOE53"/>
      <c r="VOF53"/>
      <c r="VOG53"/>
      <c r="VOH53"/>
      <c r="VOI53"/>
      <c r="VOJ53"/>
      <c r="VOK53"/>
      <c r="VOL53"/>
      <c r="VOM53"/>
      <c r="VON53"/>
      <c r="VOO53"/>
      <c r="VOP53"/>
      <c r="VOQ53"/>
      <c r="VOR53"/>
      <c r="VOS53"/>
      <c r="VOT53"/>
      <c r="VOU53"/>
      <c r="VOV53"/>
      <c r="VOW53"/>
      <c r="VOX53"/>
      <c r="VOY53"/>
      <c r="VOZ53"/>
      <c r="VPA53"/>
      <c r="VPB53"/>
      <c r="VPC53"/>
      <c r="VPD53"/>
      <c r="VPE53"/>
      <c r="VPF53"/>
      <c r="VPG53"/>
      <c r="VPH53"/>
      <c r="VPI53"/>
      <c r="VPJ53"/>
      <c r="VPK53"/>
      <c r="VPL53"/>
      <c r="VPM53"/>
      <c r="VPN53"/>
      <c r="VPO53"/>
      <c r="VPP53"/>
      <c r="VPQ53"/>
      <c r="VPR53"/>
      <c r="VPS53"/>
      <c r="VPT53"/>
      <c r="VPU53"/>
      <c r="VPV53"/>
      <c r="VPW53"/>
      <c r="VPX53"/>
      <c r="VPY53"/>
      <c r="VPZ53"/>
      <c r="VQA53"/>
      <c r="VQB53"/>
      <c r="VQC53"/>
      <c r="VQD53"/>
      <c r="VQE53"/>
      <c r="VQF53"/>
      <c r="VQG53"/>
      <c r="VQH53"/>
      <c r="VQI53"/>
      <c r="VQJ53"/>
      <c r="VQK53"/>
      <c r="VQL53"/>
      <c r="VQM53"/>
      <c r="VQN53"/>
      <c r="VQO53"/>
      <c r="VQP53"/>
      <c r="VQQ53"/>
      <c r="VQR53"/>
      <c r="VQS53"/>
      <c r="VQT53"/>
      <c r="VQU53"/>
      <c r="VQV53"/>
      <c r="VQW53"/>
      <c r="VQX53"/>
      <c r="VQY53"/>
      <c r="VQZ53"/>
      <c r="VRA53"/>
      <c r="VRB53"/>
      <c r="VRC53"/>
      <c r="VRD53"/>
      <c r="VRE53"/>
      <c r="VRF53"/>
      <c r="VRG53"/>
      <c r="VRH53"/>
      <c r="VRI53"/>
      <c r="VRJ53"/>
      <c r="VRK53"/>
      <c r="VRL53"/>
      <c r="VRM53"/>
      <c r="VRN53"/>
      <c r="VRO53"/>
      <c r="VRP53"/>
      <c r="VRQ53"/>
      <c r="VRR53"/>
      <c r="VRS53"/>
      <c r="VRT53"/>
      <c r="VRU53"/>
      <c r="VRV53"/>
      <c r="VRW53"/>
      <c r="VRX53"/>
      <c r="VRY53"/>
      <c r="VRZ53"/>
      <c r="VSA53"/>
      <c r="VSB53"/>
      <c r="VSC53"/>
      <c r="VSD53"/>
      <c r="VSE53"/>
      <c r="VSF53"/>
      <c r="VSG53"/>
      <c r="VSH53"/>
      <c r="VSI53"/>
      <c r="VSJ53"/>
      <c r="VSK53"/>
      <c r="VSL53"/>
      <c r="VSM53"/>
      <c r="VSN53"/>
      <c r="VSO53"/>
      <c r="VSP53"/>
      <c r="VSQ53"/>
      <c r="VSR53"/>
      <c r="VSS53"/>
      <c r="VST53"/>
      <c r="VSU53"/>
      <c r="VSV53"/>
      <c r="VSW53"/>
      <c r="VSX53"/>
      <c r="VSY53"/>
      <c r="VSZ53"/>
      <c r="VTA53"/>
      <c r="VTB53"/>
      <c r="VTC53"/>
      <c r="VTD53"/>
      <c r="VTE53"/>
      <c r="VTF53"/>
      <c r="VTG53"/>
      <c r="VTH53"/>
      <c r="VTI53"/>
      <c r="VTJ53"/>
      <c r="VTK53"/>
      <c r="VTL53"/>
      <c r="VTM53"/>
      <c r="VTN53"/>
      <c r="VTO53"/>
      <c r="VTP53"/>
      <c r="VTQ53"/>
      <c r="VTR53"/>
      <c r="VTS53"/>
      <c r="VTT53"/>
      <c r="VTU53"/>
      <c r="VTV53"/>
      <c r="VTW53"/>
      <c r="VTX53"/>
      <c r="VTY53"/>
      <c r="VTZ53"/>
      <c r="VUA53"/>
      <c r="VUB53"/>
      <c r="VUC53"/>
      <c r="VUD53"/>
      <c r="VUE53"/>
      <c r="VUF53"/>
      <c r="VUG53"/>
      <c r="VUH53"/>
      <c r="VUI53"/>
      <c r="VUJ53"/>
      <c r="VUK53"/>
      <c r="VUL53"/>
      <c r="VUM53"/>
      <c r="VUN53"/>
      <c r="VUO53"/>
      <c r="VUP53"/>
      <c r="VUQ53"/>
      <c r="VUR53"/>
      <c r="VUS53"/>
      <c r="VUT53"/>
      <c r="VUU53"/>
      <c r="VUV53"/>
      <c r="VUW53"/>
      <c r="VUX53"/>
      <c r="VUY53"/>
      <c r="VUZ53"/>
      <c r="VVA53"/>
      <c r="VVB53"/>
      <c r="VVC53"/>
      <c r="VVD53"/>
      <c r="VVE53"/>
      <c r="VVF53"/>
      <c r="VVG53"/>
      <c r="VVH53"/>
      <c r="VVI53"/>
      <c r="VVJ53"/>
      <c r="VVK53"/>
      <c r="VVL53"/>
      <c r="VVM53"/>
      <c r="VVN53"/>
      <c r="VVO53"/>
      <c r="VVP53"/>
      <c r="VVQ53"/>
      <c r="VVR53"/>
      <c r="VVS53"/>
      <c r="VVT53"/>
      <c r="VVU53"/>
      <c r="VVV53"/>
      <c r="VVW53"/>
      <c r="VVX53"/>
      <c r="VVY53"/>
      <c r="VVZ53"/>
      <c r="VWA53"/>
      <c r="VWB53"/>
      <c r="VWC53"/>
      <c r="VWD53"/>
      <c r="VWE53"/>
      <c r="VWF53"/>
      <c r="VWG53"/>
      <c r="VWH53"/>
      <c r="VWI53"/>
      <c r="VWJ53"/>
      <c r="VWK53"/>
      <c r="VWL53"/>
      <c r="VWM53"/>
      <c r="VWN53"/>
      <c r="VWO53"/>
      <c r="VWP53"/>
      <c r="VWQ53"/>
      <c r="VWR53"/>
      <c r="VWS53"/>
      <c r="VWT53"/>
      <c r="VWU53"/>
      <c r="VWV53"/>
      <c r="VWW53"/>
      <c r="VWX53"/>
      <c r="VWY53"/>
      <c r="VWZ53"/>
      <c r="VXA53"/>
      <c r="VXB53"/>
      <c r="VXC53"/>
      <c r="VXD53"/>
      <c r="VXE53"/>
      <c r="VXF53"/>
      <c r="VXG53"/>
      <c r="VXH53"/>
      <c r="VXI53"/>
      <c r="VXJ53"/>
      <c r="VXK53"/>
      <c r="VXL53"/>
      <c r="VXM53"/>
      <c r="VXN53"/>
      <c r="VXO53"/>
      <c r="VXP53"/>
      <c r="VXQ53"/>
      <c r="VXR53"/>
      <c r="VXS53"/>
      <c r="VXT53"/>
      <c r="VXU53"/>
      <c r="VXV53"/>
      <c r="VXW53"/>
      <c r="VXX53"/>
      <c r="VXY53"/>
      <c r="VXZ53"/>
      <c r="VYA53"/>
      <c r="VYB53"/>
      <c r="VYC53"/>
      <c r="VYD53"/>
      <c r="VYE53"/>
      <c r="VYF53"/>
      <c r="VYG53"/>
      <c r="VYH53"/>
      <c r="VYI53"/>
      <c r="VYJ53"/>
      <c r="VYK53"/>
      <c r="VYL53"/>
      <c r="VYM53"/>
      <c r="VYN53"/>
      <c r="VYO53"/>
      <c r="VYP53"/>
      <c r="VYQ53"/>
      <c r="VYR53"/>
      <c r="VYS53"/>
      <c r="VYT53"/>
      <c r="VYU53"/>
      <c r="VYV53"/>
      <c r="VYW53"/>
      <c r="VYX53"/>
      <c r="VYY53"/>
      <c r="VYZ53"/>
      <c r="VZA53"/>
      <c r="VZB53"/>
      <c r="VZC53"/>
      <c r="VZD53"/>
      <c r="VZE53"/>
      <c r="VZF53"/>
      <c r="VZG53"/>
      <c r="VZH53"/>
      <c r="VZI53"/>
      <c r="VZJ53"/>
      <c r="VZK53"/>
      <c r="VZL53"/>
      <c r="VZM53"/>
      <c r="VZN53"/>
      <c r="VZO53"/>
      <c r="VZP53"/>
      <c r="VZQ53"/>
      <c r="VZR53"/>
      <c r="VZS53"/>
      <c r="VZT53"/>
      <c r="VZU53"/>
      <c r="VZV53"/>
      <c r="VZW53"/>
      <c r="VZX53"/>
      <c r="VZY53"/>
      <c r="VZZ53"/>
      <c r="WAA53"/>
      <c r="WAB53"/>
      <c r="WAC53"/>
      <c r="WAD53"/>
      <c r="WAE53"/>
      <c r="WAF53"/>
      <c r="WAG53"/>
      <c r="WAH53"/>
      <c r="WAI53"/>
      <c r="WAJ53"/>
      <c r="WAK53"/>
      <c r="WAL53"/>
      <c r="WAM53"/>
      <c r="WAN53"/>
      <c r="WAO53"/>
      <c r="WAP53"/>
      <c r="WAQ53"/>
      <c r="WAR53"/>
      <c r="WAS53"/>
      <c r="WAT53"/>
      <c r="WAU53"/>
      <c r="WAV53"/>
      <c r="WAW53"/>
      <c r="WAX53"/>
      <c r="WAY53"/>
      <c r="WAZ53"/>
      <c r="WBA53"/>
      <c r="WBB53"/>
      <c r="WBC53"/>
      <c r="WBD53"/>
      <c r="WBE53"/>
      <c r="WBF53"/>
      <c r="WBG53"/>
      <c r="WBH53"/>
      <c r="WBI53"/>
      <c r="WBJ53"/>
      <c r="WBK53"/>
      <c r="WBL53"/>
      <c r="WBM53"/>
      <c r="WBN53"/>
      <c r="WBO53"/>
      <c r="WBP53"/>
      <c r="WBQ53"/>
      <c r="WBR53"/>
      <c r="WBS53"/>
      <c r="WBT53"/>
      <c r="WBU53"/>
      <c r="WBV53"/>
      <c r="WBW53"/>
      <c r="WBX53"/>
      <c r="WBY53"/>
      <c r="WBZ53"/>
      <c r="WCA53"/>
      <c r="WCB53"/>
      <c r="WCC53"/>
      <c r="WCD53"/>
      <c r="WCE53"/>
      <c r="WCF53"/>
      <c r="WCG53"/>
      <c r="WCH53"/>
      <c r="WCI53"/>
      <c r="WCJ53"/>
      <c r="WCK53"/>
      <c r="WCL53"/>
      <c r="WCM53"/>
      <c r="WCN53"/>
      <c r="WCO53"/>
      <c r="WCP53"/>
      <c r="WCQ53"/>
      <c r="WCR53"/>
      <c r="WCS53"/>
      <c r="WCT53"/>
      <c r="WCU53"/>
      <c r="WCV53"/>
      <c r="WCW53"/>
      <c r="WCX53"/>
      <c r="WCY53"/>
      <c r="WCZ53"/>
      <c r="WDA53"/>
      <c r="WDB53"/>
      <c r="WDC53"/>
      <c r="WDD53"/>
      <c r="WDE53"/>
      <c r="WDF53"/>
      <c r="WDG53"/>
      <c r="WDH53"/>
      <c r="WDI53"/>
      <c r="WDJ53"/>
      <c r="WDK53"/>
      <c r="WDL53"/>
      <c r="WDM53"/>
      <c r="WDN53"/>
      <c r="WDO53"/>
      <c r="WDP53"/>
      <c r="WDQ53"/>
      <c r="WDR53"/>
      <c r="WDS53"/>
      <c r="WDT53"/>
      <c r="WDU53"/>
      <c r="WDV53"/>
      <c r="WDW53"/>
      <c r="WDX53"/>
      <c r="WDY53"/>
      <c r="WDZ53"/>
      <c r="WEA53"/>
      <c r="WEB53"/>
      <c r="WEC53"/>
      <c r="WED53"/>
      <c r="WEE53"/>
      <c r="WEF53"/>
      <c r="WEG53"/>
      <c r="WEH53"/>
      <c r="WEI53"/>
      <c r="WEJ53"/>
      <c r="WEK53"/>
      <c r="WEL53"/>
      <c r="WEM53"/>
      <c r="WEN53"/>
      <c r="WEO53"/>
      <c r="WEP53"/>
      <c r="WEQ53"/>
      <c r="WER53"/>
      <c r="WES53"/>
      <c r="WET53"/>
      <c r="WEU53"/>
      <c r="WEV53"/>
      <c r="WEW53"/>
      <c r="WEX53"/>
      <c r="WEY53"/>
      <c r="WEZ53"/>
      <c r="WFA53"/>
      <c r="WFB53"/>
      <c r="WFC53"/>
      <c r="WFD53"/>
      <c r="WFE53"/>
      <c r="WFF53"/>
      <c r="WFG53"/>
      <c r="WFH53"/>
      <c r="WFI53"/>
      <c r="WFJ53"/>
      <c r="WFK53"/>
      <c r="WFL53"/>
      <c r="WFM53"/>
      <c r="WFN53"/>
      <c r="WFO53"/>
      <c r="WFP53"/>
      <c r="WFQ53"/>
      <c r="WFR53"/>
      <c r="WFS53"/>
      <c r="WFT53"/>
      <c r="WFU53"/>
      <c r="WFV53"/>
      <c r="WFW53"/>
      <c r="WFX53"/>
      <c r="WFY53"/>
      <c r="WFZ53"/>
      <c r="WGA53"/>
      <c r="WGB53"/>
      <c r="WGC53"/>
      <c r="WGD53"/>
      <c r="WGE53"/>
      <c r="WGF53"/>
      <c r="WGG53"/>
      <c r="WGH53"/>
      <c r="WGI53"/>
      <c r="WGJ53"/>
      <c r="WGK53"/>
      <c r="WGL53"/>
      <c r="WGM53"/>
      <c r="WGN53"/>
      <c r="WGO53"/>
      <c r="WGP53"/>
      <c r="WGQ53"/>
      <c r="WGR53"/>
      <c r="WGS53"/>
      <c r="WGT53"/>
      <c r="WGU53"/>
      <c r="WGV53"/>
      <c r="WGW53"/>
      <c r="WGX53"/>
      <c r="WGY53"/>
      <c r="WGZ53"/>
      <c r="WHA53"/>
      <c r="WHB53"/>
      <c r="WHC53"/>
      <c r="WHD53"/>
      <c r="WHE53"/>
      <c r="WHF53"/>
      <c r="WHG53"/>
      <c r="WHH53"/>
      <c r="WHI53"/>
      <c r="WHJ53"/>
      <c r="WHK53"/>
      <c r="WHL53"/>
      <c r="WHM53"/>
      <c r="WHN53"/>
      <c r="WHO53"/>
      <c r="WHP53"/>
      <c r="WHQ53"/>
      <c r="WHR53"/>
      <c r="WHS53"/>
      <c r="WHT53"/>
      <c r="WHU53"/>
      <c r="WHV53"/>
      <c r="WHW53"/>
      <c r="WHX53"/>
      <c r="WHY53"/>
      <c r="WHZ53"/>
      <c r="WIA53"/>
      <c r="WIB53"/>
      <c r="WIC53"/>
      <c r="WID53"/>
      <c r="WIE53"/>
      <c r="WIF53"/>
      <c r="WIG53"/>
      <c r="WIH53"/>
      <c r="WII53"/>
      <c r="WIJ53"/>
      <c r="WIK53"/>
      <c r="WIL53"/>
      <c r="WIM53"/>
      <c r="WIN53"/>
      <c r="WIO53"/>
      <c r="WIP53"/>
      <c r="WIQ53"/>
      <c r="WIR53"/>
      <c r="WIS53"/>
      <c r="WIT53"/>
      <c r="WIU53"/>
      <c r="WIV53"/>
      <c r="WIW53"/>
      <c r="WIX53"/>
      <c r="WIY53"/>
      <c r="WIZ53"/>
      <c r="WJA53"/>
      <c r="WJB53"/>
      <c r="WJC53"/>
      <c r="WJD53"/>
      <c r="WJE53"/>
      <c r="WJF53"/>
      <c r="WJG53"/>
      <c r="WJH53"/>
      <c r="WJI53"/>
      <c r="WJJ53"/>
      <c r="WJK53"/>
      <c r="WJL53"/>
      <c r="WJM53"/>
      <c r="WJN53"/>
      <c r="WJO53"/>
      <c r="WJP53"/>
      <c r="WJQ53"/>
      <c r="WJR53"/>
      <c r="WJS53"/>
      <c r="WJT53"/>
      <c r="WJU53"/>
      <c r="WJV53"/>
      <c r="WJW53"/>
      <c r="WJX53"/>
      <c r="WJY53"/>
      <c r="WJZ53"/>
      <c r="WKA53"/>
      <c r="WKB53"/>
      <c r="WKC53"/>
      <c r="WKD53"/>
      <c r="WKE53"/>
      <c r="WKF53"/>
      <c r="WKG53"/>
      <c r="WKH53"/>
      <c r="WKI53"/>
      <c r="WKJ53"/>
      <c r="WKK53"/>
      <c r="WKL53"/>
      <c r="WKM53"/>
      <c r="WKN53"/>
      <c r="WKO53"/>
      <c r="WKP53"/>
      <c r="WKQ53"/>
      <c r="WKR53"/>
      <c r="WKS53"/>
      <c r="WKT53"/>
      <c r="WKU53"/>
      <c r="WKV53"/>
      <c r="WKW53"/>
      <c r="WKX53"/>
      <c r="WKY53"/>
      <c r="WKZ53"/>
      <c r="WLA53"/>
      <c r="WLB53"/>
      <c r="WLC53"/>
      <c r="WLD53"/>
      <c r="WLE53"/>
      <c r="WLF53"/>
      <c r="WLG53"/>
      <c r="WLH53"/>
      <c r="WLI53"/>
      <c r="WLJ53"/>
      <c r="WLK53"/>
      <c r="WLL53"/>
      <c r="WLM53"/>
      <c r="WLN53"/>
      <c r="WLO53"/>
      <c r="WLP53"/>
      <c r="WLQ53"/>
      <c r="WLR53"/>
      <c r="WLS53"/>
      <c r="WLT53"/>
      <c r="WLU53"/>
      <c r="WLV53"/>
      <c r="WLW53"/>
      <c r="WLX53"/>
      <c r="WLY53"/>
      <c r="WLZ53"/>
      <c r="WMA53"/>
      <c r="WMB53"/>
      <c r="WMC53"/>
      <c r="WMD53"/>
      <c r="WME53"/>
      <c r="WMF53"/>
      <c r="WMG53"/>
      <c r="WMH53"/>
      <c r="WMI53"/>
      <c r="WMJ53"/>
      <c r="WMK53"/>
      <c r="WML53"/>
      <c r="WMM53"/>
      <c r="WMN53"/>
      <c r="WMO53"/>
      <c r="WMP53"/>
      <c r="WMQ53"/>
      <c r="WMR53"/>
      <c r="WMS53"/>
      <c r="WMT53"/>
      <c r="WMU53"/>
      <c r="WMV53"/>
      <c r="WMW53"/>
      <c r="WMX53"/>
      <c r="WMY53"/>
      <c r="WMZ53"/>
      <c r="WNA53"/>
      <c r="WNB53"/>
      <c r="WNC53"/>
      <c r="WND53"/>
      <c r="WNE53"/>
      <c r="WNF53"/>
      <c r="WNG53"/>
      <c r="WNH53"/>
      <c r="WNI53"/>
      <c r="WNJ53"/>
      <c r="WNK53"/>
      <c r="WNL53"/>
      <c r="WNM53"/>
      <c r="WNN53"/>
      <c r="WNO53"/>
      <c r="WNP53"/>
      <c r="WNQ53"/>
      <c r="WNR53"/>
      <c r="WNS53"/>
      <c r="WNT53"/>
      <c r="WNU53"/>
      <c r="WNV53"/>
      <c r="WNW53"/>
      <c r="WNX53"/>
      <c r="WNY53"/>
      <c r="WNZ53"/>
      <c r="WOA53"/>
      <c r="WOB53"/>
      <c r="WOC53"/>
      <c r="WOD53"/>
      <c r="WOE53"/>
      <c r="WOF53"/>
      <c r="WOG53"/>
      <c r="WOH53"/>
      <c r="WOI53"/>
      <c r="WOJ53"/>
      <c r="WOK53"/>
      <c r="WOL53"/>
      <c r="WOM53"/>
      <c r="WON53"/>
      <c r="WOO53"/>
      <c r="WOP53"/>
      <c r="WOQ53"/>
      <c r="WOR53"/>
      <c r="WOS53"/>
      <c r="WOT53"/>
      <c r="WOU53"/>
      <c r="WOV53"/>
      <c r="WOW53"/>
      <c r="WOX53"/>
      <c r="WOY53"/>
      <c r="WOZ53"/>
      <c r="WPA53"/>
      <c r="WPB53"/>
      <c r="WPC53"/>
      <c r="WPD53"/>
      <c r="WPE53"/>
      <c r="WPF53"/>
      <c r="WPG53"/>
      <c r="WPH53"/>
      <c r="WPI53"/>
      <c r="WPJ53"/>
      <c r="WPK53"/>
      <c r="WPL53"/>
      <c r="WPM53"/>
      <c r="WPN53"/>
      <c r="WPO53"/>
      <c r="WPP53"/>
      <c r="WPQ53"/>
      <c r="WPR53"/>
      <c r="WPS53"/>
      <c r="WPT53"/>
      <c r="WPU53"/>
      <c r="WPV53"/>
      <c r="WPW53"/>
      <c r="WPX53"/>
      <c r="WPY53"/>
      <c r="WPZ53"/>
      <c r="WQA53"/>
      <c r="WQB53"/>
      <c r="WQC53"/>
      <c r="WQD53"/>
      <c r="WQE53"/>
      <c r="WQF53"/>
      <c r="WQG53"/>
      <c r="WQH53"/>
      <c r="WQI53"/>
      <c r="WQJ53"/>
      <c r="WQK53"/>
      <c r="WQL53"/>
      <c r="WQM53"/>
      <c r="WQN53"/>
      <c r="WQO53"/>
      <c r="WQP53"/>
      <c r="WQQ53"/>
      <c r="WQR53"/>
      <c r="WQS53"/>
      <c r="WQT53"/>
      <c r="WQU53"/>
      <c r="WQV53"/>
      <c r="WQW53"/>
      <c r="WQX53"/>
      <c r="WQY53"/>
      <c r="WQZ53"/>
      <c r="WRA53"/>
      <c r="WRB53"/>
      <c r="WRC53"/>
      <c r="WRD53"/>
      <c r="WRE53"/>
      <c r="WRF53"/>
      <c r="WRG53"/>
      <c r="WRH53"/>
      <c r="WRI53"/>
      <c r="WRJ53"/>
      <c r="WRK53"/>
      <c r="WRL53"/>
      <c r="WRM53"/>
      <c r="WRN53"/>
      <c r="WRO53"/>
      <c r="WRP53"/>
      <c r="WRQ53"/>
      <c r="WRR53"/>
      <c r="WRS53"/>
      <c r="WRT53"/>
      <c r="WRU53"/>
      <c r="WRV53"/>
      <c r="WRW53"/>
      <c r="WRX53"/>
      <c r="WRY53"/>
      <c r="WRZ53"/>
      <c r="WSA53"/>
      <c r="WSB53"/>
      <c r="WSC53"/>
      <c r="WSD53"/>
      <c r="WSE53"/>
      <c r="WSF53"/>
      <c r="WSG53"/>
      <c r="WSH53"/>
      <c r="WSI53"/>
      <c r="WSJ53"/>
      <c r="WSK53"/>
      <c r="WSL53"/>
      <c r="WSM53"/>
      <c r="WSN53"/>
      <c r="WSO53"/>
      <c r="WSP53"/>
      <c r="WSQ53"/>
      <c r="WSR53"/>
      <c r="WSS53"/>
      <c r="WST53"/>
      <c r="WSU53"/>
      <c r="WSV53"/>
      <c r="WSW53"/>
      <c r="WSX53"/>
      <c r="WSY53"/>
      <c r="WSZ53"/>
      <c r="WTA53"/>
      <c r="WTB53"/>
      <c r="WTC53"/>
      <c r="WTD53"/>
      <c r="WTE53"/>
      <c r="WTF53"/>
      <c r="WTG53"/>
      <c r="WTH53"/>
      <c r="WTI53"/>
      <c r="WTJ53"/>
      <c r="WTK53"/>
      <c r="WTL53"/>
      <c r="WTM53"/>
      <c r="WTN53"/>
      <c r="WTO53"/>
      <c r="WTP53"/>
      <c r="WTQ53"/>
      <c r="WTR53"/>
      <c r="WTS53"/>
      <c r="WTT53"/>
      <c r="WTU53"/>
      <c r="WTV53"/>
      <c r="WTW53"/>
      <c r="WTX53"/>
      <c r="WTY53"/>
      <c r="WTZ53"/>
      <c r="WUA53"/>
      <c r="WUB53"/>
      <c r="WUC53"/>
      <c r="WUD53"/>
      <c r="WUE53"/>
      <c r="WUF53"/>
      <c r="WUG53"/>
      <c r="WUH53"/>
      <c r="WUI53"/>
      <c r="WUJ53"/>
      <c r="WUK53"/>
      <c r="WUL53"/>
      <c r="WUM53"/>
      <c r="WUN53"/>
      <c r="WUO53"/>
      <c r="WUP53"/>
      <c r="WUQ53"/>
      <c r="WUR53"/>
      <c r="WUS53"/>
      <c r="WUT53"/>
      <c r="WUU53"/>
      <c r="WUV53"/>
      <c r="WUW53"/>
      <c r="WUX53"/>
      <c r="WUY53"/>
      <c r="WUZ53"/>
      <c r="WVA53"/>
      <c r="WVB53"/>
      <c r="WVC53"/>
      <c r="WVD53"/>
      <c r="WVE53"/>
      <c r="WVF53"/>
      <c r="WVG53"/>
      <c r="WVH53"/>
      <c r="WVI53"/>
      <c r="WVJ53"/>
      <c r="WVK53"/>
      <c r="WVL53"/>
      <c r="WVM53"/>
      <c r="WVN53"/>
      <c r="WVO53"/>
      <c r="WVP53"/>
      <c r="WVQ53"/>
      <c r="WVR53"/>
      <c r="WVS53"/>
      <c r="WVT53"/>
      <c r="WVU53"/>
      <c r="WVV53"/>
      <c r="WVW53"/>
      <c r="WVX53"/>
      <c r="WVY53"/>
      <c r="WVZ53"/>
      <c r="WWA53"/>
      <c r="WWB53"/>
      <c r="WWC53"/>
      <c r="WWD53"/>
      <c r="WWE53"/>
      <c r="WWF53"/>
      <c r="WWG53"/>
      <c r="WWH53"/>
      <c r="WWI53"/>
      <c r="WWJ53"/>
      <c r="WWK53"/>
      <c r="WWL53"/>
      <c r="WWM53"/>
      <c r="WWN53"/>
      <c r="WWO53"/>
      <c r="WWP53"/>
      <c r="WWQ53"/>
      <c r="WWR53"/>
      <c r="WWS53"/>
      <c r="WWT53"/>
      <c r="WWU53"/>
      <c r="WWV53"/>
      <c r="WWW53"/>
      <c r="WWX53"/>
      <c r="WWY53"/>
      <c r="WWZ53"/>
      <c r="WXA53"/>
      <c r="WXB53"/>
      <c r="WXC53"/>
      <c r="WXD53"/>
      <c r="WXE53"/>
      <c r="WXF53"/>
      <c r="WXG53"/>
      <c r="WXH53"/>
      <c r="WXI53"/>
      <c r="WXJ53"/>
      <c r="WXK53"/>
      <c r="WXL53"/>
      <c r="WXM53"/>
      <c r="WXN53"/>
      <c r="WXO53"/>
      <c r="WXP53"/>
      <c r="WXQ53"/>
      <c r="WXR53"/>
      <c r="WXS53"/>
      <c r="WXT53"/>
      <c r="WXU53"/>
      <c r="WXV53"/>
      <c r="WXW53"/>
      <c r="WXX53"/>
      <c r="WXY53"/>
      <c r="WXZ53"/>
      <c r="WYA53"/>
      <c r="WYB53"/>
      <c r="WYC53"/>
      <c r="WYD53"/>
      <c r="WYE53"/>
      <c r="WYF53"/>
      <c r="WYG53"/>
      <c r="WYH53"/>
      <c r="WYI53"/>
      <c r="WYJ53"/>
      <c r="WYK53"/>
      <c r="WYL53"/>
      <c r="WYM53"/>
      <c r="WYN53"/>
      <c r="WYO53"/>
      <c r="WYP53"/>
      <c r="WYQ53"/>
      <c r="WYR53"/>
      <c r="WYS53"/>
      <c r="WYT53"/>
      <c r="WYU53"/>
      <c r="WYV53"/>
      <c r="WYW53"/>
      <c r="WYX53"/>
      <c r="WYY53"/>
      <c r="WYZ53"/>
      <c r="WZA53"/>
      <c r="WZB53"/>
      <c r="WZC53"/>
      <c r="WZD53"/>
      <c r="WZE53"/>
      <c r="WZF53"/>
      <c r="WZG53"/>
      <c r="WZH53"/>
      <c r="WZI53"/>
      <c r="WZJ53"/>
      <c r="WZK53"/>
      <c r="WZL53"/>
      <c r="WZM53"/>
      <c r="WZN53"/>
      <c r="WZO53"/>
      <c r="WZP53"/>
      <c r="WZQ53"/>
      <c r="WZR53"/>
      <c r="WZS53"/>
      <c r="WZT53"/>
      <c r="WZU53"/>
      <c r="WZV53"/>
      <c r="WZW53"/>
      <c r="WZX53"/>
      <c r="WZY53"/>
      <c r="WZZ53"/>
      <c r="XAA53"/>
      <c r="XAB53"/>
      <c r="XAC53"/>
      <c r="XAD53"/>
      <c r="XAE53"/>
      <c r="XAF53"/>
      <c r="XAG53"/>
      <c r="XAH53"/>
      <c r="XAI53"/>
      <c r="XAJ53"/>
      <c r="XAK53"/>
      <c r="XAL53"/>
      <c r="XAM53"/>
      <c r="XAN53"/>
      <c r="XAO53"/>
      <c r="XAP53"/>
      <c r="XAQ53"/>
      <c r="XAR53"/>
      <c r="XAS53"/>
      <c r="XAT53"/>
      <c r="XAU53"/>
      <c r="XAV53"/>
      <c r="XAW53"/>
      <c r="XAX53"/>
      <c r="XAY53"/>
      <c r="XAZ53"/>
      <c r="XBA53"/>
      <c r="XBB53"/>
      <c r="XBC53"/>
      <c r="XBD53"/>
      <c r="XBE53"/>
      <c r="XBF53"/>
      <c r="XBG53"/>
      <c r="XBH53"/>
      <c r="XBI53"/>
      <c r="XBJ53"/>
      <c r="XBK53"/>
      <c r="XBL53"/>
      <c r="XBM53"/>
      <c r="XBN53"/>
      <c r="XBO53"/>
      <c r="XBP53"/>
      <c r="XBQ53"/>
      <c r="XBR53"/>
      <c r="XBS53"/>
      <c r="XBT53"/>
      <c r="XBU53"/>
      <c r="XBV53"/>
      <c r="XBW53"/>
      <c r="XBX53"/>
      <c r="XBY53"/>
      <c r="XBZ53"/>
      <c r="XCA53"/>
      <c r="XCB53"/>
      <c r="XCC53"/>
      <c r="XCD53"/>
      <c r="XCE53"/>
      <c r="XCF53"/>
      <c r="XCG53"/>
      <c r="XCH53"/>
      <c r="XCI53"/>
      <c r="XCJ53"/>
      <c r="XCK53"/>
      <c r="XCL53"/>
      <c r="XCM53"/>
      <c r="XCN53"/>
      <c r="XCO53"/>
      <c r="XCP53"/>
      <c r="XCQ53"/>
      <c r="XCR53"/>
      <c r="XCS53"/>
      <c r="XCT53"/>
      <c r="XCU53"/>
      <c r="XCV53"/>
      <c r="XCW53"/>
      <c r="XCX53"/>
      <c r="XCY53"/>
      <c r="XCZ53"/>
      <c r="XDA53"/>
      <c r="XDB53"/>
      <c r="XDC53"/>
      <c r="XDD53"/>
      <c r="XDE53"/>
      <c r="XDF53"/>
      <c r="XDG53"/>
      <c r="XDH53"/>
      <c r="XDI53"/>
      <c r="XDJ53"/>
      <c r="XDK53"/>
      <c r="XDL53"/>
      <c r="XDM53"/>
      <c r="XDN53"/>
      <c r="XDO53"/>
      <c r="XDP53"/>
      <c r="XDQ53"/>
      <c r="XDR53"/>
      <c r="XDS53"/>
      <c r="XDT53"/>
      <c r="XDU53"/>
      <c r="XDV53"/>
      <c r="XDW53"/>
      <c r="XDX53"/>
      <c r="XDY53"/>
      <c r="XDZ53"/>
      <c r="XEA53"/>
      <c r="XEB53"/>
      <c r="XEC53"/>
      <c r="XED53"/>
      <c r="XEE53"/>
      <c r="XEF53"/>
      <c r="XEG53"/>
      <c r="XEH53"/>
      <c r="XEI53"/>
      <c r="XEJ53"/>
      <c r="XEK53"/>
      <c r="XEL53"/>
      <c r="XEM53"/>
      <c r="XEN53"/>
      <c r="XEO53"/>
      <c r="XEP53"/>
      <c r="XEQ53"/>
      <c r="XER53"/>
      <c r="XES53"/>
      <c r="XET53"/>
      <c r="XEU53"/>
      <c r="XEV53"/>
      <c r="XEW53"/>
      <c r="XEX53"/>
      <c r="XEY53"/>
      <c r="XEZ53"/>
      <c r="XFA53"/>
      <c r="XFB53"/>
      <c r="XFC53"/>
      <c r="XFD53"/>
    </row>
    <row r="54" spans="1:16384" ht="49.5" hidden="1">
      <c r="A54" s="136"/>
      <c r="B54" s="136" t="s">
        <v>63</v>
      </c>
      <c r="C54" s="61" t="s">
        <v>509</v>
      </c>
      <c r="D54" s="156" t="s">
        <v>195</v>
      </c>
      <c r="E54" s="178" t="s">
        <v>195</v>
      </c>
      <c r="F54" s="157">
        <v>13816598567</v>
      </c>
      <c r="G54" s="179" t="s">
        <v>151</v>
      </c>
      <c r="H54" s="157" t="s">
        <v>215</v>
      </c>
      <c r="I54" s="157" t="s">
        <v>101</v>
      </c>
      <c r="J54" s="157" t="s">
        <v>510</v>
      </c>
      <c r="K54" s="157" t="s">
        <v>346</v>
      </c>
      <c r="L54" s="157" t="s">
        <v>327</v>
      </c>
      <c r="M54" s="157">
        <v>20</v>
      </c>
      <c r="N54" s="157" t="s">
        <v>145</v>
      </c>
      <c r="O54" s="157" t="s">
        <v>255</v>
      </c>
      <c r="P54" s="157" t="s">
        <v>147</v>
      </c>
      <c r="Q54" s="157" t="s">
        <v>221</v>
      </c>
      <c r="R54" s="165">
        <v>43790</v>
      </c>
      <c r="S54" s="149">
        <v>2880</v>
      </c>
      <c r="T54" s="136" t="s">
        <v>194</v>
      </c>
      <c r="U54" s="136">
        <v>2880</v>
      </c>
      <c r="V54" s="136">
        <v>0</v>
      </c>
      <c r="W54" s="175" t="s">
        <v>511</v>
      </c>
      <c r="X54" s="164" t="s">
        <v>76</v>
      </c>
      <c r="Y54" s="164" t="s">
        <v>131</v>
      </c>
      <c r="Z54" s="164"/>
      <c r="AA54" s="164" t="s">
        <v>120</v>
      </c>
      <c r="AB54" s="164" t="s">
        <v>99</v>
      </c>
      <c r="AC54" s="103"/>
      <c r="AD54" s="103" t="s">
        <v>512</v>
      </c>
      <c r="AE54" s="103" t="s">
        <v>75</v>
      </c>
      <c r="AF54" s="103" t="s">
        <v>513</v>
      </c>
      <c r="AG54" s="103"/>
      <c r="AH54" s="103"/>
      <c r="AI54" s="103"/>
      <c r="AJ54" s="103"/>
      <c r="AK54" s="103"/>
      <c r="AL54" s="103"/>
      <c r="AM54" s="103"/>
      <c r="AN54" s="187"/>
      <c r="AO54" s="139"/>
      <c r="AP54" s="139"/>
      <c r="AQ54" s="114"/>
      <c r="AR54" s="139"/>
      <c r="AS54" s="114"/>
      <c r="AT54" s="139"/>
      <c r="AX54" s="115"/>
      <c r="AY54" s="142"/>
      <c r="AZ54" s="142"/>
      <c r="BA54" s="135"/>
      <c r="BB54" s="135"/>
      <c r="BC54" s="189"/>
      <c r="BD54" s="135"/>
      <c r="BE54" s="135"/>
      <c r="BF54" s="138"/>
      <c r="BG54" s="134"/>
      <c r="BH54" s="103"/>
      <c r="BI54" s="103"/>
      <c r="BJ54" s="190"/>
      <c r="BK54" s="191"/>
      <c r="BL54" s="192"/>
      <c r="BM54" s="192"/>
      <c r="BN54" s="103"/>
      <c r="BO54" s="103"/>
      <c r="BP54" s="103"/>
      <c r="BQ54" s="103"/>
      <c r="BR54" s="103"/>
      <c r="BS54" s="103"/>
      <c r="BT54" s="103"/>
      <c r="BU54" s="103"/>
      <c r="BV54" s="103"/>
      <c r="BW54" s="103"/>
      <c r="BX54" s="103"/>
      <c r="BY54" s="103"/>
      <c r="BZ54" s="103"/>
      <c r="CA54" s="103"/>
      <c r="CB54" s="103"/>
      <c r="CC54" s="103"/>
      <c r="CD54" s="103"/>
      <c r="CE54" s="103"/>
      <c r="CF54" s="103"/>
      <c r="CG54" s="103"/>
      <c r="CH54" s="103"/>
      <c r="CI54" s="103"/>
      <c r="CJ54" s="103"/>
      <c r="CK54" s="103"/>
      <c r="CL54" s="103"/>
      <c r="CM54" s="103"/>
      <c r="CN54" s="103"/>
      <c r="CO54" s="103"/>
      <c r="CP54" s="103"/>
      <c r="CQ54" s="103"/>
      <c r="CR54" s="103"/>
      <c r="CS54" s="103"/>
      <c r="CT54" s="103"/>
      <c r="CU54" s="103"/>
      <c r="CV54" s="103"/>
      <c r="CW54" s="103"/>
      <c r="CX54" s="103"/>
      <c r="CY54" s="103"/>
      <c r="CZ54" s="103"/>
      <c r="DA54" s="103"/>
      <c r="DB54" s="103"/>
      <c r="DC54" s="103"/>
      <c r="DD54" s="103"/>
      <c r="DE54" s="103"/>
      <c r="DF54" s="103"/>
      <c r="DG54" s="103"/>
      <c r="DH54" s="103"/>
      <c r="DI54" s="103"/>
      <c r="DJ54" s="103"/>
      <c r="DK54" s="103"/>
      <c r="DL54" s="103"/>
      <c r="DM54" s="103"/>
      <c r="DN54" s="103"/>
      <c r="DO54" s="103"/>
      <c r="DP54" s="103"/>
      <c r="DQ54" s="103"/>
      <c r="DR54" s="103"/>
      <c r="DS54" s="103"/>
      <c r="DT54" s="103"/>
      <c r="DU54" s="103"/>
      <c r="DV54" s="103"/>
      <c r="DW54" s="103"/>
      <c r="DX54" s="103"/>
      <c r="DY54" s="103"/>
      <c r="DZ54" s="103"/>
      <c r="EA54" s="103"/>
      <c r="EB54" s="103"/>
      <c r="EC54" s="103"/>
      <c r="ED54" s="103"/>
      <c r="EE54" s="103"/>
      <c r="EF54" s="103"/>
      <c r="EG54" s="103"/>
      <c r="EH54" s="103"/>
      <c r="EI54" s="103"/>
      <c r="EJ54" s="103"/>
      <c r="EK54" s="103"/>
      <c r="EL54" s="103"/>
      <c r="EM54" s="103"/>
      <c r="EN54" s="103"/>
      <c r="EO54" s="103"/>
      <c r="EP54" s="103"/>
      <c r="EQ54" s="103"/>
      <c r="ER54" s="103"/>
      <c r="ES54" s="103"/>
      <c r="ET54" s="103"/>
      <c r="EU54" s="103"/>
      <c r="EV54" s="103"/>
      <c r="EW54" s="103"/>
      <c r="EX54" s="103"/>
      <c r="EY54" s="103"/>
      <c r="EZ54" s="103"/>
      <c r="FA54" s="103"/>
      <c r="FB54" s="103"/>
      <c r="FC54" s="103"/>
      <c r="FD54" s="103"/>
      <c r="FE54" s="103"/>
      <c r="FF54" s="103"/>
      <c r="FG54" s="103"/>
      <c r="FH54" s="103"/>
      <c r="FI54" s="103"/>
      <c r="FJ54" s="103"/>
      <c r="FK54" s="103"/>
      <c r="FL54" s="103"/>
      <c r="FM54" s="103"/>
      <c r="FN54" s="103"/>
      <c r="FO54" s="103"/>
      <c r="FP54" s="103"/>
      <c r="FQ54" s="103"/>
      <c r="FR54" s="103"/>
      <c r="FS54" s="103"/>
      <c r="FT54" s="103"/>
      <c r="FU54" s="103"/>
      <c r="FV54" s="103"/>
      <c r="FW54" s="103"/>
      <c r="FX54" s="103"/>
      <c r="FY54" s="103"/>
      <c r="FZ54" s="103"/>
      <c r="GA54" s="103"/>
      <c r="GB54" s="103"/>
      <c r="GC54" s="103"/>
      <c r="GD54" s="103"/>
      <c r="GE54" s="103"/>
      <c r="GF54" s="103"/>
      <c r="GG54" s="103"/>
      <c r="GH54" s="103"/>
      <c r="GI54" s="103"/>
      <c r="GJ54" s="103"/>
      <c r="GK54" s="103"/>
      <c r="GL54" s="103"/>
      <c r="GM54" s="103"/>
      <c r="GN54" s="103"/>
      <c r="GO54" s="103"/>
      <c r="GP54" s="103"/>
      <c r="GQ54" s="103"/>
      <c r="GR54" s="103"/>
      <c r="GS54" s="103"/>
      <c r="GT54" s="103"/>
      <c r="GU54" s="103"/>
      <c r="GV54" s="103"/>
      <c r="GW54" s="103"/>
      <c r="GX54" s="103"/>
      <c r="GY54" s="103"/>
      <c r="GZ54" s="103"/>
      <c r="HA54" s="103"/>
      <c r="HB54" s="103"/>
      <c r="HC54" s="103"/>
      <c r="HD54" s="103"/>
      <c r="HE54" s="103"/>
      <c r="HF54" s="103"/>
      <c r="HG54" s="103"/>
      <c r="HH54" s="103"/>
      <c r="HI54" s="103"/>
      <c r="HJ54" s="103"/>
      <c r="HK54" s="103"/>
      <c r="HL54" s="103"/>
      <c r="HM54" s="103"/>
      <c r="HN54" s="103"/>
      <c r="HO54" s="103"/>
      <c r="HP54" s="103"/>
      <c r="HQ54" s="103"/>
      <c r="HR54" s="103"/>
      <c r="HS54" s="103"/>
      <c r="HT54" s="103"/>
      <c r="HU54" s="103"/>
      <c r="HV54" s="103"/>
      <c r="HW54" s="103"/>
      <c r="HX54" s="103"/>
      <c r="HY54" s="103"/>
      <c r="HZ54" s="103"/>
      <c r="IA54" s="103"/>
      <c r="IB54" s="103"/>
      <c r="IC54" s="103"/>
      <c r="ID54" s="103"/>
      <c r="IE54" s="103"/>
      <c r="IF54" s="103"/>
      <c r="IG54" s="103"/>
      <c r="IH54" s="103"/>
      <c r="II54" s="103"/>
      <c r="IJ54" s="103"/>
      <c r="IK54" s="103"/>
      <c r="IL54" s="103"/>
      <c r="IM54" s="103"/>
      <c r="IN54" s="103"/>
      <c r="IO54" s="103"/>
      <c r="IP54" s="103"/>
      <c r="IQ54" s="103"/>
      <c r="IR54" s="103"/>
      <c r="IS54" s="103"/>
      <c r="IT54" s="103"/>
      <c r="IU54" s="103"/>
      <c r="IV54" s="103"/>
      <c r="IW54" s="103"/>
      <c r="IX54"/>
      <c r="IY54"/>
      <c r="IZ54"/>
      <c r="JA54"/>
      <c r="JB54"/>
      <c r="JC54"/>
      <c r="JD54"/>
      <c r="JE54"/>
      <c r="JF54"/>
      <c r="JG54"/>
      <c r="JH54"/>
      <c r="JI54"/>
      <c r="JJ54"/>
      <c r="JK54"/>
      <c r="JL54"/>
      <c r="JM54"/>
      <c r="JN54"/>
      <c r="JO54"/>
      <c r="JP54"/>
      <c r="JQ54"/>
      <c r="JR54"/>
      <c r="JS54"/>
      <c r="JT54"/>
      <c r="JU54"/>
      <c r="JV54"/>
      <c r="JW54"/>
      <c r="JX54"/>
      <c r="JY54"/>
      <c r="JZ54"/>
      <c r="KA54"/>
      <c r="KB54"/>
      <c r="KC54"/>
      <c r="KD54"/>
      <c r="KE54"/>
      <c r="KF54"/>
      <c r="KG54"/>
      <c r="KH54"/>
      <c r="KI54"/>
      <c r="KJ54"/>
      <c r="KK54"/>
      <c r="KL54"/>
      <c r="KM54"/>
      <c r="KN54"/>
      <c r="KO54"/>
      <c r="KP54"/>
      <c r="KQ54"/>
      <c r="KR54"/>
      <c r="KS54"/>
      <c r="KT54"/>
      <c r="KU54"/>
      <c r="KV54"/>
      <c r="KW54"/>
      <c r="KX54"/>
      <c r="KY54"/>
      <c r="KZ54"/>
      <c r="LA54"/>
      <c r="LB54"/>
      <c r="LC54"/>
      <c r="LD54"/>
      <c r="LE54"/>
      <c r="LF54"/>
      <c r="LG54"/>
      <c r="LH54"/>
      <c r="LI54"/>
      <c r="LJ54"/>
      <c r="LK54"/>
      <c r="LL54"/>
      <c r="LM54"/>
      <c r="LN54"/>
      <c r="LO54"/>
      <c r="LP54"/>
      <c r="LQ54"/>
      <c r="LR54"/>
      <c r="LS54"/>
      <c r="LT54"/>
      <c r="LU54"/>
      <c r="LV54"/>
      <c r="LW54"/>
      <c r="LX54"/>
      <c r="LY54"/>
      <c r="LZ54"/>
      <c r="MA54"/>
      <c r="MB54"/>
      <c r="MC54"/>
      <c r="MD54"/>
      <c r="ME54"/>
      <c r="MF54"/>
      <c r="MG54"/>
      <c r="MH54"/>
      <c r="MI54"/>
      <c r="MJ54"/>
      <c r="MK54"/>
      <c r="ML54"/>
      <c r="MM54"/>
      <c r="MN54"/>
      <c r="MO54"/>
      <c r="MP54"/>
      <c r="MQ54"/>
      <c r="MR54"/>
      <c r="MS54"/>
      <c r="MT54"/>
      <c r="MU54"/>
      <c r="MV54"/>
      <c r="MW54"/>
      <c r="MX54"/>
      <c r="MY54"/>
      <c r="MZ54"/>
      <c r="NA54"/>
      <c r="NB54"/>
      <c r="NC54"/>
      <c r="ND54"/>
      <c r="NE54"/>
      <c r="NF54"/>
      <c r="NG54"/>
      <c r="NH54"/>
      <c r="NI54"/>
      <c r="NJ54"/>
      <c r="NK54"/>
      <c r="NL54"/>
      <c r="NM54"/>
      <c r="NN54"/>
      <c r="NO54"/>
      <c r="NP54"/>
      <c r="NQ54"/>
      <c r="NR54"/>
      <c r="NS54"/>
      <c r="NT54"/>
      <c r="NU54"/>
      <c r="NV54"/>
      <c r="NW54"/>
      <c r="NX54"/>
      <c r="NY54"/>
      <c r="NZ54"/>
      <c r="OA54"/>
      <c r="OB54"/>
      <c r="OC54"/>
      <c r="OD54"/>
      <c r="OE54"/>
      <c r="OF54"/>
      <c r="OG54"/>
      <c r="OH54"/>
      <c r="OI54"/>
      <c r="OJ54"/>
      <c r="OK54"/>
      <c r="OL54"/>
      <c r="OM54"/>
      <c r="ON54"/>
      <c r="OO54"/>
      <c r="OP54"/>
      <c r="OQ54"/>
      <c r="OR54"/>
      <c r="OS54"/>
      <c r="OT54"/>
      <c r="OU54"/>
      <c r="OV54"/>
      <c r="OW54"/>
      <c r="OX54"/>
      <c r="OY54"/>
      <c r="OZ54"/>
      <c r="PA54"/>
      <c r="PB54"/>
      <c r="PC54"/>
      <c r="PD54"/>
      <c r="PE54"/>
      <c r="PF54"/>
      <c r="PG54"/>
      <c r="PH54"/>
      <c r="PI54"/>
      <c r="PJ54"/>
      <c r="PK54"/>
      <c r="PL54"/>
      <c r="PM54"/>
      <c r="PN54"/>
      <c r="PO54"/>
      <c r="PP54"/>
      <c r="PQ54"/>
      <c r="PR54"/>
      <c r="PS54"/>
      <c r="PT54"/>
      <c r="PU54"/>
      <c r="PV54"/>
      <c r="PW54"/>
      <c r="PX54"/>
      <c r="PY54"/>
      <c r="PZ54"/>
      <c r="QA54"/>
      <c r="QB54"/>
      <c r="QC54"/>
      <c r="QD54"/>
      <c r="QE54"/>
      <c r="QF54"/>
      <c r="QG54"/>
      <c r="QH54"/>
      <c r="QI54"/>
      <c r="QJ54"/>
      <c r="QK54"/>
      <c r="QL54"/>
      <c r="QM54"/>
      <c r="QN54"/>
      <c r="QO54"/>
      <c r="QP54"/>
      <c r="QQ54"/>
      <c r="QR54"/>
      <c r="QS54"/>
      <c r="QT54"/>
      <c r="QU54"/>
      <c r="QV54"/>
      <c r="QW54"/>
      <c r="QX54"/>
      <c r="QY54"/>
      <c r="QZ54"/>
      <c r="RA54"/>
      <c r="RB54"/>
      <c r="RC54"/>
      <c r="RD54"/>
      <c r="RE54"/>
      <c r="RF54"/>
      <c r="RG54"/>
      <c r="RH54"/>
      <c r="RI54"/>
      <c r="RJ54"/>
      <c r="RK54"/>
      <c r="RL54"/>
      <c r="RM54"/>
      <c r="RN54"/>
      <c r="RO54"/>
      <c r="RP54"/>
      <c r="RQ54"/>
      <c r="RR54"/>
      <c r="RS54"/>
      <c r="RT54"/>
      <c r="RU54"/>
      <c r="RV54"/>
      <c r="RW54"/>
      <c r="RX54"/>
      <c r="RY54"/>
      <c r="RZ54"/>
      <c r="SA54"/>
      <c r="SB54"/>
      <c r="SC54"/>
      <c r="SD54"/>
      <c r="SE54"/>
      <c r="SF54"/>
      <c r="SG54"/>
      <c r="SH54"/>
      <c r="SI54"/>
      <c r="SJ54"/>
      <c r="SK54"/>
      <c r="SL54"/>
      <c r="SM54"/>
      <c r="SN54"/>
      <c r="SO54"/>
      <c r="SP54"/>
      <c r="SQ54"/>
      <c r="SR54"/>
      <c r="SS54"/>
      <c r="ST54"/>
      <c r="SU54"/>
      <c r="SV54"/>
      <c r="SW54"/>
      <c r="SX54"/>
      <c r="SY54"/>
      <c r="SZ54"/>
      <c r="TA54"/>
      <c r="TB54"/>
      <c r="TC54"/>
      <c r="TD54"/>
      <c r="TE54"/>
      <c r="TF54"/>
      <c r="TG54"/>
      <c r="TH54"/>
      <c r="TI54"/>
      <c r="TJ54"/>
      <c r="TK54"/>
      <c r="TL54"/>
      <c r="TM54"/>
      <c r="TN54"/>
      <c r="TO54"/>
      <c r="TP54"/>
      <c r="TQ54"/>
      <c r="TR54"/>
      <c r="TS54"/>
      <c r="TT54"/>
      <c r="TU54"/>
      <c r="TV54"/>
      <c r="TW54"/>
      <c r="TX54"/>
      <c r="TY54"/>
      <c r="TZ54"/>
      <c r="UA54"/>
      <c r="UB54"/>
      <c r="UC54"/>
      <c r="UD54"/>
      <c r="UE54"/>
      <c r="UF54"/>
      <c r="UG54"/>
      <c r="UH54"/>
      <c r="UI54"/>
      <c r="UJ54"/>
      <c r="UK54"/>
      <c r="UL54"/>
      <c r="UM54"/>
      <c r="UN54"/>
      <c r="UO54"/>
      <c r="UP54"/>
      <c r="UQ54"/>
      <c r="UR54"/>
      <c r="US54"/>
      <c r="UT54"/>
      <c r="UU54"/>
      <c r="UV54"/>
      <c r="UW54"/>
      <c r="UX54"/>
      <c r="UY54"/>
      <c r="UZ54"/>
      <c r="VA54"/>
      <c r="VB54"/>
      <c r="VC54"/>
      <c r="VD54"/>
      <c r="VE54"/>
      <c r="VF54"/>
      <c r="VG54"/>
      <c r="VH54"/>
      <c r="VI54"/>
      <c r="VJ54"/>
      <c r="VK54"/>
      <c r="VL54"/>
      <c r="VM54"/>
      <c r="VN54"/>
      <c r="VO54"/>
      <c r="VP54"/>
      <c r="VQ54"/>
      <c r="VR54"/>
      <c r="VS54"/>
      <c r="VT54"/>
      <c r="VU54"/>
      <c r="VV54"/>
      <c r="VW54"/>
      <c r="VX54"/>
      <c r="VY54"/>
      <c r="VZ54"/>
      <c r="WA54"/>
      <c r="WB54"/>
      <c r="WC54"/>
      <c r="WD54"/>
      <c r="WE54"/>
      <c r="WF54"/>
      <c r="WG54"/>
      <c r="WH54"/>
      <c r="WI54"/>
      <c r="WJ54"/>
      <c r="WK54"/>
      <c r="WL54"/>
      <c r="WM54"/>
      <c r="WN54"/>
      <c r="WO54"/>
      <c r="WP54"/>
      <c r="WQ54"/>
      <c r="WR54"/>
      <c r="WS54"/>
      <c r="WT54"/>
      <c r="WU54"/>
      <c r="WV54"/>
      <c r="WW54"/>
      <c r="WX54"/>
      <c r="WY54"/>
      <c r="WZ54"/>
      <c r="XA54"/>
      <c r="XB54"/>
      <c r="XC54"/>
      <c r="XD54"/>
      <c r="XE54"/>
      <c r="XF54"/>
      <c r="XG54"/>
      <c r="XH54"/>
      <c r="XI54"/>
      <c r="XJ54"/>
      <c r="XK54"/>
      <c r="XL54"/>
      <c r="XM54"/>
      <c r="XN54"/>
      <c r="XO54"/>
      <c r="XP54"/>
      <c r="XQ54"/>
      <c r="XR54"/>
      <c r="XS54"/>
      <c r="XT54"/>
      <c r="XU54"/>
      <c r="XV54"/>
      <c r="XW54"/>
      <c r="XX54"/>
      <c r="XY54"/>
      <c r="XZ54"/>
      <c r="YA54"/>
      <c r="YB54"/>
      <c r="YC54"/>
      <c r="YD54"/>
      <c r="YE54"/>
      <c r="YF54"/>
      <c r="YG54"/>
      <c r="YH54"/>
      <c r="YI54"/>
      <c r="YJ54"/>
      <c r="YK54"/>
      <c r="YL54"/>
      <c r="YM54"/>
      <c r="YN54"/>
      <c r="YO54"/>
      <c r="YP54"/>
      <c r="YQ54"/>
      <c r="YR54"/>
      <c r="YS54"/>
      <c r="YT54"/>
      <c r="YU54"/>
      <c r="YV54"/>
      <c r="YW54"/>
      <c r="YX54"/>
      <c r="YY54"/>
      <c r="YZ54"/>
      <c r="ZA54"/>
      <c r="ZB54"/>
      <c r="ZC54"/>
      <c r="ZD54"/>
      <c r="ZE54"/>
      <c r="ZF54"/>
      <c r="ZG54"/>
      <c r="ZH54"/>
      <c r="ZI54"/>
      <c r="ZJ54"/>
      <c r="ZK54"/>
      <c r="ZL54"/>
      <c r="ZM54"/>
      <c r="ZN54"/>
      <c r="ZO54"/>
      <c r="ZP54"/>
      <c r="ZQ54"/>
      <c r="ZR54"/>
      <c r="ZS54"/>
      <c r="ZT54"/>
      <c r="ZU54"/>
      <c r="ZV54"/>
      <c r="ZW54"/>
      <c r="ZX54"/>
      <c r="ZY54"/>
      <c r="ZZ54"/>
      <c r="AAA54"/>
      <c r="AAB54"/>
      <c r="AAC54"/>
      <c r="AAD54"/>
      <c r="AAE54"/>
      <c r="AAF54"/>
      <c r="AAG54"/>
      <c r="AAH54"/>
      <c r="AAI54"/>
      <c r="AAJ54"/>
      <c r="AAK54"/>
      <c r="AAL54"/>
      <c r="AAM54"/>
      <c r="AAN54"/>
      <c r="AAO54"/>
      <c r="AAP54"/>
      <c r="AAQ54"/>
      <c r="AAR54"/>
      <c r="AAS54"/>
      <c r="AAT54"/>
      <c r="AAU54"/>
      <c r="AAV54"/>
      <c r="AAW54"/>
      <c r="AAX54"/>
      <c r="AAY54"/>
      <c r="AAZ54"/>
      <c r="ABA54"/>
      <c r="ABB54"/>
      <c r="ABC54"/>
      <c r="ABD54"/>
      <c r="ABE54"/>
      <c r="ABF54"/>
      <c r="ABG54"/>
      <c r="ABH54"/>
      <c r="ABI54"/>
      <c r="ABJ54"/>
      <c r="ABK54"/>
      <c r="ABL54"/>
      <c r="ABM54"/>
      <c r="ABN54"/>
      <c r="ABO54"/>
      <c r="ABP54"/>
      <c r="ABQ54"/>
      <c r="ABR54"/>
      <c r="ABS54"/>
      <c r="ABT54"/>
      <c r="ABU54"/>
      <c r="ABV54"/>
      <c r="ABW54"/>
      <c r="ABX54"/>
      <c r="ABY54"/>
      <c r="ABZ54"/>
      <c r="ACA54"/>
      <c r="ACB54"/>
      <c r="ACC54"/>
      <c r="ACD54"/>
      <c r="ACE54"/>
      <c r="ACF54"/>
      <c r="ACG54"/>
      <c r="ACH54"/>
      <c r="ACI54"/>
      <c r="ACJ54"/>
      <c r="ACK54"/>
      <c r="ACL54"/>
      <c r="ACM54"/>
      <c r="ACN54"/>
      <c r="ACO54"/>
      <c r="ACP54"/>
      <c r="ACQ54"/>
      <c r="ACR54"/>
      <c r="ACS54"/>
      <c r="ACT54"/>
      <c r="ACU54"/>
      <c r="ACV54"/>
      <c r="ACW54"/>
      <c r="ACX54"/>
      <c r="ACY54"/>
      <c r="ACZ54"/>
      <c r="ADA54"/>
      <c r="ADB54"/>
      <c r="ADC54"/>
      <c r="ADD54"/>
      <c r="ADE54"/>
      <c r="ADF54"/>
      <c r="ADG54"/>
      <c r="ADH54"/>
      <c r="ADI54"/>
      <c r="ADJ54"/>
      <c r="ADK54"/>
      <c r="ADL54"/>
      <c r="ADM54"/>
      <c r="ADN54"/>
      <c r="ADO54"/>
      <c r="ADP54"/>
      <c r="ADQ54"/>
      <c r="ADR54"/>
      <c r="ADS54"/>
      <c r="ADT54"/>
      <c r="ADU54"/>
      <c r="ADV54"/>
      <c r="ADW54"/>
      <c r="ADX54"/>
      <c r="ADY54"/>
      <c r="ADZ54"/>
      <c r="AEA54"/>
      <c r="AEB54"/>
      <c r="AEC54"/>
      <c r="AED54"/>
      <c r="AEE54"/>
      <c r="AEF54"/>
      <c r="AEG54"/>
      <c r="AEH54"/>
      <c r="AEI54"/>
      <c r="AEJ54"/>
      <c r="AEK54"/>
      <c r="AEL54"/>
      <c r="AEM54"/>
      <c r="AEN54"/>
      <c r="AEO54"/>
      <c r="AEP54"/>
      <c r="AEQ54"/>
      <c r="AER54"/>
      <c r="AES54"/>
      <c r="AET54"/>
      <c r="AEU54"/>
      <c r="AEV54"/>
      <c r="AEW54"/>
      <c r="AEX54"/>
      <c r="AEY54"/>
      <c r="AEZ54"/>
      <c r="AFA54"/>
      <c r="AFB54"/>
      <c r="AFC54"/>
      <c r="AFD54"/>
      <c r="AFE54"/>
      <c r="AFF54"/>
      <c r="AFG54"/>
      <c r="AFH54"/>
      <c r="AFI54"/>
      <c r="AFJ54"/>
      <c r="AFK54"/>
      <c r="AFL54"/>
      <c r="AFM54"/>
      <c r="AFN54"/>
      <c r="AFO54"/>
      <c r="AFP54"/>
      <c r="AFQ54"/>
      <c r="AFR54"/>
      <c r="AFS54"/>
      <c r="AFT54"/>
      <c r="AFU54"/>
      <c r="AFV54"/>
      <c r="AFW54"/>
      <c r="AFX54"/>
      <c r="AFY54"/>
      <c r="AFZ54"/>
      <c r="AGA54"/>
      <c r="AGB54"/>
      <c r="AGC54"/>
      <c r="AGD54"/>
      <c r="AGE54"/>
      <c r="AGF54"/>
      <c r="AGG54"/>
      <c r="AGH54"/>
      <c r="AGI54"/>
      <c r="AGJ54"/>
      <c r="AGK54"/>
      <c r="AGL54"/>
      <c r="AGM54"/>
      <c r="AGN54"/>
      <c r="AGO54"/>
      <c r="AGP54"/>
      <c r="AGQ54"/>
      <c r="AGR54"/>
      <c r="AGS54"/>
      <c r="AGT54"/>
      <c r="AGU54"/>
      <c r="AGV54"/>
      <c r="AGW54"/>
      <c r="AGX54"/>
      <c r="AGY54"/>
      <c r="AGZ54"/>
      <c r="AHA54"/>
      <c r="AHB54"/>
      <c r="AHC54"/>
      <c r="AHD54"/>
      <c r="AHE54"/>
      <c r="AHF54"/>
      <c r="AHG54"/>
      <c r="AHH54"/>
      <c r="AHI54"/>
      <c r="AHJ54"/>
      <c r="AHK54"/>
      <c r="AHL54"/>
      <c r="AHM54"/>
      <c r="AHN54"/>
      <c r="AHO54"/>
      <c r="AHP54"/>
      <c r="AHQ54"/>
      <c r="AHR54"/>
      <c r="AHS54"/>
      <c r="AHT54"/>
      <c r="AHU54"/>
      <c r="AHV54"/>
      <c r="AHW54"/>
      <c r="AHX54"/>
      <c r="AHY54"/>
      <c r="AHZ54"/>
      <c r="AIA54"/>
      <c r="AIB54"/>
      <c r="AIC54"/>
      <c r="AID54"/>
      <c r="AIE54"/>
      <c r="AIF54"/>
      <c r="AIG54"/>
      <c r="AIH54"/>
      <c r="AII54"/>
      <c r="AIJ54"/>
      <c r="AIK54"/>
      <c r="AIL54"/>
      <c r="AIM54"/>
      <c r="AIN54"/>
      <c r="AIO54"/>
      <c r="AIP54"/>
      <c r="AIQ54"/>
      <c r="AIR54"/>
      <c r="AIS54"/>
      <c r="AIT54"/>
      <c r="AIU54"/>
      <c r="AIV54"/>
      <c r="AIW54"/>
      <c r="AIX54"/>
      <c r="AIY54"/>
      <c r="AIZ54"/>
      <c r="AJA54"/>
      <c r="AJB54"/>
      <c r="AJC54"/>
      <c r="AJD54"/>
      <c r="AJE54"/>
      <c r="AJF54"/>
      <c r="AJG54"/>
      <c r="AJH54"/>
      <c r="AJI54"/>
      <c r="AJJ54"/>
      <c r="AJK54"/>
      <c r="AJL54"/>
      <c r="AJM54"/>
      <c r="AJN54"/>
      <c r="AJO54"/>
      <c r="AJP54"/>
      <c r="AJQ54"/>
      <c r="AJR54"/>
      <c r="AJS54"/>
      <c r="AJT54"/>
      <c r="AJU54"/>
      <c r="AJV54"/>
      <c r="AJW54"/>
      <c r="AJX54"/>
      <c r="AJY54"/>
      <c r="AJZ54"/>
      <c r="AKA54"/>
      <c r="AKB54"/>
      <c r="AKC54"/>
      <c r="AKD54"/>
      <c r="AKE54"/>
      <c r="AKF54"/>
      <c r="AKG54"/>
      <c r="AKH54"/>
      <c r="AKI54"/>
      <c r="AKJ54"/>
      <c r="AKK54"/>
      <c r="AKL54"/>
      <c r="AKM54"/>
      <c r="AKN54"/>
      <c r="AKO54"/>
      <c r="AKP54"/>
      <c r="AKQ54"/>
      <c r="AKR54"/>
      <c r="AKS54"/>
      <c r="AKT54"/>
      <c r="AKU54"/>
      <c r="AKV54"/>
      <c r="AKW54"/>
      <c r="AKX54"/>
      <c r="AKY54"/>
      <c r="AKZ54"/>
      <c r="ALA54"/>
      <c r="ALB54"/>
      <c r="ALC54"/>
      <c r="ALD54"/>
      <c r="ALE54"/>
      <c r="ALF54"/>
      <c r="ALG54"/>
      <c r="ALH54"/>
      <c r="ALI54"/>
      <c r="ALJ54"/>
      <c r="ALK54"/>
      <c r="ALL54"/>
      <c r="ALM54"/>
      <c r="ALN54"/>
      <c r="ALO54"/>
      <c r="ALP54"/>
      <c r="ALQ54"/>
      <c r="ALR54"/>
      <c r="ALS54"/>
      <c r="ALT54"/>
      <c r="ALU54"/>
      <c r="ALV54"/>
      <c r="ALW54"/>
      <c r="ALX54"/>
      <c r="ALY54"/>
      <c r="ALZ54"/>
      <c r="AMA54"/>
      <c r="AMB54"/>
      <c r="AMC54"/>
      <c r="AMD54"/>
      <c r="AME54"/>
      <c r="AMF54"/>
      <c r="AMG54"/>
      <c r="AMH54"/>
      <c r="AMI54"/>
      <c r="AMJ54"/>
      <c r="AMK54"/>
      <c r="AML54"/>
      <c r="AMM54"/>
      <c r="AMN54"/>
      <c r="AMO54"/>
      <c r="AMP54"/>
      <c r="AMQ54"/>
      <c r="AMR54"/>
      <c r="AMS54"/>
      <c r="AMT54"/>
      <c r="AMU54"/>
      <c r="AMV54"/>
      <c r="AMW54"/>
      <c r="AMX54"/>
      <c r="AMY54"/>
      <c r="AMZ54"/>
      <c r="ANA54"/>
      <c r="ANB54"/>
      <c r="ANC54"/>
      <c r="AND54"/>
      <c r="ANE54"/>
      <c r="ANF54"/>
      <c r="ANG54"/>
      <c r="ANH54"/>
      <c r="ANI54"/>
      <c r="ANJ54"/>
      <c r="ANK54"/>
      <c r="ANL54"/>
      <c r="ANM54"/>
      <c r="ANN54"/>
      <c r="ANO54"/>
      <c r="ANP54"/>
      <c r="ANQ54"/>
      <c r="ANR54"/>
      <c r="ANS54"/>
      <c r="ANT54"/>
      <c r="ANU54"/>
      <c r="ANV54"/>
      <c r="ANW54"/>
      <c r="ANX54"/>
      <c r="ANY54"/>
      <c r="ANZ54"/>
      <c r="AOA54"/>
      <c r="AOB54"/>
      <c r="AOC54"/>
      <c r="AOD54"/>
      <c r="AOE54"/>
      <c r="AOF54"/>
      <c r="AOG54"/>
      <c r="AOH54"/>
      <c r="AOI54"/>
      <c r="AOJ54"/>
      <c r="AOK54"/>
      <c r="AOL54"/>
      <c r="AOM54"/>
      <c r="AON54"/>
      <c r="AOO54"/>
      <c r="AOP54"/>
      <c r="AOQ54"/>
      <c r="AOR54"/>
      <c r="AOS54"/>
      <c r="AOT54"/>
      <c r="AOU54"/>
      <c r="AOV54"/>
      <c r="AOW54"/>
      <c r="AOX54"/>
      <c r="AOY54"/>
      <c r="AOZ54"/>
      <c r="APA54"/>
      <c r="APB54"/>
      <c r="APC54"/>
      <c r="APD54"/>
      <c r="APE54"/>
      <c r="APF54"/>
      <c r="APG54"/>
      <c r="APH54"/>
      <c r="API54"/>
      <c r="APJ54"/>
      <c r="APK54"/>
      <c r="APL54"/>
      <c r="APM54"/>
      <c r="APN54"/>
      <c r="APO54"/>
      <c r="APP54"/>
      <c r="APQ54"/>
      <c r="APR54"/>
      <c r="APS54"/>
      <c r="APT54"/>
      <c r="APU54"/>
      <c r="APV54"/>
      <c r="APW54"/>
      <c r="APX54"/>
      <c r="APY54"/>
      <c r="APZ54"/>
      <c r="AQA54"/>
      <c r="AQB54"/>
      <c r="AQC54"/>
      <c r="AQD54"/>
      <c r="AQE54"/>
      <c r="AQF54"/>
      <c r="AQG54"/>
      <c r="AQH54"/>
      <c r="AQI54"/>
      <c r="AQJ54"/>
      <c r="AQK54"/>
      <c r="AQL54"/>
      <c r="AQM54"/>
      <c r="AQN54"/>
      <c r="AQO54"/>
      <c r="AQP54"/>
      <c r="AQQ54"/>
      <c r="AQR54"/>
      <c r="AQS54"/>
      <c r="AQT54"/>
      <c r="AQU54"/>
      <c r="AQV54"/>
      <c r="AQW54"/>
      <c r="AQX54"/>
      <c r="AQY54"/>
      <c r="AQZ54"/>
      <c r="ARA54"/>
      <c r="ARB54"/>
      <c r="ARC54"/>
      <c r="ARD54"/>
      <c r="ARE54"/>
      <c r="ARF54"/>
      <c r="ARG54"/>
      <c r="ARH54"/>
      <c r="ARI54"/>
      <c r="ARJ54"/>
      <c r="ARK54"/>
      <c r="ARL54"/>
      <c r="ARM54"/>
      <c r="ARN54"/>
      <c r="ARO54"/>
      <c r="ARP54"/>
      <c r="ARQ54"/>
      <c r="ARR54"/>
      <c r="ARS54"/>
      <c r="ART54"/>
      <c r="ARU54"/>
      <c r="ARV54"/>
      <c r="ARW54"/>
      <c r="ARX54"/>
      <c r="ARY54"/>
      <c r="ARZ54"/>
      <c r="ASA54"/>
      <c r="ASB54"/>
      <c r="ASC54"/>
      <c r="ASD54"/>
      <c r="ASE54"/>
      <c r="ASF54"/>
      <c r="ASG54"/>
      <c r="ASH54"/>
      <c r="ASI54"/>
      <c r="ASJ54"/>
      <c r="ASK54"/>
      <c r="ASL54"/>
      <c r="ASM54"/>
      <c r="ASN54"/>
      <c r="ASO54"/>
      <c r="ASP54"/>
      <c r="ASQ54"/>
      <c r="ASR54"/>
      <c r="ASS54"/>
      <c r="AST54"/>
      <c r="ASU54"/>
      <c r="ASV54"/>
      <c r="ASW54"/>
      <c r="ASX54"/>
      <c r="ASY54"/>
      <c r="ASZ54"/>
      <c r="ATA54"/>
      <c r="ATB54"/>
      <c r="ATC54"/>
      <c r="ATD54"/>
      <c r="ATE54"/>
      <c r="ATF54"/>
      <c r="ATG54"/>
      <c r="ATH54"/>
      <c r="ATI54"/>
      <c r="ATJ54"/>
      <c r="ATK54"/>
      <c r="ATL54"/>
      <c r="ATM54"/>
      <c r="ATN54"/>
      <c r="ATO54"/>
      <c r="ATP54"/>
      <c r="ATQ54"/>
      <c r="ATR54"/>
      <c r="ATS54"/>
      <c r="ATT54"/>
      <c r="ATU54"/>
      <c r="ATV54"/>
      <c r="ATW54"/>
      <c r="ATX54"/>
      <c r="ATY54"/>
      <c r="ATZ54"/>
      <c r="AUA54"/>
      <c r="AUB54"/>
      <c r="AUC54"/>
      <c r="AUD54"/>
      <c r="AUE54"/>
      <c r="AUF54"/>
      <c r="AUG54"/>
      <c r="AUH54"/>
      <c r="AUI54"/>
      <c r="AUJ54"/>
      <c r="AUK54"/>
      <c r="AUL54"/>
      <c r="AUM54"/>
      <c r="AUN54"/>
      <c r="AUO54"/>
      <c r="AUP54"/>
      <c r="AUQ54"/>
      <c r="AUR54"/>
      <c r="AUS54"/>
      <c r="AUT54"/>
      <c r="AUU54"/>
      <c r="AUV54"/>
      <c r="AUW54"/>
      <c r="AUX54"/>
      <c r="AUY54"/>
      <c r="AUZ54"/>
      <c r="AVA54"/>
      <c r="AVB54"/>
      <c r="AVC54"/>
      <c r="AVD54"/>
      <c r="AVE54"/>
      <c r="AVF54"/>
      <c r="AVG54"/>
      <c r="AVH54"/>
      <c r="AVI54"/>
      <c r="AVJ54"/>
      <c r="AVK54"/>
      <c r="AVL54"/>
      <c r="AVM54"/>
      <c r="AVN54"/>
      <c r="AVO54"/>
      <c r="AVP54"/>
      <c r="AVQ54"/>
      <c r="AVR54"/>
      <c r="AVS54"/>
      <c r="AVT54"/>
      <c r="AVU54"/>
      <c r="AVV54"/>
      <c r="AVW54"/>
      <c r="AVX54"/>
      <c r="AVY54"/>
      <c r="AVZ54"/>
      <c r="AWA54"/>
      <c r="AWB54"/>
      <c r="AWC54"/>
      <c r="AWD54"/>
      <c r="AWE54"/>
      <c r="AWF54"/>
      <c r="AWG54"/>
      <c r="AWH54"/>
      <c r="AWI54"/>
      <c r="AWJ54"/>
      <c r="AWK54"/>
      <c r="AWL54"/>
      <c r="AWM54"/>
      <c r="AWN54"/>
      <c r="AWO54"/>
      <c r="AWP54"/>
      <c r="AWQ54"/>
      <c r="AWR54"/>
      <c r="AWS54"/>
      <c r="AWT54"/>
      <c r="AWU54"/>
      <c r="AWV54"/>
      <c r="AWW54"/>
      <c r="AWX54"/>
      <c r="AWY54"/>
      <c r="AWZ54"/>
      <c r="AXA54"/>
      <c r="AXB54"/>
      <c r="AXC54"/>
      <c r="AXD54"/>
      <c r="AXE54"/>
      <c r="AXF54"/>
      <c r="AXG54"/>
      <c r="AXH54"/>
      <c r="AXI54"/>
      <c r="AXJ54"/>
      <c r="AXK54"/>
      <c r="AXL54"/>
      <c r="AXM54"/>
      <c r="AXN54"/>
      <c r="AXO54"/>
      <c r="AXP54"/>
      <c r="AXQ54"/>
      <c r="AXR54"/>
      <c r="AXS54"/>
      <c r="AXT54"/>
      <c r="AXU54"/>
      <c r="AXV54"/>
      <c r="AXW54"/>
      <c r="AXX54"/>
      <c r="AXY54"/>
      <c r="AXZ54"/>
      <c r="AYA54"/>
      <c r="AYB54"/>
      <c r="AYC54"/>
      <c r="AYD54"/>
      <c r="AYE54"/>
      <c r="AYF54"/>
      <c r="AYG54"/>
      <c r="AYH54"/>
      <c r="AYI54"/>
      <c r="AYJ54"/>
      <c r="AYK54"/>
      <c r="AYL54"/>
      <c r="AYM54"/>
      <c r="AYN54"/>
      <c r="AYO54"/>
      <c r="AYP54"/>
      <c r="AYQ54"/>
      <c r="AYR54"/>
      <c r="AYS54"/>
      <c r="AYT54"/>
      <c r="AYU54"/>
      <c r="AYV54"/>
      <c r="AYW54"/>
      <c r="AYX54"/>
      <c r="AYY54"/>
      <c r="AYZ54"/>
      <c r="AZA54"/>
      <c r="AZB54"/>
      <c r="AZC54"/>
      <c r="AZD54"/>
      <c r="AZE54"/>
      <c r="AZF54"/>
      <c r="AZG54"/>
      <c r="AZH54"/>
      <c r="AZI54"/>
      <c r="AZJ54"/>
      <c r="AZK54"/>
      <c r="AZL54"/>
      <c r="AZM54"/>
      <c r="AZN54"/>
      <c r="AZO54"/>
      <c r="AZP54"/>
      <c r="AZQ54"/>
      <c r="AZR54"/>
      <c r="AZS54"/>
      <c r="AZT54"/>
      <c r="AZU54"/>
      <c r="AZV54"/>
      <c r="AZW54"/>
      <c r="AZX54"/>
      <c r="AZY54"/>
      <c r="AZZ54"/>
      <c r="BAA54"/>
      <c r="BAB54"/>
      <c r="BAC54"/>
      <c r="BAD54"/>
      <c r="BAE54"/>
      <c r="BAF54"/>
      <c r="BAG54"/>
      <c r="BAH54"/>
      <c r="BAI54"/>
      <c r="BAJ54"/>
      <c r="BAK54"/>
      <c r="BAL54"/>
      <c r="BAM54"/>
      <c r="BAN54"/>
      <c r="BAO54"/>
      <c r="BAP54"/>
      <c r="BAQ54"/>
      <c r="BAR54"/>
      <c r="BAS54"/>
      <c r="BAT54"/>
      <c r="BAU54"/>
      <c r="BAV54"/>
      <c r="BAW54"/>
      <c r="BAX54"/>
      <c r="BAY54"/>
      <c r="BAZ54"/>
      <c r="BBA54"/>
      <c r="BBB54"/>
      <c r="BBC54"/>
      <c r="BBD54"/>
      <c r="BBE54"/>
      <c r="BBF54"/>
      <c r="BBG54"/>
      <c r="BBH54"/>
      <c r="BBI54"/>
      <c r="BBJ54"/>
      <c r="BBK54"/>
      <c r="BBL54"/>
      <c r="BBM54"/>
      <c r="BBN54"/>
      <c r="BBO54"/>
      <c r="BBP54"/>
      <c r="BBQ54"/>
      <c r="BBR54"/>
      <c r="BBS54"/>
      <c r="BBT54"/>
      <c r="BBU54"/>
      <c r="BBV54"/>
      <c r="BBW54"/>
      <c r="BBX54"/>
      <c r="BBY54"/>
      <c r="BBZ54"/>
      <c r="BCA54"/>
      <c r="BCB54"/>
      <c r="BCC54"/>
      <c r="BCD54"/>
      <c r="BCE54"/>
      <c r="BCF54"/>
      <c r="BCG54"/>
      <c r="BCH54"/>
      <c r="BCI54"/>
      <c r="BCJ54"/>
      <c r="BCK54"/>
      <c r="BCL54"/>
      <c r="BCM54"/>
      <c r="BCN54"/>
      <c r="BCO54"/>
      <c r="BCP54"/>
      <c r="BCQ54"/>
      <c r="BCR54"/>
      <c r="BCS54"/>
      <c r="BCT54"/>
      <c r="BCU54"/>
      <c r="BCV54"/>
      <c r="BCW54"/>
      <c r="BCX54"/>
      <c r="BCY54"/>
      <c r="BCZ54"/>
      <c r="BDA54"/>
      <c r="BDB54"/>
      <c r="BDC54"/>
      <c r="BDD54"/>
      <c r="BDE54"/>
      <c r="BDF54"/>
      <c r="BDG54"/>
      <c r="BDH54"/>
      <c r="BDI54"/>
      <c r="BDJ54"/>
      <c r="BDK54"/>
      <c r="BDL54"/>
      <c r="BDM54"/>
      <c r="BDN54"/>
      <c r="BDO54"/>
      <c r="BDP54"/>
      <c r="BDQ54"/>
      <c r="BDR54"/>
      <c r="BDS54"/>
      <c r="BDT54"/>
      <c r="BDU54"/>
      <c r="BDV54"/>
      <c r="BDW54"/>
      <c r="BDX54"/>
      <c r="BDY54"/>
      <c r="BDZ54"/>
      <c r="BEA54"/>
      <c r="BEB54"/>
      <c r="BEC54"/>
      <c r="BED54"/>
      <c r="BEE54"/>
      <c r="BEF54"/>
      <c r="BEG54"/>
      <c r="BEH54"/>
      <c r="BEI54"/>
      <c r="BEJ54"/>
      <c r="BEK54"/>
      <c r="BEL54"/>
      <c r="BEM54"/>
      <c r="BEN54"/>
      <c r="BEO54"/>
      <c r="BEP54"/>
      <c r="BEQ54"/>
      <c r="BER54"/>
      <c r="BES54"/>
      <c r="BET54"/>
      <c r="BEU54"/>
      <c r="BEV54"/>
      <c r="BEW54"/>
      <c r="BEX54"/>
      <c r="BEY54"/>
      <c r="BEZ54"/>
      <c r="BFA54"/>
      <c r="BFB54"/>
      <c r="BFC54"/>
      <c r="BFD54"/>
      <c r="BFE54"/>
      <c r="BFF54"/>
      <c r="BFG54"/>
      <c r="BFH54"/>
      <c r="BFI54"/>
      <c r="BFJ54"/>
      <c r="BFK54"/>
      <c r="BFL54"/>
      <c r="BFM54"/>
      <c r="BFN54"/>
      <c r="BFO54"/>
      <c r="BFP54"/>
      <c r="BFQ54"/>
      <c r="BFR54"/>
      <c r="BFS54"/>
      <c r="BFT54"/>
      <c r="BFU54"/>
      <c r="BFV54"/>
      <c r="BFW54"/>
      <c r="BFX54"/>
      <c r="BFY54"/>
      <c r="BFZ54"/>
      <c r="BGA54"/>
      <c r="BGB54"/>
      <c r="BGC54"/>
      <c r="BGD54"/>
      <c r="BGE54"/>
      <c r="BGF54"/>
      <c r="BGG54"/>
      <c r="BGH54"/>
      <c r="BGI54"/>
      <c r="BGJ54"/>
      <c r="BGK54"/>
      <c r="BGL54"/>
      <c r="BGM54"/>
      <c r="BGN54"/>
      <c r="BGO54"/>
      <c r="BGP54"/>
      <c r="BGQ54"/>
      <c r="BGR54"/>
      <c r="BGS54"/>
      <c r="BGT54"/>
      <c r="BGU54"/>
      <c r="BGV54"/>
      <c r="BGW54"/>
      <c r="BGX54"/>
      <c r="BGY54"/>
      <c r="BGZ54"/>
      <c r="BHA54"/>
      <c r="BHB54"/>
      <c r="BHC54"/>
      <c r="BHD54"/>
      <c r="BHE54"/>
      <c r="BHF54"/>
      <c r="BHG54"/>
      <c r="BHH54"/>
      <c r="BHI54"/>
      <c r="BHJ54"/>
      <c r="BHK54"/>
      <c r="BHL54"/>
      <c r="BHM54"/>
      <c r="BHN54"/>
      <c r="BHO54"/>
      <c r="BHP54"/>
      <c r="BHQ54"/>
      <c r="BHR54"/>
      <c r="BHS54"/>
      <c r="BHT54"/>
      <c r="BHU54"/>
      <c r="BHV54"/>
      <c r="BHW54"/>
      <c r="BHX54"/>
      <c r="BHY54"/>
      <c r="BHZ54"/>
      <c r="BIA54"/>
      <c r="BIB54"/>
      <c r="BIC54"/>
      <c r="BID54"/>
      <c r="BIE54"/>
      <c r="BIF54"/>
      <c r="BIG54"/>
      <c r="BIH54"/>
      <c r="BII54"/>
      <c r="BIJ54"/>
      <c r="BIK54"/>
      <c r="BIL54"/>
      <c r="BIM54"/>
      <c r="BIN54"/>
      <c r="BIO54"/>
      <c r="BIP54"/>
      <c r="BIQ54"/>
      <c r="BIR54"/>
      <c r="BIS54"/>
      <c r="BIT54"/>
      <c r="BIU54"/>
      <c r="BIV54"/>
      <c r="BIW54"/>
      <c r="BIX54"/>
      <c r="BIY54"/>
      <c r="BIZ54"/>
      <c r="BJA54"/>
      <c r="BJB54"/>
      <c r="BJC54"/>
      <c r="BJD54"/>
      <c r="BJE54"/>
      <c r="BJF54"/>
      <c r="BJG54"/>
      <c r="BJH54"/>
      <c r="BJI54"/>
      <c r="BJJ54"/>
      <c r="BJK54"/>
      <c r="BJL54"/>
      <c r="BJM54"/>
      <c r="BJN54"/>
      <c r="BJO54"/>
      <c r="BJP54"/>
      <c r="BJQ54"/>
      <c r="BJR54"/>
      <c r="BJS54"/>
      <c r="BJT54"/>
      <c r="BJU54"/>
      <c r="BJV54"/>
      <c r="BJW54"/>
      <c r="BJX54"/>
      <c r="BJY54"/>
      <c r="BJZ54"/>
      <c r="BKA54"/>
      <c r="BKB54"/>
      <c r="BKC54"/>
      <c r="BKD54"/>
      <c r="BKE54"/>
      <c r="BKF54"/>
      <c r="BKG54"/>
      <c r="BKH54"/>
      <c r="BKI54"/>
      <c r="BKJ54"/>
      <c r="BKK54"/>
      <c r="BKL54"/>
      <c r="BKM54"/>
      <c r="BKN54"/>
      <c r="BKO54"/>
      <c r="BKP54"/>
      <c r="BKQ54"/>
      <c r="BKR54"/>
      <c r="BKS54"/>
      <c r="BKT54"/>
      <c r="BKU54"/>
      <c r="BKV54"/>
      <c r="BKW54"/>
      <c r="BKX54"/>
      <c r="BKY54"/>
      <c r="BKZ54"/>
      <c r="BLA54"/>
      <c r="BLB54"/>
      <c r="BLC54"/>
      <c r="BLD54"/>
      <c r="BLE54"/>
      <c r="BLF54"/>
      <c r="BLG54"/>
      <c r="BLH54"/>
      <c r="BLI54"/>
      <c r="BLJ54"/>
      <c r="BLK54"/>
      <c r="BLL54"/>
      <c r="BLM54"/>
      <c r="BLN54"/>
      <c r="BLO54"/>
      <c r="BLP54"/>
      <c r="BLQ54"/>
      <c r="BLR54"/>
      <c r="BLS54"/>
      <c r="BLT54"/>
      <c r="BLU54"/>
      <c r="BLV54"/>
      <c r="BLW54"/>
      <c r="BLX54"/>
      <c r="BLY54"/>
      <c r="BLZ54"/>
      <c r="BMA54"/>
      <c r="BMB54"/>
      <c r="BMC54"/>
      <c r="BMD54"/>
      <c r="BME54"/>
      <c r="BMF54"/>
      <c r="BMG54"/>
      <c r="BMH54"/>
      <c r="BMI54"/>
      <c r="BMJ54"/>
      <c r="BMK54"/>
      <c r="BML54"/>
      <c r="BMM54"/>
      <c r="BMN54"/>
      <c r="BMO54"/>
      <c r="BMP54"/>
      <c r="BMQ54"/>
      <c r="BMR54"/>
      <c r="BMS54"/>
      <c r="BMT54"/>
      <c r="BMU54"/>
      <c r="BMV54"/>
      <c r="BMW54"/>
      <c r="BMX54"/>
      <c r="BMY54"/>
      <c r="BMZ54"/>
      <c r="BNA54"/>
      <c r="BNB54"/>
      <c r="BNC54"/>
      <c r="BND54"/>
      <c r="BNE54"/>
      <c r="BNF54"/>
      <c r="BNG54"/>
      <c r="BNH54"/>
      <c r="BNI54"/>
      <c r="BNJ54"/>
      <c r="BNK54"/>
      <c r="BNL54"/>
      <c r="BNM54"/>
      <c r="BNN54"/>
      <c r="BNO54"/>
      <c r="BNP54"/>
      <c r="BNQ54"/>
      <c r="BNR54"/>
      <c r="BNS54"/>
      <c r="BNT54"/>
      <c r="BNU54"/>
      <c r="BNV54"/>
      <c r="BNW54"/>
      <c r="BNX54"/>
      <c r="BNY54"/>
      <c r="BNZ54"/>
      <c r="BOA54"/>
      <c r="BOB54"/>
      <c r="BOC54"/>
      <c r="BOD54"/>
      <c r="BOE54"/>
      <c r="BOF54"/>
      <c r="BOG54"/>
      <c r="BOH54"/>
      <c r="BOI54"/>
      <c r="BOJ54"/>
      <c r="BOK54"/>
      <c r="BOL54"/>
      <c r="BOM54"/>
      <c r="BON54"/>
      <c r="BOO54"/>
      <c r="BOP54"/>
      <c r="BOQ54"/>
      <c r="BOR54"/>
      <c r="BOS54"/>
      <c r="BOT54"/>
      <c r="BOU54"/>
      <c r="BOV54"/>
      <c r="BOW54"/>
      <c r="BOX54"/>
      <c r="BOY54"/>
      <c r="BOZ54"/>
      <c r="BPA54"/>
      <c r="BPB54"/>
      <c r="BPC54"/>
      <c r="BPD54"/>
      <c r="BPE54"/>
      <c r="BPF54"/>
      <c r="BPG54"/>
      <c r="BPH54"/>
      <c r="BPI54"/>
      <c r="BPJ54"/>
      <c r="BPK54"/>
      <c r="BPL54"/>
      <c r="BPM54"/>
      <c r="BPN54"/>
      <c r="BPO54"/>
      <c r="BPP54"/>
      <c r="BPQ54"/>
      <c r="BPR54"/>
      <c r="BPS54"/>
      <c r="BPT54"/>
      <c r="BPU54"/>
      <c r="BPV54"/>
      <c r="BPW54"/>
      <c r="BPX54"/>
      <c r="BPY54"/>
      <c r="BPZ54"/>
      <c r="BQA54"/>
      <c r="BQB54"/>
      <c r="BQC54"/>
      <c r="BQD54"/>
      <c r="BQE54"/>
      <c r="BQF54"/>
      <c r="BQG54"/>
      <c r="BQH54"/>
      <c r="BQI54"/>
      <c r="BQJ54"/>
      <c r="BQK54"/>
      <c r="BQL54"/>
      <c r="BQM54"/>
      <c r="BQN54"/>
      <c r="BQO54"/>
      <c r="BQP54"/>
      <c r="BQQ54"/>
      <c r="BQR54"/>
      <c r="BQS54"/>
      <c r="BQT54"/>
      <c r="BQU54"/>
      <c r="BQV54"/>
      <c r="BQW54"/>
      <c r="BQX54"/>
      <c r="BQY54"/>
      <c r="BQZ54"/>
      <c r="BRA54"/>
      <c r="BRB54"/>
      <c r="BRC54"/>
      <c r="BRD54"/>
      <c r="BRE54"/>
      <c r="BRF54"/>
      <c r="BRG54"/>
      <c r="BRH54"/>
      <c r="BRI54"/>
      <c r="BRJ54"/>
      <c r="BRK54"/>
      <c r="BRL54"/>
      <c r="BRM54"/>
      <c r="BRN54"/>
      <c r="BRO54"/>
      <c r="BRP54"/>
      <c r="BRQ54"/>
      <c r="BRR54"/>
      <c r="BRS54"/>
      <c r="BRT54"/>
      <c r="BRU54"/>
      <c r="BRV54"/>
      <c r="BRW54"/>
      <c r="BRX54"/>
      <c r="BRY54"/>
      <c r="BRZ54"/>
      <c r="BSA54"/>
      <c r="BSB54"/>
      <c r="BSC54"/>
      <c r="BSD54"/>
      <c r="BSE54"/>
      <c r="BSF54"/>
      <c r="BSG54"/>
      <c r="BSH54"/>
      <c r="BSI54"/>
      <c r="BSJ54"/>
      <c r="BSK54"/>
      <c r="BSL54"/>
      <c r="BSM54"/>
      <c r="BSN54"/>
      <c r="BSO54"/>
      <c r="BSP54"/>
      <c r="BSQ54"/>
      <c r="BSR54"/>
      <c r="BSS54"/>
      <c r="BST54"/>
      <c r="BSU54"/>
      <c r="BSV54"/>
      <c r="BSW54"/>
      <c r="BSX54"/>
      <c r="BSY54"/>
      <c r="BSZ54"/>
      <c r="BTA54"/>
      <c r="BTB54"/>
      <c r="BTC54"/>
      <c r="BTD54"/>
      <c r="BTE54"/>
      <c r="BTF54"/>
      <c r="BTG54"/>
      <c r="BTH54"/>
      <c r="BTI54"/>
      <c r="BTJ54"/>
      <c r="BTK54"/>
      <c r="BTL54"/>
      <c r="BTM54"/>
      <c r="BTN54"/>
      <c r="BTO54"/>
      <c r="BTP54"/>
      <c r="BTQ54"/>
      <c r="BTR54"/>
      <c r="BTS54"/>
      <c r="BTT54"/>
      <c r="BTU54"/>
      <c r="BTV54"/>
      <c r="BTW54"/>
      <c r="BTX54"/>
      <c r="BTY54"/>
      <c r="BTZ54"/>
      <c r="BUA54"/>
      <c r="BUB54"/>
      <c r="BUC54"/>
      <c r="BUD54"/>
      <c r="BUE54"/>
      <c r="BUF54"/>
      <c r="BUG54"/>
      <c r="BUH54"/>
      <c r="BUI54"/>
      <c r="BUJ54"/>
      <c r="BUK54"/>
      <c r="BUL54"/>
      <c r="BUM54"/>
      <c r="BUN54"/>
      <c r="BUO54"/>
      <c r="BUP54"/>
      <c r="BUQ54"/>
      <c r="BUR54"/>
      <c r="BUS54"/>
      <c r="BUT54"/>
      <c r="BUU54"/>
      <c r="BUV54"/>
      <c r="BUW54"/>
      <c r="BUX54"/>
      <c r="BUY54"/>
      <c r="BUZ54"/>
      <c r="BVA54"/>
      <c r="BVB54"/>
      <c r="BVC54"/>
      <c r="BVD54"/>
      <c r="BVE54"/>
      <c r="BVF54"/>
      <c r="BVG54"/>
      <c r="BVH54"/>
      <c r="BVI54"/>
      <c r="BVJ54"/>
      <c r="BVK54"/>
      <c r="BVL54"/>
      <c r="BVM54"/>
      <c r="BVN54"/>
      <c r="BVO54"/>
      <c r="BVP54"/>
      <c r="BVQ54"/>
      <c r="BVR54"/>
      <c r="BVS54"/>
      <c r="BVT54"/>
      <c r="BVU54"/>
      <c r="BVV54"/>
      <c r="BVW54"/>
      <c r="BVX54"/>
      <c r="BVY54"/>
      <c r="BVZ54"/>
      <c r="BWA54"/>
      <c r="BWB54"/>
      <c r="BWC54"/>
      <c r="BWD54"/>
      <c r="BWE54"/>
      <c r="BWF54"/>
      <c r="BWG54"/>
      <c r="BWH54"/>
      <c r="BWI54"/>
      <c r="BWJ54"/>
      <c r="BWK54"/>
      <c r="BWL54"/>
      <c r="BWM54"/>
      <c r="BWN54"/>
      <c r="BWO54"/>
      <c r="BWP54"/>
      <c r="BWQ54"/>
      <c r="BWR54"/>
      <c r="BWS54"/>
      <c r="BWT54"/>
      <c r="BWU54"/>
      <c r="BWV54"/>
      <c r="BWW54"/>
      <c r="BWX54"/>
      <c r="BWY54"/>
      <c r="BWZ54"/>
      <c r="BXA54"/>
      <c r="BXB54"/>
      <c r="BXC54"/>
      <c r="BXD54"/>
      <c r="BXE54"/>
      <c r="BXF54"/>
      <c r="BXG54"/>
      <c r="BXH54"/>
      <c r="BXI54"/>
      <c r="BXJ54"/>
      <c r="BXK54"/>
      <c r="BXL54"/>
      <c r="BXM54"/>
      <c r="BXN54"/>
      <c r="BXO54"/>
      <c r="BXP54"/>
      <c r="BXQ54"/>
      <c r="BXR54"/>
      <c r="BXS54"/>
      <c r="BXT54"/>
      <c r="BXU54"/>
      <c r="BXV54"/>
      <c r="BXW54"/>
      <c r="BXX54"/>
      <c r="BXY54"/>
      <c r="BXZ54"/>
      <c r="BYA54"/>
      <c r="BYB54"/>
      <c r="BYC54"/>
      <c r="BYD54"/>
      <c r="BYE54"/>
      <c r="BYF54"/>
      <c r="BYG54"/>
      <c r="BYH54"/>
      <c r="BYI54"/>
      <c r="BYJ54"/>
      <c r="BYK54"/>
      <c r="BYL54"/>
      <c r="BYM54"/>
      <c r="BYN54"/>
      <c r="BYO54"/>
      <c r="BYP54"/>
      <c r="BYQ54"/>
      <c r="BYR54"/>
      <c r="BYS54"/>
      <c r="BYT54"/>
      <c r="BYU54"/>
      <c r="BYV54"/>
      <c r="BYW54"/>
      <c r="BYX54"/>
      <c r="BYY54"/>
      <c r="BYZ54"/>
      <c r="BZA54"/>
      <c r="BZB54"/>
      <c r="BZC54"/>
      <c r="BZD54"/>
      <c r="BZE54"/>
      <c r="BZF54"/>
      <c r="BZG54"/>
      <c r="BZH54"/>
      <c r="BZI54"/>
      <c r="BZJ54"/>
      <c r="BZK54"/>
      <c r="BZL54"/>
      <c r="BZM54"/>
      <c r="BZN54"/>
      <c r="BZO54"/>
      <c r="BZP54"/>
      <c r="BZQ54"/>
      <c r="BZR54"/>
      <c r="BZS54"/>
      <c r="BZT54"/>
      <c r="BZU54"/>
      <c r="BZV54"/>
      <c r="BZW54"/>
      <c r="BZX54"/>
      <c r="BZY54"/>
      <c r="BZZ54"/>
      <c r="CAA54"/>
      <c r="CAB54"/>
      <c r="CAC54"/>
      <c r="CAD54"/>
      <c r="CAE54"/>
      <c r="CAF54"/>
      <c r="CAG54"/>
      <c r="CAH54"/>
      <c r="CAI54"/>
      <c r="CAJ54"/>
      <c r="CAK54"/>
      <c r="CAL54"/>
      <c r="CAM54"/>
      <c r="CAN54"/>
      <c r="CAO54"/>
      <c r="CAP54"/>
      <c r="CAQ54"/>
      <c r="CAR54"/>
      <c r="CAS54"/>
      <c r="CAT54"/>
      <c r="CAU54"/>
      <c r="CAV54"/>
      <c r="CAW54"/>
      <c r="CAX54"/>
      <c r="CAY54"/>
      <c r="CAZ54"/>
      <c r="CBA54"/>
      <c r="CBB54"/>
      <c r="CBC54"/>
      <c r="CBD54"/>
      <c r="CBE54"/>
      <c r="CBF54"/>
      <c r="CBG54"/>
      <c r="CBH54"/>
      <c r="CBI54"/>
      <c r="CBJ54"/>
      <c r="CBK54"/>
      <c r="CBL54"/>
      <c r="CBM54"/>
      <c r="CBN54"/>
      <c r="CBO54"/>
      <c r="CBP54"/>
      <c r="CBQ54"/>
      <c r="CBR54"/>
      <c r="CBS54"/>
      <c r="CBT54"/>
      <c r="CBU54"/>
      <c r="CBV54"/>
      <c r="CBW54"/>
      <c r="CBX54"/>
      <c r="CBY54"/>
      <c r="CBZ54"/>
      <c r="CCA54"/>
      <c r="CCB54"/>
      <c r="CCC54"/>
      <c r="CCD54"/>
      <c r="CCE54"/>
      <c r="CCF54"/>
      <c r="CCG54"/>
      <c r="CCH54"/>
      <c r="CCI54"/>
      <c r="CCJ54"/>
      <c r="CCK54"/>
      <c r="CCL54"/>
      <c r="CCM54"/>
      <c r="CCN54"/>
      <c r="CCO54"/>
      <c r="CCP54"/>
      <c r="CCQ54"/>
      <c r="CCR54"/>
      <c r="CCS54"/>
      <c r="CCT54"/>
      <c r="CCU54"/>
      <c r="CCV54"/>
      <c r="CCW54"/>
      <c r="CCX54"/>
      <c r="CCY54"/>
      <c r="CCZ54"/>
      <c r="CDA54"/>
      <c r="CDB54"/>
      <c r="CDC54"/>
      <c r="CDD54"/>
      <c r="CDE54"/>
      <c r="CDF54"/>
      <c r="CDG54"/>
      <c r="CDH54"/>
      <c r="CDI54"/>
      <c r="CDJ54"/>
      <c r="CDK54"/>
      <c r="CDL54"/>
      <c r="CDM54"/>
      <c r="CDN54"/>
      <c r="CDO54"/>
      <c r="CDP54"/>
      <c r="CDQ54"/>
      <c r="CDR54"/>
      <c r="CDS54"/>
      <c r="CDT54"/>
      <c r="CDU54"/>
      <c r="CDV54"/>
      <c r="CDW54"/>
      <c r="CDX54"/>
      <c r="CDY54"/>
      <c r="CDZ54"/>
      <c r="CEA54"/>
      <c r="CEB54"/>
      <c r="CEC54"/>
      <c r="CED54"/>
      <c r="CEE54"/>
      <c r="CEF54"/>
      <c r="CEG54"/>
      <c r="CEH54"/>
      <c r="CEI54"/>
      <c r="CEJ54"/>
      <c r="CEK54"/>
      <c r="CEL54"/>
      <c r="CEM54"/>
      <c r="CEN54"/>
      <c r="CEO54"/>
      <c r="CEP54"/>
      <c r="CEQ54"/>
      <c r="CER54"/>
      <c r="CES54"/>
      <c r="CET54"/>
      <c r="CEU54"/>
      <c r="CEV54"/>
      <c r="CEW54"/>
      <c r="CEX54"/>
      <c r="CEY54"/>
      <c r="CEZ54"/>
      <c r="CFA54"/>
      <c r="CFB54"/>
      <c r="CFC54"/>
      <c r="CFD54"/>
      <c r="CFE54"/>
      <c r="CFF54"/>
      <c r="CFG54"/>
      <c r="CFH54"/>
      <c r="CFI54"/>
      <c r="CFJ54"/>
      <c r="CFK54"/>
      <c r="CFL54"/>
      <c r="CFM54"/>
      <c r="CFN54"/>
      <c r="CFO54"/>
      <c r="CFP54"/>
      <c r="CFQ54"/>
      <c r="CFR54"/>
      <c r="CFS54"/>
      <c r="CFT54"/>
      <c r="CFU54"/>
      <c r="CFV54"/>
      <c r="CFW54"/>
      <c r="CFX54"/>
      <c r="CFY54"/>
      <c r="CFZ54"/>
      <c r="CGA54"/>
      <c r="CGB54"/>
      <c r="CGC54"/>
      <c r="CGD54"/>
      <c r="CGE54"/>
      <c r="CGF54"/>
      <c r="CGG54"/>
      <c r="CGH54"/>
      <c r="CGI54"/>
      <c r="CGJ54"/>
      <c r="CGK54"/>
      <c r="CGL54"/>
      <c r="CGM54"/>
      <c r="CGN54"/>
      <c r="CGO54"/>
      <c r="CGP54"/>
      <c r="CGQ54"/>
      <c r="CGR54"/>
      <c r="CGS54"/>
      <c r="CGT54"/>
      <c r="CGU54"/>
      <c r="CGV54"/>
      <c r="CGW54"/>
      <c r="CGX54"/>
      <c r="CGY54"/>
      <c r="CGZ54"/>
      <c r="CHA54"/>
      <c r="CHB54"/>
      <c r="CHC54"/>
      <c r="CHD54"/>
      <c r="CHE54"/>
      <c r="CHF54"/>
      <c r="CHG54"/>
      <c r="CHH54"/>
      <c r="CHI54"/>
      <c r="CHJ54"/>
      <c r="CHK54"/>
      <c r="CHL54"/>
      <c r="CHM54"/>
      <c r="CHN54"/>
      <c r="CHO54"/>
      <c r="CHP54"/>
      <c r="CHQ54"/>
      <c r="CHR54"/>
      <c r="CHS54"/>
      <c r="CHT54"/>
      <c r="CHU54"/>
      <c r="CHV54"/>
      <c r="CHW54"/>
      <c r="CHX54"/>
      <c r="CHY54"/>
      <c r="CHZ54"/>
      <c r="CIA54"/>
      <c r="CIB54"/>
      <c r="CIC54"/>
      <c r="CID54"/>
      <c r="CIE54"/>
      <c r="CIF54"/>
      <c r="CIG54"/>
      <c r="CIH54"/>
      <c r="CII54"/>
      <c r="CIJ54"/>
      <c r="CIK54"/>
      <c r="CIL54"/>
      <c r="CIM54"/>
      <c r="CIN54"/>
      <c r="CIO54"/>
      <c r="CIP54"/>
      <c r="CIQ54"/>
      <c r="CIR54"/>
      <c r="CIS54"/>
      <c r="CIT54"/>
      <c r="CIU54"/>
      <c r="CIV54"/>
      <c r="CIW54"/>
      <c r="CIX54"/>
      <c r="CIY54"/>
      <c r="CIZ54"/>
      <c r="CJA54"/>
      <c r="CJB54"/>
      <c r="CJC54"/>
      <c r="CJD54"/>
      <c r="CJE54"/>
      <c r="CJF54"/>
      <c r="CJG54"/>
      <c r="CJH54"/>
      <c r="CJI54"/>
      <c r="CJJ54"/>
      <c r="CJK54"/>
      <c r="CJL54"/>
      <c r="CJM54"/>
      <c r="CJN54"/>
      <c r="CJO54"/>
      <c r="CJP54"/>
      <c r="CJQ54"/>
      <c r="CJR54"/>
      <c r="CJS54"/>
      <c r="CJT54"/>
      <c r="CJU54"/>
      <c r="CJV54"/>
      <c r="CJW54"/>
      <c r="CJX54"/>
      <c r="CJY54"/>
      <c r="CJZ54"/>
      <c r="CKA54"/>
      <c r="CKB54"/>
      <c r="CKC54"/>
      <c r="CKD54"/>
      <c r="CKE54"/>
      <c r="CKF54"/>
      <c r="CKG54"/>
      <c r="CKH54"/>
      <c r="CKI54"/>
      <c r="CKJ54"/>
      <c r="CKK54"/>
      <c r="CKL54"/>
      <c r="CKM54"/>
      <c r="CKN54"/>
      <c r="CKO54"/>
      <c r="CKP54"/>
      <c r="CKQ54"/>
      <c r="CKR54"/>
      <c r="CKS54"/>
      <c r="CKT54"/>
      <c r="CKU54"/>
      <c r="CKV54"/>
      <c r="CKW54"/>
      <c r="CKX54"/>
      <c r="CKY54"/>
      <c r="CKZ54"/>
      <c r="CLA54"/>
      <c r="CLB54"/>
      <c r="CLC54"/>
      <c r="CLD54"/>
      <c r="CLE54"/>
      <c r="CLF54"/>
      <c r="CLG54"/>
      <c r="CLH54"/>
      <c r="CLI54"/>
      <c r="CLJ54"/>
      <c r="CLK54"/>
      <c r="CLL54"/>
      <c r="CLM54"/>
      <c r="CLN54"/>
      <c r="CLO54"/>
      <c r="CLP54"/>
      <c r="CLQ54"/>
      <c r="CLR54"/>
      <c r="CLS54"/>
      <c r="CLT54"/>
      <c r="CLU54"/>
      <c r="CLV54"/>
      <c r="CLW54"/>
      <c r="CLX54"/>
      <c r="CLY54"/>
      <c r="CLZ54"/>
      <c r="CMA54"/>
      <c r="CMB54"/>
      <c r="CMC54"/>
      <c r="CMD54"/>
      <c r="CME54"/>
      <c r="CMF54"/>
      <c r="CMG54"/>
      <c r="CMH54"/>
      <c r="CMI54"/>
      <c r="CMJ54"/>
      <c r="CMK54"/>
      <c r="CML54"/>
      <c r="CMM54"/>
      <c r="CMN54"/>
      <c r="CMO54"/>
      <c r="CMP54"/>
      <c r="CMQ54"/>
      <c r="CMR54"/>
      <c r="CMS54"/>
      <c r="CMT54"/>
      <c r="CMU54"/>
      <c r="CMV54"/>
      <c r="CMW54"/>
      <c r="CMX54"/>
      <c r="CMY54"/>
      <c r="CMZ54"/>
      <c r="CNA54"/>
      <c r="CNB54"/>
      <c r="CNC54"/>
      <c r="CND54"/>
      <c r="CNE54"/>
      <c r="CNF54"/>
      <c r="CNG54"/>
      <c r="CNH54"/>
      <c r="CNI54"/>
      <c r="CNJ54"/>
      <c r="CNK54"/>
      <c r="CNL54"/>
      <c r="CNM54"/>
      <c r="CNN54"/>
      <c r="CNO54"/>
      <c r="CNP54"/>
      <c r="CNQ54"/>
      <c r="CNR54"/>
      <c r="CNS54"/>
      <c r="CNT54"/>
      <c r="CNU54"/>
      <c r="CNV54"/>
      <c r="CNW54"/>
      <c r="CNX54"/>
      <c r="CNY54"/>
      <c r="CNZ54"/>
      <c r="COA54"/>
      <c r="COB54"/>
      <c r="COC54"/>
      <c r="COD54"/>
      <c r="COE54"/>
      <c r="COF54"/>
      <c r="COG54"/>
      <c r="COH54"/>
      <c r="COI54"/>
      <c r="COJ54"/>
      <c r="COK54"/>
      <c r="COL54"/>
      <c r="COM54"/>
      <c r="CON54"/>
      <c r="COO54"/>
      <c r="COP54"/>
      <c r="COQ54"/>
      <c r="COR54"/>
      <c r="COS54"/>
      <c r="COT54"/>
      <c r="COU54"/>
      <c r="COV54"/>
      <c r="COW54"/>
      <c r="COX54"/>
      <c r="COY54"/>
      <c r="COZ54"/>
      <c r="CPA54"/>
      <c r="CPB54"/>
      <c r="CPC54"/>
      <c r="CPD54"/>
      <c r="CPE54"/>
      <c r="CPF54"/>
      <c r="CPG54"/>
      <c r="CPH54"/>
      <c r="CPI54"/>
      <c r="CPJ54"/>
      <c r="CPK54"/>
      <c r="CPL54"/>
      <c r="CPM54"/>
      <c r="CPN54"/>
      <c r="CPO54"/>
      <c r="CPP54"/>
      <c r="CPQ54"/>
      <c r="CPR54"/>
      <c r="CPS54"/>
      <c r="CPT54"/>
      <c r="CPU54"/>
      <c r="CPV54"/>
      <c r="CPW54"/>
      <c r="CPX54"/>
      <c r="CPY54"/>
      <c r="CPZ54"/>
      <c r="CQA54"/>
      <c r="CQB54"/>
      <c r="CQC54"/>
      <c r="CQD54"/>
      <c r="CQE54"/>
      <c r="CQF54"/>
      <c r="CQG54"/>
      <c r="CQH54"/>
      <c r="CQI54"/>
      <c r="CQJ54"/>
      <c r="CQK54"/>
      <c r="CQL54"/>
      <c r="CQM54"/>
      <c r="CQN54"/>
      <c r="CQO54"/>
      <c r="CQP54"/>
      <c r="CQQ54"/>
      <c r="CQR54"/>
      <c r="CQS54"/>
      <c r="CQT54"/>
      <c r="CQU54"/>
      <c r="CQV54"/>
      <c r="CQW54"/>
      <c r="CQX54"/>
      <c r="CQY54"/>
      <c r="CQZ54"/>
      <c r="CRA54"/>
      <c r="CRB54"/>
      <c r="CRC54"/>
      <c r="CRD54"/>
      <c r="CRE54"/>
      <c r="CRF54"/>
      <c r="CRG54"/>
      <c r="CRH54"/>
      <c r="CRI54"/>
      <c r="CRJ54"/>
      <c r="CRK54"/>
      <c r="CRL54"/>
      <c r="CRM54"/>
      <c r="CRN54"/>
      <c r="CRO54"/>
      <c r="CRP54"/>
      <c r="CRQ54"/>
      <c r="CRR54"/>
      <c r="CRS54"/>
      <c r="CRT54"/>
      <c r="CRU54"/>
      <c r="CRV54"/>
      <c r="CRW54"/>
      <c r="CRX54"/>
      <c r="CRY54"/>
      <c r="CRZ54"/>
      <c r="CSA54"/>
      <c r="CSB54"/>
      <c r="CSC54"/>
      <c r="CSD54"/>
      <c r="CSE54"/>
      <c r="CSF54"/>
      <c r="CSG54"/>
      <c r="CSH54"/>
      <c r="CSI54"/>
      <c r="CSJ54"/>
      <c r="CSK54"/>
      <c r="CSL54"/>
      <c r="CSM54"/>
      <c r="CSN54"/>
      <c r="CSO54"/>
      <c r="CSP54"/>
      <c r="CSQ54"/>
      <c r="CSR54"/>
      <c r="CSS54"/>
      <c r="CST54"/>
      <c r="CSU54"/>
      <c r="CSV54"/>
      <c r="CSW54"/>
      <c r="CSX54"/>
      <c r="CSY54"/>
      <c r="CSZ54"/>
      <c r="CTA54"/>
      <c r="CTB54"/>
      <c r="CTC54"/>
      <c r="CTD54"/>
      <c r="CTE54"/>
      <c r="CTF54"/>
      <c r="CTG54"/>
      <c r="CTH54"/>
      <c r="CTI54"/>
      <c r="CTJ54"/>
      <c r="CTK54"/>
      <c r="CTL54"/>
      <c r="CTM54"/>
      <c r="CTN54"/>
      <c r="CTO54"/>
      <c r="CTP54"/>
      <c r="CTQ54"/>
      <c r="CTR54"/>
      <c r="CTS54"/>
      <c r="CTT54"/>
      <c r="CTU54"/>
      <c r="CTV54"/>
      <c r="CTW54"/>
      <c r="CTX54"/>
      <c r="CTY54"/>
      <c r="CTZ54"/>
      <c r="CUA54"/>
      <c r="CUB54"/>
      <c r="CUC54"/>
      <c r="CUD54"/>
      <c r="CUE54"/>
      <c r="CUF54"/>
      <c r="CUG54"/>
      <c r="CUH54"/>
      <c r="CUI54"/>
      <c r="CUJ54"/>
      <c r="CUK54"/>
      <c r="CUL54"/>
      <c r="CUM54"/>
      <c r="CUN54"/>
      <c r="CUO54"/>
      <c r="CUP54"/>
      <c r="CUQ54"/>
      <c r="CUR54"/>
      <c r="CUS54"/>
      <c r="CUT54"/>
      <c r="CUU54"/>
      <c r="CUV54"/>
      <c r="CUW54"/>
      <c r="CUX54"/>
      <c r="CUY54"/>
      <c r="CUZ54"/>
      <c r="CVA54"/>
      <c r="CVB54"/>
      <c r="CVC54"/>
      <c r="CVD54"/>
      <c r="CVE54"/>
      <c r="CVF54"/>
      <c r="CVG54"/>
      <c r="CVH54"/>
      <c r="CVI54"/>
      <c r="CVJ54"/>
      <c r="CVK54"/>
      <c r="CVL54"/>
      <c r="CVM54"/>
      <c r="CVN54"/>
      <c r="CVO54"/>
      <c r="CVP54"/>
      <c r="CVQ54"/>
      <c r="CVR54"/>
      <c r="CVS54"/>
      <c r="CVT54"/>
      <c r="CVU54"/>
      <c r="CVV54"/>
      <c r="CVW54"/>
      <c r="CVX54"/>
      <c r="CVY54"/>
      <c r="CVZ54"/>
      <c r="CWA54"/>
      <c r="CWB54"/>
      <c r="CWC54"/>
      <c r="CWD54"/>
      <c r="CWE54"/>
      <c r="CWF54"/>
      <c r="CWG54"/>
      <c r="CWH54"/>
      <c r="CWI54"/>
      <c r="CWJ54"/>
      <c r="CWK54"/>
      <c r="CWL54"/>
      <c r="CWM54"/>
      <c r="CWN54"/>
      <c r="CWO54"/>
      <c r="CWP54"/>
      <c r="CWQ54"/>
      <c r="CWR54"/>
      <c r="CWS54"/>
      <c r="CWT54"/>
      <c r="CWU54"/>
      <c r="CWV54"/>
      <c r="CWW54"/>
      <c r="CWX54"/>
      <c r="CWY54"/>
      <c r="CWZ54"/>
      <c r="CXA54"/>
      <c r="CXB54"/>
      <c r="CXC54"/>
      <c r="CXD54"/>
      <c r="CXE54"/>
      <c r="CXF54"/>
      <c r="CXG54"/>
      <c r="CXH54"/>
      <c r="CXI54"/>
      <c r="CXJ54"/>
      <c r="CXK54"/>
      <c r="CXL54"/>
      <c r="CXM54"/>
      <c r="CXN54"/>
      <c r="CXO54"/>
      <c r="CXP54"/>
      <c r="CXQ54"/>
      <c r="CXR54"/>
      <c r="CXS54"/>
      <c r="CXT54"/>
      <c r="CXU54"/>
      <c r="CXV54"/>
      <c r="CXW54"/>
      <c r="CXX54"/>
      <c r="CXY54"/>
      <c r="CXZ54"/>
      <c r="CYA54"/>
      <c r="CYB54"/>
      <c r="CYC54"/>
      <c r="CYD54"/>
      <c r="CYE54"/>
      <c r="CYF54"/>
      <c r="CYG54"/>
      <c r="CYH54"/>
      <c r="CYI54"/>
      <c r="CYJ54"/>
      <c r="CYK54"/>
      <c r="CYL54"/>
      <c r="CYM54"/>
      <c r="CYN54"/>
      <c r="CYO54"/>
      <c r="CYP54"/>
      <c r="CYQ54"/>
      <c r="CYR54"/>
      <c r="CYS54"/>
      <c r="CYT54"/>
      <c r="CYU54"/>
      <c r="CYV54"/>
      <c r="CYW54"/>
      <c r="CYX54"/>
      <c r="CYY54"/>
      <c r="CYZ54"/>
      <c r="CZA54"/>
      <c r="CZB54"/>
      <c r="CZC54"/>
      <c r="CZD54"/>
      <c r="CZE54"/>
      <c r="CZF54"/>
      <c r="CZG54"/>
      <c r="CZH54"/>
      <c r="CZI54"/>
      <c r="CZJ54"/>
      <c r="CZK54"/>
      <c r="CZL54"/>
      <c r="CZM54"/>
      <c r="CZN54"/>
      <c r="CZO54"/>
      <c r="CZP54"/>
      <c r="CZQ54"/>
      <c r="CZR54"/>
      <c r="CZS54"/>
      <c r="CZT54"/>
      <c r="CZU54"/>
      <c r="CZV54"/>
      <c r="CZW54"/>
      <c r="CZX54"/>
      <c r="CZY54"/>
      <c r="CZZ54"/>
      <c r="DAA54"/>
      <c r="DAB54"/>
      <c r="DAC54"/>
      <c r="DAD54"/>
      <c r="DAE54"/>
      <c r="DAF54"/>
      <c r="DAG54"/>
      <c r="DAH54"/>
      <c r="DAI54"/>
      <c r="DAJ54"/>
      <c r="DAK54"/>
      <c r="DAL54"/>
      <c r="DAM54"/>
      <c r="DAN54"/>
      <c r="DAO54"/>
      <c r="DAP54"/>
      <c r="DAQ54"/>
      <c r="DAR54"/>
      <c r="DAS54"/>
      <c r="DAT54"/>
      <c r="DAU54"/>
      <c r="DAV54"/>
      <c r="DAW54"/>
      <c r="DAX54"/>
      <c r="DAY54"/>
      <c r="DAZ54"/>
      <c r="DBA54"/>
      <c r="DBB54"/>
      <c r="DBC54"/>
      <c r="DBD54"/>
      <c r="DBE54"/>
      <c r="DBF54"/>
      <c r="DBG54"/>
      <c r="DBH54"/>
      <c r="DBI54"/>
      <c r="DBJ54"/>
      <c r="DBK54"/>
      <c r="DBL54"/>
      <c r="DBM54"/>
      <c r="DBN54"/>
      <c r="DBO54"/>
      <c r="DBP54"/>
      <c r="DBQ54"/>
      <c r="DBR54"/>
      <c r="DBS54"/>
      <c r="DBT54"/>
      <c r="DBU54"/>
      <c r="DBV54"/>
      <c r="DBW54"/>
      <c r="DBX54"/>
      <c r="DBY54"/>
      <c r="DBZ54"/>
      <c r="DCA54"/>
      <c r="DCB54"/>
      <c r="DCC54"/>
      <c r="DCD54"/>
      <c r="DCE54"/>
      <c r="DCF54"/>
      <c r="DCG54"/>
      <c r="DCH54"/>
      <c r="DCI54"/>
      <c r="DCJ54"/>
      <c r="DCK54"/>
      <c r="DCL54"/>
      <c r="DCM54"/>
      <c r="DCN54"/>
      <c r="DCO54"/>
      <c r="DCP54"/>
      <c r="DCQ54"/>
      <c r="DCR54"/>
      <c r="DCS54"/>
      <c r="DCT54"/>
      <c r="DCU54"/>
      <c r="DCV54"/>
      <c r="DCW54"/>
      <c r="DCX54"/>
      <c r="DCY54"/>
      <c r="DCZ54"/>
      <c r="DDA54"/>
      <c r="DDB54"/>
      <c r="DDC54"/>
      <c r="DDD54"/>
      <c r="DDE54"/>
      <c r="DDF54"/>
      <c r="DDG54"/>
      <c r="DDH54"/>
      <c r="DDI54"/>
      <c r="DDJ54"/>
      <c r="DDK54"/>
      <c r="DDL54"/>
      <c r="DDM54"/>
      <c r="DDN54"/>
      <c r="DDO54"/>
      <c r="DDP54"/>
      <c r="DDQ54"/>
      <c r="DDR54"/>
      <c r="DDS54"/>
      <c r="DDT54"/>
      <c r="DDU54"/>
      <c r="DDV54"/>
      <c r="DDW54"/>
      <c r="DDX54"/>
      <c r="DDY54"/>
      <c r="DDZ54"/>
      <c r="DEA54"/>
      <c r="DEB54"/>
      <c r="DEC54"/>
      <c r="DED54"/>
      <c r="DEE54"/>
      <c r="DEF54"/>
      <c r="DEG54"/>
      <c r="DEH54"/>
      <c r="DEI54"/>
      <c r="DEJ54"/>
      <c r="DEK54"/>
      <c r="DEL54"/>
      <c r="DEM54"/>
      <c r="DEN54"/>
      <c r="DEO54"/>
      <c r="DEP54"/>
      <c r="DEQ54"/>
      <c r="DER54"/>
      <c r="DES54"/>
      <c r="DET54"/>
      <c r="DEU54"/>
      <c r="DEV54"/>
      <c r="DEW54"/>
      <c r="DEX54"/>
      <c r="DEY54"/>
      <c r="DEZ54"/>
      <c r="DFA54"/>
      <c r="DFB54"/>
      <c r="DFC54"/>
      <c r="DFD54"/>
      <c r="DFE54"/>
      <c r="DFF54"/>
      <c r="DFG54"/>
      <c r="DFH54"/>
      <c r="DFI54"/>
      <c r="DFJ54"/>
      <c r="DFK54"/>
      <c r="DFL54"/>
      <c r="DFM54"/>
      <c r="DFN54"/>
      <c r="DFO54"/>
      <c r="DFP54"/>
      <c r="DFQ54"/>
      <c r="DFR54"/>
      <c r="DFS54"/>
      <c r="DFT54"/>
      <c r="DFU54"/>
      <c r="DFV54"/>
      <c r="DFW54"/>
      <c r="DFX54"/>
      <c r="DFY54"/>
      <c r="DFZ54"/>
      <c r="DGA54"/>
      <c r="DGB54"/>
      <c r="DGC54"/>
      <c r="DGD54"/>
      <c r="DGE54"/>
      <c r="DGF54"/>
      <c r="DGG54"/>
      <c r="DGH54"/>
      <c r="DGI54"/>
      <c r="DGJ54"/>
      <c r="DGK54"/>
      <c r="DGL54"/>
      <c r="DGM54"/>
      <c r="DGN54"/>
      <c r="DGO54"/>
      <c r="DGP54"/>
      <c r="DGQ54"/>
      <c r="DGR54"/>
      <c r="DGS54"/>
      <c r="DGT54"/>
      <c r="DGU54"/>
      <c r="DGV54"/>
      <c r="DGW54"/>
      <c r="DGX54"/>
      <c r="DGY54"/>
      <c r="DGZ54"/>
      <c r="DHA54"/>
      <c r="DHB54"/>
      <c r="DHC54"/>
      <c r="DHD54"/>
      <c r="DHE54"/>
      <c r="DHF54"/>
      <c r="DHG54"/>
      <c r="DHH54"/>
      <c r="DHI54"/>
      <c r="DHJ54"/>
      <c r="DHK54"/>
      <c r="DHL54"/>
      <c r="DHM54"/>
      <c r="DHN54"/>
      <c r="DHO54"/>
      <c r="DHP54"/>
      <c r="DHQ54"/>
      <c r="DHR54"/>
      <c r="DHS54"/>
      <c r="DHT54"/>
      <c r="DHU54"/>
      <c r="DHV54"/>
      <c r="DHW54"/>
      <c r="DHX54"/>
      <c r="DHY54"/>
      <c r="DHZ54"/>
      <c r="DIA54"/>
      <c r="DIB54"/>
      <c r="DIC54"/>
      <c r="DID54"/>
      <c r="DIE54"/>
      <c r="DIF54"/>
      <c r="DIG54"/>
      <c r="DIH54"/>
      <c r="DII54"/>
      <c r="DIJ54"/>
      <c r="DIK54"/>
      <c r="DIL54"/>
      <c r="DIM54"/>
      <c r="DIN54"/>
      <c r="DIO54"/>
      <c r="DIP54"/>
      <c r="DIQ54"/>
      <c r="DIR54"/>
      <c r="DIS54"/>
      <c r="DIT54"/>
      <c r="DIU54"/>
      <c r="DIV54"/>
      <c r="DIW54"/>
      <c r="DIX54"/>
      <c r="DIY54"/>
      <c r="DIZ54"/>
      <c r="DJA54"/>
      <c r="DJB54"/>
      <c r="DJC54"/>
      <c r="DJD54"/>
      <c r="DJE54"/>
      <c r="DJF54"/>
      <c r="DJG54"/>
      <c r="DJH54"/>
      <c r="DJI54"/>
      <c r="DJJ54"/>
      <c r="DJK54"/>
      <c r="DJL54"/>
      <c r="DJM54"/>
      <c r="DJN54"/>
      <c r="DJO54"/>
      <c r="DJP54"/>
      <c r="DJQ54"/>
      <c r="DJR54"/>
      <c r="DJS54"/>
      <c r="DJT54"/>
      <c r="DJU54"/>
      <c r="DJV54"/>
      <c r="DJW54"/>
      <c r="DJX54"/>
      <c r="DJY54"/>
      <c r="DJZ54"/>
      <c r="DKA54"/>
      <c r="DKB54"/>
      <c r="DKC54"/>
      <c r="DKD54"/>
      <c r="DKE54"/>
      <c r="DKF54"/>
      <c r="DKG54"/>
      <c r="DKH54"/>
      <c r="DKI54"/>
      <c r="DKJ54"/>
      <c r="DKK54"/>
      <c r="DKL54"/>
      <c r="DKM54"/>
      <c r="DKN54"/>
      <c r="DKO54"/>
      <c r="DKP54"/>
      <c r="DKQ54"/>
      <c r="DKR54"/>
      <c r="DKS54"/>
      <c r="DKT54"/>
      <c r="DKU54"/>
      <c r="DKV54"/>
      <c r="DKW54"/>
      <c r="DKX54"/>
      <c r="DKY54"/>
      <c r="DKZ54"/>
      <c r="DLA54"/>
      <c r="DLB54"/>
      <c r="DLC54"/>
      <c r="DLD54"/>
      <c r="DLE54"/>
      <c r="DLF54"/>
      <c r="DLG54"/>
      <c r="DLH54"/>
      <c r="DLI54"/>
      <c r="DLJ54"/>
      <c r="DLK54"/>
      <c r="DLL54"/>
      <c r="DLM54"/>
      <c r="DLN54"/>
      <c r="DLO54"/>
      <c r="DLP54"/>
      <c r="DLQ54"/>
      <c r="DLR54"/>
      <c r="DLS54"/>
      <c r="DLT54"/>
      <c r="DLU54"/>
      <c r="DLV54"/>
      <c r="DLW54"/>
      <c r="DLX54"/>
      <c r="DLY54"/>
      <c r="DLZ54"/>
      <c r="DMA54"/>
      <c r="DMB54"/>
      <c r="DMC54"/>
      <c r="DMD54"/>
      <c r="DME54"/>
      <c r="DMF54"/>
      <c r="DMG54"/>
      <c r="DMH54"/>
      <c r="DMI54"/>
      <c r="DMJ54"/>
      <c r="DMK54"/>
      <c r="DML54"/>
      <c r="DMM54"/>
      <c r="DMN54"/>
      <c r="DMO54"/>
      <c r="DMP54"/>
      <c r="DMQ54"/>
      <c r="DMR54"/>
      <c r="DMS54"/>
      <c r="DMT54"/>
      <c r="DMU54"/>
      <c r="DMV54"/>
      <c r="DMW54"/>
      <c r="DMX54"/>
      <c r="DMY54"/>
      <c r="DMZ54"/>
      <c r="DNA54"/>
      <c r="DNB54"/>
      <c r="DNC54"/>
      <c r="DND54"/>
      <c r="DNE54"/>
      <c r="DNF54"/>
      <c r="DNG54"/>
      <c r="DNH54"/>
      <c r="DNI54"/>
      <c r="DNJ54"/>
      <c r="DNK54"/>
      <c r="DNL54"/>
      <c r="DNM54"/>
      <c r="DNN54"/>
      <c r="DNO54"/>
      <c r="DNP54"/>
      <c r="DNQ54"/>
      <c r="DNR54"/>
      <c r="DNS54"/>
      <c r="DNT54"/>
      <c r="DNU54"/>
      <c r="DNV54"/>
      <c r="DNW54"/>
      <c r="DNX54"/>
      <c r="DNY54"/>
      <c r="DNZ54"/>
      <c r="DOA54"/>
      <c r="DOB54"/>
      <c r="DOC54"/>
      <c r="DOD54"/>
      <c r="DOE54"/>
      <c r="DOF54"/>
      <c r="DOG54"/>
      <c r="DOH54"/>
      <c r="DOI54"/>
      <c r="DOJ54"/>
      <c r="DOK54"/>
      <c r="DOL54"/>
      <c r="DOM54"/>
      <c r="DON54"/>
      <c r="DOO54"/>
      <c r="DOP54"/>
      <c r="DOQ54"/>
      <c r="DOR54"/>
      <c r="DOS54"/>
      <c r="DOT54"/>
      <c r="DOU54"/>
      <c r="DOV54"/>
      <c r="DOW54"/>
      <c r="DOX54"/>
      <c r="DOY54"/>
      <c r="DOZ54"/>
      <c r="DPA54"/>
      <c r="DPB54"/>
      <c r="DPC54"/>
      <c r="DPD54"/>
      <c r="DPE54"/>
      <c r="DPF54"/>
      <c r="DPG54"/>
      <c r="DPH54"/>
      <c r="DPI54"/>
      <c r="DPJ54"/>
      <c r="DPK54"/>
      <c r="DPL54"/>
      <c r="DPM54"/>
      <c r="DPN54"/>
      <c r="DPO54"/>
      <c r="DPP54"/>
      <c r="DPQ54"/>
      <c r="DPR54"/>
      <c r="DPS54"/>
      <c r="DPT54"/>
      <c r="DPU54"/>
      <c r="DPV54"/>
      <c r="DPW54"/>
      <c r="DPX54"/>
      <c r="DPY54"/>
      <c r="DPZ54"/>
      <c r="DQA54"/>
      <c r="DQB54"/>
      <c r="DQC54"/>
      <c r="DQD54"/>
      <c r="DQE54"/>
      <c r="DQF54"/>
      <c r="DQG54"/>
      <c r="DQH54"/>
      <c r="DQI54"/>
      <c r="DQJ54"/>
      <c r="DQK54"/>
      <c r="DQL54"/>
      <c r="DQM54"/>
      <c r="DQN54"/>
      <c r="DQO54"/>
      <c r="DQP54"/>
      <c r="DQQ54"/>
      <c r="DQR54"/>
      <c r="DQS54"/>
      <c r="DQT54"/>
      <c r="DQU54"/>
      <c r="DQV54"/>
      <c r="DQW54"/>
      <c r="DQX54"/>
      <c r="DQY54"/>
      <c r="DQZ54"/>
      <c r="DRA54"/>
      <c r="DRB54"/>
      <c r="DRC54"/>
      <c r="DRD54"/>
      <c r="DRE54"/>
      <c r="DRF54"/>
      <c r="DRG54"/>
      <c r="DRH54"/>
      <c r="DRI54"/>
      <c r="DRJ54"/>
      <c r="DRK54"/>
      <c r="DRL54"/>
      <c r="DRM54"/>
      <c r="DRN54"/>
      <c r="DRO54"/>
      <c r="DRP54"/>
      <c r="DRQ54"/>
      <c r="DRR54"/>
      <c r="DRS54"/>
      <c r="DRT54"/>
      <c r="DRU54"/>
      <c r="DRV54"/>
      <c r="DRW54"/>
      <c r="DRX54"/>
      <c r="DRY54"/>
      <c r="DRZ54"/>
      <c r="DSA54"/>
      <c r="DSB54"/>
      <c r="DSC54"/>
      <c r="DSD54"/>
      <c r="DSE54"/>
      <c r="DSF54"/>
      <c r="DSG54"/>
      <c r="DSH54"/>
      <c r="DSI54"/>
      <c r="DSJ54"/>
      <c r="DSK54"/>
      <c r="DSL54"/>
      <c r="DSM54"/>
      <c r="DSN54"/>
      <c r="DSO54"/>
      <c r="DSP54"/>
      <c r="DSQ54"/>
      <c r="DSR54"/>
      <c r="DSS54"/>
      <c r="DST54"/>
      <c r="DSU54"/>
      <c r="DSV54"/>
      <c r="DSW54"/>
      <c r="DSX54"/>
      <c r="DSY54"/>
      <c r="DSZ54"/>
      <c r="DTA54"/>
      <c r="DTB54"/>
      <c r="DTC54"/>
      <c r="DTD54"/>
      <c r="DTE54"/>
      <c r="DTF54"/>
      <c r="DTG54"/>
      <c r="DTH54"/>
      <c r="DTI54"/>
      <c r="DTJ54"/>
      <c r="DTK54"/>
      <c r="DTL54"/>
      <c r="DTM54"/>
      <c r="DTN54"/>
      <c r="DTO54"/>
      <c r="DTP54"/>
      <c r="DTQ54"/>
      <c r="DTR54"/>
      <c r="DTS54"/>
      <c r="DTT54"/>
      <c r="DTU54"/>
      <c r="DTV54"/>
      <c r="DTW54"/>
      <c r="DTX54"/>
      <c r="DTY54"/>
      <c r="DTZ54"/>
      <c r="DUA54"/>
      <c r="DUB54"/>
      <c r="DUC54"/>
      <c r="DUD54"/>
      <c r="DUE54"/>
      <c r="DUF54"/>
      <c r="DUG54"/>
      <c r="DUH54"/>
      <c r="DUI54"/>
      <c r="DUJ54"/>
      <c r="DUK54"/>
      <c r="DUL54"/>
      <c r="DUM54"/>
      <c r="DUN54"/>
      <c r="DUO54"/>
      <c r="DUP54"/>
      <c r="DUQ54"/>
      <c r="DUR54"/>
      <c r="DUS54"/>
      <c r="DUT54"/>
      <c r="DUU54"/>
      <c r="DUV54"/>
      <c r="DUW54"/>
      <c r="DUX54"/>
      <c r="DUY54"/>
      <c r="DUZ54"/>
      <c r="DVA54"/>
      <c r="DVB54"/>
      <c r="DVC54"/>
      <c r="DVD54"/>
      <c r="DVE54"/>
      <c r="DVF54"/>
      <c r="DVG54"/>
      <c r="DVH54"/>
      <c r="DVI54"/>
      <c r="DVJ54"/>
      <c r="DVK54"/>
      <c r="DVL54"/>
      <c r="DVM54"/>
      <c r="DVN54"/>
      <c r="DVO54"/>
      <c r="DVP54"/>
      <c r="DVQ54"/>
      <c r="DVR54"/>
      <c r="DVS54"/>
      <c r="DVT54"/>
      <c r="DVU54"/>
      <c r="DVV54"/>
      <c r="DVW54"/>
      <c r="DVX54"/>
      <c r="DVY54"/>
      <c r="DVZ54"/>
      <c r="DWA54"/>
      <c r="DWB54"/>
      <c r="DWC54"/>
      <c r="DWD54"/>
      <c r="DWE54"/>
      <c r="DWF54"/>
      <c r="DWG54"/>
      <c r="DWH54"/>
      <c r="DWI54"/>
      <c r="DWJ54"/>
      <c r="DWK54"/>
      <c r="DWL54"/>
      <c r="DWM54"/>
      <c r="DWN54"/>
      <c r="DWO54"/>
      <c r="DWP54"/>
      <c r="DWQ54"/>
      <c r="DWR54"/>
      <c r="DWS54"/>
      <c r="DWT54"/>
      <c r="DWU54"/>
      <c r="DWV54"/>
      <c r="DWW54"/>
      <c r="DWX54"/>
      <c r="DWY54"/>
      <c r="DWZ54"/>
      <c r="DXA54"/>
      <c r="DXB54"/>
      <c r="DXC54"/>
      <c r="DXD54"/>
      <c r="DXE54"/>
      <c r="DXF54"/>
      <c r="DXG54"/>
      <c r="DXH54"/>
      <c r="DXI54"/>
      <c r="DXJ54"/>
      <c r="DXK54"/>
      <c r="DXL54"/>
      <c r="DXM54"/>
      <c r="DXN54"/>
      <c r="DXO54"/>
      <c r="DXP54"/>
      <c r="DXQ54"/>
      <c r="DXR54"/>
      <c r="DXS54"/>
      <c r="DXT54"/>
      <c r="DXU54"/>
      <c r="DXV54"/>
      <c r="DXW54"/>
      <c r="DXX54"/>
      <c r="DXY54"/>
      <c r="DXZ54"/>
      <c r="DYA54"/>
      <c r="DYB54"/>
      <c r="DYC54"/>
      <c r="DYD54"/>
      <c r="DYE54"/>
      <c r="DYF54"/>
      <c r="DYG54"/>
      <c r="DYH54"/>
      <c r="DYI54"/>
      <c r="DYJ54"/>
      <c r="DYK54"/>
      <c r="DYL54"/>
      <c r="DYM54"/>
      <c r="DYN54"/>
      <c r="DYO54"/>
      <c r="DYP54"/>
      <c r="DYQ54"/>
      <c r="DYR54"/>
      <c r="DYS54"/>
      <c r="DYT54"/>
      <c r="DYU54"/>
      <c r="DYV54"/>
      <c r="DYW54"/>
      <c r="DYX54"/>
      <c r="DYY54"/>
      <c r="DYZ54"/>
      <c r="DZA54"/>
      <c r="DZB54"/>
      <c r="DZC54"/>
      <c r="DZD54"/>
      <c r="DZE54"/>
      <c r="DZF54"/>
      <c r="DZG54"/>
      <c r="DZH54"/>
      <c r="DZI54"/>
      <c r="DZJ54"/>
      <c r="DZK54"/>
      <c r="DZL54"/>
      <c r="DZM54"/>
      <c r="DZN54"/>
      <c r="DZO54"/>
      <c r="DZP54"/>
      <c r="DZQ54"/>
      <c r="DZR54"/>
      <c r="DZS54"/>
      <c r="DZT54"/>
      <c r="DZU54"/>
      <c r="DZV54"/>
      <c r="DZW54"/>
      <c r="DZX54"/>
      <c r="DZY54"/>
      <c r="DZZ54"/>
      <c r="EAA54"/>
      <c r="EAB54"/>
      <c r="EAC54"/>
      <c r="EAD54"/>
      <c r="EAE54"/>
      <c r="EAF54"/>
      <c r="EAG54"/>
      <c r="EAH54"/>
      <c r="EAI54"/>
      <c r="EAJ54"/>
      <c r="EAK54"/>
      <c r="EAL54"/>
      <c r="EAM54"/>
      <c r="EAN54"/>
      <c r="EAO54"/>
      <c r="EAP54"/>
      <c r="EAQ54"/>
      <c r="EAR54"/>
      <c r="EAS54"/>
      <c r="EAT54"/>
      <c r="EAU54"/>
      <c r="EAV54"/>
      <c r="EAW54"/>
      <c r="EAX54"/>
      <c r="EAY54"/>
      <c r="EAZ54"/>
      <c r="EBA54"/>
      <c r="EBB54"/>
      <c r="EBC54"/>
      <c r="EBD54"/>
      <c r="EBE54"/>
      <c r="EBF54"/>
      <c r="EBG54"/>
      <c r="EBH54"/>
      <c r="EBI54"/>
      <c r="EBJ54"/>
      <c r="EBK54"/>
      <c r="EBL54"/>
      <c r="EBM54"/>
      <c r="EBN54"/>
      <c r="EBO54"/>
      <c r="EBP54"/>
      <c r="EBQ54"/>
      <c r="EBR54"/>
      <c r="EBS54"/>
      <c r="EBT54"/>
      <c r="EBU54"/>
      <c r="EBV54"/>
      <c r="EBW54"/>
      <c r="EBX54"/>
      <c r="EBY54"/>
      <c r="EBZ54"/>
      <c r="ECA54"/>
      <c r="ECB54"/>
      <c r="ECC54"/>
      <c r="ECD54"/>
      <c r="ECE54"/>
      <c r="ECF54"/>
      <c r="ECG54"/>
      <c r="ECH54"/>
      <c r="ECI54"/>
      <c r="ECJ54"/>
      <c r="ECK54"/>
      <c r="ECL54"/>
      <c r="ECM54"/>
      <c r="ECN54"/>
      <c r="ECO54"/>
      <c r="ECP54"/>
      <c r="ECQ54"/>
      <c r="ECR54"/>
      <c r="ECS54"/>
      <c r="ECT54"/>
      <c r="ECU54"/>
      <c r="ECV54"/>
      <c r="ECW54"/>
      <c r="ECX54"/>
      <c r="ECY54"/>
      <c r="ECZ54"/>
      <c r="EDA54"/>
      <c r="EDB54"/>
      <c r="EDC54"/>
      <c r="EDD54"/>
      <c r="EDE54"/>
      <c r="EDF54"/>
      <c r="EDG54"/>
      <c r="EDH54"/>
      <c r="EDI54"/>
      <c r="EDJ54"/>
      <c r="EDK54"/>
      <c r="EDL54"/>
      <c r="EDM54"/>
      <c r="EDN54"/>
      <c r="EDO54"/>
      <c r="EDP54"/>
      <c r="EDQ54"/>
      <c r="EDR54"/>
      <c r="EDS54"/>
      <c r="EDT54"/>
      <c r="EDU54"/>
      <c r="EDV54"/>
      <c r="EDW54"/>
      <c r="EDX54"/>
      <c r="EDY54"/>
      <c r="EDZ54"/>
      <c r="EEA54"/>
      <c r="EEB54"/>
      <c r="EEC54"/>
      <c r="EED54"/>
      <c r="EEE54"/>
      <c r="EEF54"/>
      <c r="EEG54"/>
      <c r="EEH54"/>
      <c r="EEI54"/>
      <c r="EEJ54"/>
      <c r="EEK54"/>
      <c r="EEL54"/>
      <c r="EEM54"/>
      <c r="EEN54"/>
      <c r="EEO54"/>
      <c r="EEP54"/>
      <c r="EEQ54"/>
      <c r="EER54"/>
      <c r="EES54"/>
      <c r="EET54"/>
      <c r="EEU54"/>
      <c r="EEV54"/>
      <c r="EEW54"/>
      <c r="EEX54"/>
      <c r="EEY54"/>
      <c r="EEZ54"/>
      <c r="EFA54"/>
      <c r="EFB54"/>
      <c r="EFC54"/>
      <c r="EFD54"/>
      <c r="EFE54"/>
      <c r="EFF54"/>
      <c r="EFG54"/>
      <c r="EFH54"/>
      <c r="EFI54"/>
      <c r="EFJ54"/>
      <c r="EFK54"/>
      <c r="EFL54"/>
      <c r="EFM54"/>
      <c r="EFN54"/>
      <c r="EFO54"/>
      <c r="EFP54"/>
      <c r="EFQ54"/>
      <c r="EFR54"/>
      <c r="EFS54"/>
      <c r="EFT54"/>
      <c r="EFU54"/>
      <c r="EFV54"/>
      <c r="EFW54"/>
      <c r="EFX54"/>
      <c r="EFY54"/>
      <c r="EFZ54"/>
      <c r="EGA54"/>
      <c r="EGB54"/>
      <c r="EGC54"/>
      <c r="EGD54"/>
      <c r="EGE54"/>
      <c r="EGF54"/>
      <c r="EGG54"/>
      <c r="EGH54"/>
      <c r="EGI54"/>
      <c r="EGJ54"/>
      <c r="EGK54"/>
      <c r="EGL54"/>
      <c r="EGM54"/>
      <c r="EGN54"/>
      <c r="EGO54"/>
      <c r="EGP54"/>
      <c r="EGQ54"/>
      <c r="EGR54"/>
      <c r="EGS54"/>
      <c r="EGT54"/>
      <c r="EGU54"/>
      <c r="EGV54"/>
      <c r="EGW54"/>
      <c r="EGX54"/>
      <c r="EGY54"/>
      <c r="EGZ54"/>
      <c r="EHA54"/>
      <c r="EHB54"/>
      <c r="EHC54"/>
      <c r="EHD54"/>
      <c r="EHE54"/>
      <c r="EHF54"/>
      <c r="EHG54"/>
      <c r="EHH54"/>
      <c r="EHI54"/>
      <c r="EHJ54"/>
      <c r="EHK54"/>
      <c r="EHL54"/>
      <c r="EHM54"/>
      <c r="EHN54"/>
      <c r="EHO54"/>
      <c r="EHP54"/>
      <c r="EHQ54"/>
      <c r="EHR54"/>
      <c r="EHS54"/>
      <c r="EHT54"/>
      <c r="EHU54"/>
      <c r="EHV54"/>
      <c r="EHW54"/>
      <c r="EHX54"/>
      <c r="EHY54"/>
      <c r="EHZ54"/>
      <c r="EIA54"/>
      <c r="EIB54"/>
      <c r="EIC54"/>
      <c r="EID54"/>
      <c r="EIE54"/>
      <c r="EIF54"/>
      <c r="EIG54"/>
      <c r="EIH54"/>
      <c r="EII54"/>
      <c r="EIJ54"/>
      <c r="EIK54"/>
      <c r="EIL54"/>
      <c r="EIM54"/>
      <c r="EIN54"/>
      <c r="EIO54"/>
      <c r="EIP54"/>
      <c r="EIQ54"/>
      <c r="EIR54"/>
      <c r="EIS54"/>
      <c r="EIT54"/>
      <c r="EIU54"/>
      <c r="EIV54"/>
      <c r="EIW54"/>
      <c r="EIX54"/>
      <c r="EIY54"/>
      <c r="EIZ54"/>
      <c r="EJA54"/>
      <c r="EJB54"/>
      <c r="EJC54"/>
      <c r="EJD54"/>
      <c r="EJE54"/>
      <c r="EJF54"/>
      <c r="EJG54"/>
      <c r="EJH54"/>
      <c r="EJI54"/>
      <c r="EJJ54"/>
      <c r="EJK54"/>
      <c r="EJL54"/>
      <c r="EJM54"/>
      <c r="EJN54"/>
      <c r="EJO54"/>
      <c r="EJP54"/>
      <c r="EJQ54"/>
      <c r="EJR54"/>
      <c r="EJS54"/>
      <c r="EJT54"/>
      <c r="EJU54"/>
      <c r="EJV54"/>
      <c r="EJW54"/>
      <c r="EJX54"/>
      <c r="EJY54"/>
      <c r="EJZ54"/>
      <c r="EKA54"/>
      <c r="EKB54"/>
      <c r="EKC54"/>
      <c r="EKD54"/>
      <c r="EKE54"/>
      <c r="EKF54"/>
      <c r="EKG54"/>
      <c r="EKH54"/>
      <c r="EKI54"/>
      <c r="EKJ54"/>
      <c r="EKK54"/>
      <c r="EKL54"/>
      <c r="EKM54"/>
      <c r="EKN54"/>
      <c r="EKO54"/>
      <c r="EKP54"/>
      <c r="EKQ54"/>
      <c r="EKR54"/>
      <c r="EKS54"/>
      <c r="EKT54"/>
      <c r="EKU54"/>
      <c r="EKV54"/>
      <c r="EKW54"/>
      <c r="EKX54"/>
      <c r="EKY54"/>
      <c r="EKZ54"/>
      <c r="ELA54"/>
      <c r="ELB54"/>
      <c r="ELC54"/>
      <c r="ELD54"/>
      <c r="ELE54"/>
      <c r="ELF54"/>
      <c r="ELG54"/>
      <c r="ELH54"/>
      <c r="ELI54"/>
      <c r="ELJ54"/>
      <c r="ELK54"/>
      <c r="ELL54"/>
      <c r="ELM54"/>
      <c r="ELN54"/>
      <c r="ELO54"/>
      <c r="ELP54"/>
      <c r="ELQ54"/>
      <c r="ELR54"/>
      <c r="ELS54"/>
      <c r="ELT54"/>
      <c r="ELU54"/>
      <c r="ELV54"/>
      <c r="ELW54"/>
      <c r="ELX54"/>
      <c r="ELY54"/>
      <c r="ELZ54"/>
      <c r="EMA54"/>
      <c r="EMB54"/>
      <c r="EMC54"/>
      <c r="EMD54"/>
      <c r="EME54"/>
      <c r="EMF54"/>
      <c r="EMG54"/>
      <c r="EMH54"/>
      <c r="EMI54"/>
      <c r="EMJ54"/>
      <c r="EMK54"/>
      <c r="EML54"/>
      <c r="EMM54"/>
      <c r="EMN54"/>
      <c r="EMO54"/>
      <c r="EMP54"/>
      <c r="EMQ54"/>
      <c r="EMR54"/>
      <c r="EMS54"/>
      <c r="EMT54"/>
      <c r="EMU54"/>
      <c r="EMV54"/>
      <c r="EMW54"/>
      <c r="EMX54"/>
      <c r="EMY54"/>
      <c r="EMZ54"/>
      <c r="ENA54"/>
      <c r="ENB54"/>
      <c r="ENC54"/>
      <c r="END54"/>
      <c r="ENE54"/>
      <c r="ENF54"/>
      <c r="ENG54"/>
      <c r="ENH54"/>
      <c r="ENI54"/>
      <c r="ENJ54"/>
      <c r="ENK54"/>
      <c r="ENL54"/>
      <c r="ENM54"/>
      <c r="ENN54"/>
      <c r="ENO54"/>
      <c r="ENP54"/>
      <c r="ENQ54"/>
      <c r="ENR54"/>
      <c r="ENS54"/>
      <c r="ENT54"/>
      <c r="ENU54"/>
      <c r="ENV54"/>
      <c r="ENW54"/>
      <c r="ENX54"/>
      <c r="ENY54"/>
      <c r="ENZ54"/>
      <c r="EOA54"/>
      <c r="EOB54"/>
      <c r="EOC54"/>
      <c r="EOD54"/>
      <c r="EOE54"/>
      <c r="EOF54"/>
      <c r="EOG54"/>
      <c r="EOH54"/>
      <c r="EOI54"/>
      <c r="EOJ54"/>
      <c r="EOK54"/>
      <c r="EOL54"/>
      <c r="EOM54"/>
      <c r="EON54"/>
      <c r="EOO54"/>
      <c r="EOP54"/>
      <c r="EOQ54"/>
      <c r="EOR54"/>
      <c r="EOS54"/>
      <c r="EOT54"/>
      <c r="EOU54"/>
      <c r="EOV54"/>
      <c r="EOW54"/>
      <c r="EOX54"/>
      <c r="EOY54"/>
      <c r="EOZ54"/>
      <c r="EPA54"/>
      <c r="EPB54"/>
      <c r="EPC54"/>
      <c r="EPD54"/>
      <c r="EPE54"/>
      <c r="EPF54"/>
      <c r="EPG54"/>
      <c r="EPH54"/>
      <c r="EPI54"/>
      <c r="EPJ54"/>
      <c r="EPK54"/>
      <c r="EPL54"/>
      <c r="EPM54"/>
      <c r="EPN54"/>
      <c r="EPO54"/>
      <c r="EPP54"/>
      <c r="EPQ54"/>
      <c r="EPR54"/>
      <c r="EPS54"/>
      <c r="EPT54"/>
      <c r="EPU54"/>
      <c r="EPV54"/>
      <c r="EPW54"/>
      <c r="EPX54"/>
      <c r="EPY54"/>
      <c r="EPZ54"/>
      <c r="EQA54"/>
      <c r="EQB54"/>
      <c r="EQC54"/>
      <c r="EQD54"/>
      <c r="EQE54"/>
      <c r="EQF54"/>
      <c r="EQG54"/>
      <c r="EQH54"/>
      <c r="EQI54"/>
      <c r="EQJ54"/>
      <c r="EQK54"/>
      <c r="EQL54"/>
      <c r="EQM54"/>
      <c r="EQN54"/>
      <c r="EQO54"/>
      <c r="EQP54"/>
      <c r="EQQ54"/>
      <c r="EQR54"/>
      <c r="EQS54"/>
      <c r="EQT54"/>
      <c r="EQU54"/>
      <c r="EQV54"/>
      <c r="EQW54"/>
      <c r="EQX54"/>
      <c r="EQY54"/>
      <c r="EQZ54"/>
      <c r="ERA54"/>
      <c r="ERB54"/>
      <c r="ERC54"/>
      <c r="ERD54"/>
      <c r="ERE54"/>
      <c r="ERF54"/>
      <c r="ERG54"/>
      <c r="ERH54"/>
      <c r="ERI54"/>
      <c r="ERJ54"/>
      <c r="ERK54"/>
      <c r="ERL54"/>
      <c r="ERM54"/>
      <c r="ERN54"/>
      <c r="ERO54"/>
      <c r="ERP54"/>
      <c r="ERQ54"/>
      <c r="ERR54"/>
      <c r="ERS54"/>
      <c r="ERT54"/>
      <c r="ERU54"/>
      <c r="ERV54"/>
      <c r="ERW54"/>
      <c r="ERX54"/>
      <c r="ERY54"/>
      <c r="ERZ54"/>
      <c r="ESA54"/>
      <c r="ESB54"/>
      <c r="ESC54"/>
      <c r="ESD54"/>
      <c r="ESE54"/>
      <c r="ESF54"/>
      <c r="ESG54"/>
      <c r="ESH54"/>
      <c r="ESI54"/>
      <c r="ESJ54"/>
      <c r="ESK54"/>
      <c r="ESL54"/>
      <c r="ESM54"/>
      <c r="ESN54"/>
      <c r="ESO54"/>
      <c r="ESP54"/>
      <c r="ESQ54"/>
      <c r="ESR54"/>
      <c r="ESS54"/>
      <c r="EST54"/>
      <c r="ESU54"/>
      <c r="ESV54"/>
      <c r="ESW54"/>
      <c r="ESX54"/>
      <c r="ESY54"/>
      <c r="ESZ54"/>
      <c r="ETA54"/>
      <c r="ETB54"/>
      <c r="ETC54"/>
      <c r="ETD54"/>
      <c r="ETE54"/>
      <c r="ETF54"/>
      <c r="ETG54"/>
      <c r="ETH54"/>
      <c r="ETI54"/>
      <c r="ETJ54"/>
      <c r="ETK54"/>
      <c r="ETL54"/>
      <c r="ETM54"/>
      <c r="ETN54"/>
      <c r="ETO54"/>
      <c r="ETP54"/>
      <c r="ETQ54"/>
      <c r="ETR54"/>
      <c r="ETS54"/>
      <c r="ETT54"/>
      <c r="ETU54"/>
      <c r="ETV54"/>
      <c r="ETW54"/>
      <c r="ETX54"/>
      <c r="ETY54"/>
      <c r="ETZ54"/>
      <c r="EUA54"/>
      <c r="EUB54"/>
      <c r="EUC54"/>
      <c r="EUD54"/>
      <c r="EUE54"/>
      <c r="EUF54"/>
      <c r="EUG54"/>
      <c r="EUH54"/>
      <c r="EUI54"/>
      <c r="EUJ54"/>
      <c r="EUK54"/>
      <c r="EUL54"/>
      <c r="EUM54"/>
      <c r="EUN54"/>
      <c r="EUO54"/>
      <c r="EUP54"/>
      <c r="EUQ54"/>
      <c r="EUR54"/>
      <c r="EUS54"/>
      <c r="EUT54"/>
      <c r="EUU54"/>
      <c r="EUV54"/>
      <c r="EUW54"/>
      <c r="EUX54"/>
      <c r="EUY54"/>
      <c r="EUZ54"/>
      <c r="EVA54"/>
      <c r="EVB54"/>
      <c r="EVC54"/>
      <c r="EVD54"/>
      <c r="EVE54"/>
      <c r="EVF54"/>
      <c r="EVG54"/>
      <c r="EVH54"/>
      <c r="EVI54"/>
      <c r="EVJ54"/>
      <c r="EVK54"/>
      <c r="EVL54"/>
      <c r="EVM54"/>
      <c r="EVN54"/>
      <c r="EVO54"/>
      <c r="EVP54"/>
      <c r="EVQ54"/>
      <c r="EVR54"/>
      <c r="EVS54"/>
      <c r="EVT54"/>
      <c r="EVU54"/>
      <c r="EVV54"/>
      <c r="EVW54"/>
      <c r="EVX54"/>
      <c r="EVY54"/>
      <c r="EVZ54"/>
      <c r="EWA54"/>
      <c r="EWB54"/>
      <c r="EWC54"/>
      <c r="EWD54"/>
      <c r="EWE54"/>
      <c r="EWF54"/>
      <c r="EWG54"/>
      <c r="EWH54"/>
      <c r="EWI54"/>
      <c r="EWJ54"/>
      <c r="EWK54"/>
      <c r="EWL54"/>
      <c r="EWM54"/>
      <c r="EWN54"/>
      <c r="EWO54"/>
      <c r="EWP54"/>
      <c r="EWQ54"/>
      <c r="EWR54"/>
      <c r="EWS54"/>
      <c r="EWT54"/>
      <c r="EWU54"/>
      <c r="EWV54"/>
      <c r="EWW54"/>
      <c r="EWX54"/>
      <c r="EWY54"/>
      <c r="EWZ54"/>
      <c r="EXA54"/>
      <c r="EXB54"/>
      <c r="EXC54"/>
      <c r="EXD54"/>
      <c r="EXE54"/>
      <c r="EXF54"/>
      <c r="EXG54"/>
      <c r="EXH54"/>
      <c r="EXI54"/>
      <c r="EXJ54"/>
      <c r="EXK54"/>
      <c r="EXL54"/>
      <c r="EXM54"/>
      <c r="EXN54"/>
      <c r="EXO54"/>
      <c r="EXP54"/>
      <c r="EXQ54"/>
      <c r="EXR54"/>
      <c r="EXS54"/>
      <c r="EXT54"/>
      <c r="EXU54"/>
      <c r="EXV54"/>
      <c r="EXW54"/>
      <c r="EXX54"/>
      <c r="EXY54"/>
      <c r="EXZ54"/>
      <c r="EYA54"/>
      <c r="EYB54"/>
      <c r="EYC54"/>
      <c r="EYD54"/>
      <c r="EYE54"/>
      <c r="EYF54"/>
      <c r="EYG54"/>
      <c r="EYH54"/>
      <c r="EYI54"/>
      <c r="EYJ54"/>
      <c r="EYK54"/>
      <c r="EYL54"/>
      <c r="EYM54"/>
      <c r="EYN54"/>
      <c r="EYO54"/>
      <c r="EYP54"/>
      <c r="EYQ54"/>
      <c r="EYR54"/>
      <c r="EYS54"/>
      <c r="EYT54"/>
      <c r="EYU54"/>
      <c r="EYV54"/>
      <c r="EYW54"/>
      <c r="EYX54"/>
      <c r="EYY54"/>
      <c r="EYZ54"/>
      <c r="EZA54"/>
      <c r="EZB54"/>
      <c r="EZC54"/>
      <c r="EZD54"/>
      <c r="EZE54"/>
      <c r="EZF54"/>
      <c r="EZG54"/>
      <c r="EZH54"/>
      <c r="EZI54"/>
      <c r="EZJ54"/>
      <c r="EZK54"/>
      <c r="EZL54"/>
      <c r="EZM54"/>
      <c r="EZN54"/>
      <c r="EZO54"/>
      <c r="EZP54"/>
      <c r="EZQ54"/>
      <c r="EZR54"/>
      <c r="EZS54"/>
      <c r="EZT54"/>
      <c r="EZU54"/>
      <c r="EZV54"/>
      <c r="EZW54"/>
      <c r="EZX54"/>
      <c r="EZY54"/>
      <c r="EZZ54"/>
      <c r="FAA54"/>
      <c r="FAB54"/>
      <c r="FAC54"/>
      <c r="FAD54"/>
      <c r="FAE54"/>
      <c r="FAF54"/>
      <c r="FAG54"/>
      <c r="FAH54"/>
      <c r="FAI54"/>
      <c r="FAJ54"/>
      <c r="FAK54"/>
      <c r="FAL54"/>
      <c r="FAM54"/>
      <c r="FAN54"/>
      <c r="FAO54"/>
      <c r="FAP54"/>
      <c r="FAQ54"/>
      <c r="FAR54"/>
      <c r="FAS54"/>
      <c r="FAT54"/>
      <c r="FAU54"/>
      <c r="FAV54"/>
      <c r="FAW54"/>
      <c r="FAX54"/>
      <c r="FAY54"/>
      <c r="FAZ54"/>
      <c r="FBA54"/>
      <c r="FBB54"/>
      <c r="FBC54"/>
      <c r="FBD54"/>
      <c r="FBE54"/>
      <c r="FBF54"/>
      <c r="FBG54"/>
      <c r="FBH54"/>
      <c r="FBI54"/>
      <c r="FBJ54"/>
      <c r="FBK54"/>
      <c r="FBL54"/>
      <c r="FBM54"/>
      <c r="FBN54"/>
      <c r="FBO54"/>
      <c r="FBP54"/>
      <c r="FBQ54"/>
      <c r="FBR54"/>
      <c r="FBS54"/>
      <c r="FBT54"/>
      <c r="FBU54"/>
      <c r="FBV54"/>
      <c r="FBW54"/>
      <c r="FBX54"/>
      <c r="FBY54"/>
      <c r="FBZ54"/>
      <c r="FCA54"/>
      <c r="FCB54"/>
      <c r="FCC54"/>
      <c r="FCD54"/>
      <c r="FCE54"/>
      <c r="FCF54"/>
      <c r="FCG54"/>
      <c r="FCH54"/>
      <c r="FCI54"/>
      <c r="FCJ54"/>
      <c r="FCK54"/>
      <c r="FCL54"/>
      <c r="FCM54"/>
      <c r="FCN54"/>
      <c r="FCO54"/>
      <c r="FCP54"/>
      <c r="FCQ54"/>
      <c r="FCR54"/>
      <c r="FCS54"/>
      <c r="FCT54"/>
      <c r="FCU54"/>
      <c r="FCV54"/>
      <c r="FCW54"/>
      <c r="FCX54"/>
      <c r="FCY54"/>
      <c r="FCZ54"/>
      <c r="FDA54"/>
      <c r="FDB54"/>
      <c r="FDC54"/>
      <c r="FDD54"/>
      <c r="FDE54"/>
      <c r="FDF54"/>
      <c r="FDG54"/>
      <c r="FDH54"/>
      <c r="FDI54"/>
      <c r="FDJ54"/>
      <c r="FDK54"/>
      <c r="FDL54"/>
      <c r="FDM54"/>
      <c r="FDN54"/>
      <c r="FDO54"/>
      <c r="FDP54"/>
      <c r="FDQ54"/>
      <c r="FDR54"/>
      <c r="FDS54"/>
      <c r="FDT54"/>
      <c r="FDU54"/>
      <c r="FDV54"/>
      <c r="FDW54"/>
      <c r="FDX54"/>
      <c r="FDY54"/>
      <c r="FDZ54"/>
      <c r="FEA54"/>
      <c r="FEB54"/>
      <c r="FEC54"/>
      <c r="FED54"/>
      <c r="FEE54"/>
      <c r="FEF54"/>
      <c r="FEG54"/>
      <c r="FEH54"/>
      <c r="FEI54"/>
      <c r="FEJ54"/>
      <c r="FEK54"/>
      <c r="FEL54"/>
      <c r="FEM54"/>
      <c r="FEN54"/>
      <c r="FEO54"/>
      <c r="FEP54"/>
      <c r="FEQ54"/>
      <c r="FER54"/>
      <c r="FES54"/>
      <c r="FET54"/>
      <c r="FEU54"/>
      <c r="FEV54"/>
      <c r="FEW54"/>
      <c r="FEX54"/>
      <c r="FEY54"/>
      <c r="FEZ54"/>
      <c r="FFA54"/>
      <c r="FFB54"/>
      <c r="FFC54"/>
      <c r="FFD54"/>
      <c r="FFE54"/>
      <c r="FFF54"/>
      <c r="FFG54"/>
      <c r="FFH54"/>
      <c r="FFI54"/>
      <c r="FFJ54"/>
      <c r="FFK54"/>
      <c r="FFL54"/>
      <c r="FFM54"/>
      <c r="FFN54"/>
      <c r="FFO54"/>
      <c r="FFP54"/>
      <c r="FFQ54"/>
      <c r="FFR54"/>
      <c r="FFS54"/>
      <c r="FFT54"/>
      <c r="FFU54"/>
      <c r="FFV54"/>
      <c r="FFW54"/>
      <c r="FFX54"/>
      <c r="FFY54"/>
      <c r="FFZ54"/>
      <c r="FGA54"/>
      <c r="FGB54"/>
      <c r="FGC54"/>
      <c r="FGD54"/>
      <c r="FGE54"/>
      <c r="FGF54"/>
      <c r="FGG54"/>
      <c r="FGH54"/>
      <c r="FGI54"/>
      <c r="FGJ54"/>
      <c r="FGK54"/>
      <c r="FGL54"/>
      <c r="FGM54"/>
      <c r="FGN54"/>
      <c r="FGO54"/>
      <c r="FGP54"/>
      <c r="FGQ54"/>
      <c r="FGR54"/>
      <c r="FGS54"/>
      <c r="FGT54"/>
      <c r="FGU54"/>
      <c r="FGV54"/>
      <c r="FGW54"/>
      <c r="FGX54"/>
      <c r="FGY54"/>
      <c r="FGZ54"/>
      <c r="FHA54"/>
      <c r="FHB54"/>
      <c r="FHC54"/>
      <c r="FHD54"/>
      <c r="FHE54"/>
      <c r="FHF54"/>
      <c r="FHG54"/>
      <c r="FHH54"/>
      <c r="FHI54"/>
      <c r="FHJ54"/>
      <c r="FHK54"/>
      <c r="FHL54"/>
      <c r="FHM54"/>
      <c r="FHN54"/>
      <c r="FHO54"/>
      <c r="FHP54"/>
      <c r="FHQ54"/>
      <c r="FHR54"/>
      <c r="FHS54"/>
      <c r="FHT54"/>
      <c r="FHU54"/>
      <c r="FHV54"/>
      <c r="FHW54"/>
      <c r="FHX54"/>
      <c r="FHY54"/>
      <c r="FHZ54"/>
      <c r="FIA54"/>
      <c r="FIB54"/>
      <c r="FIC54"/>
      <c r="FID54"/>
      <c r="FIE54"/>
      <c r="FIF54"/>
      <c r="FIG54"/>
      <c r="FIH54"/>
      <c r="FII54"/>
      <c r="FIJ54"/>
      <c r="FIK54"/>
      <c r="FIL54"/>
      <c r="FIM54"/>
      <c r="FIN54"/>
      <c r="FIO54"/>
      <c r="FIP54"/>
      <c r="FIQ54"/>
      <c r="FIR54"/>
      <c r="FIS54"/>
      <c r="FIT54"/>
      <c r="FIU54"/>
      <c r="FIV54"/>
      <c r="FIW54"/>
      <c r="FIX54"/>
      <c r="FIY54"/>
      <c r="FIZ54"/>
      <c r="FJA54"/>
      <c r="FJB54"/>
      <c r="FJC54"/>
      <c r="FJD54"/>
      <c r="FJE54"/>
      <c r="FJF54"/>
      <c r="FJG54"/>
      <c r="FJH54"/>
      <c r="FJI54"/>
      <c r="FJJ54"/>
      <c r="FJK54"/>
      <c r="FJL54"/>
      <c r="FJM54"/>
      <c r="FJN54"/>
      <c r="FJO54"/>
      <c r="FJP54"/>
      <c r="FJQ54"/>
      <c r="FJR54"/>
      <c r="FJS54"/>
      <c r="FJT54"/>
      <c r="FJU54"/>
      <c r="FJV54"/>
      <c r="FJW54"/>
      <c r="FJX54"/>
      <c r="FJY54"/>
      <c r="FJZ54"/>
      <c r="FKA54"/>
      <c r="FKB54"/>
      <c r="FKC54"/>
      <c r="FKD54"/>
      <c r="FKE54"/>
      <c r="FKF54"/>
      <c r="FKG54"/>
      <c r="FKH54"/>
      <c r="FKI54"/>
      <c r="FKJ54"/>
      <c r="FKK54"/>
      <c r="FKL54"/>
      <c r="FKM54"/>
      <c r="FKN54"/>
      <c r="FKO54"/>
      <c r="FKP54"/>
      <c r="FKQ54"/>
      <c r="FKR54"/>
      <c r="FKS54"/>
      <c r="FKT54"/>
      <c r="FKU54"/>
      <c r="FKV54"/>
      <c r="FKW54"/>
      <c r="FKX54"/>
      <c r="FKY54"/>
      <c r="FKZ54"/>
      <c r="FLA54"/>
      <c r="FLB54"/>
      <c r="FLC54"/>
      <c r="FLD54"/>
      <c r="FLE54"/>
      <c r="FLF54"/>
      <c r="FLG54"/>
      <c r="FLH54"/>
      <c r="FLI54"/>
      <c r="FLJ54"/>
      <c r="FLK54"/>
      <c r="FLL54"/>
      <c r="FLM54"/>
      <c r="FLN54"/>
      <c r="FLO54"/>
      <c r="FLP54"/>
      <c r="FLQ54"/>
      <c r="FLR54"/>
      <c r="FLS54"/>
      <c r="FLT54"/>
      <c r="FLU54"/>
      <c r="FLV54"/>
      <c r="FLW54"/>
      <c r="FLX54"/>
      <c r="FLY54"/>
      <c r="FLZ54"/>
      <c r="FMA54"/>
      <c r="FMB54"/>
      <c r="FMC54"/>
      <c r="FMD54"/>
      <c r="FME54"/>
      <c r="FMF54"/>
      <c r="FMG54"/>
      <c r="FMH54"/>
      <c r="FMI54"/>
      <c r="FMJ54"/>
      <c r="FMK54"/>
      <c r="FML54"/>
      <c r="FMM54"/>
      <c r="FMN54"/>
      <c r="FMO54"/>
      <c r="FMP54"/>
      <c r="FMQ54"/>
      <c r="FMR54"/>
      <c r="FMS54"/>
      <c r="FMT54"/>
      <c r="FMU54"/>
      <c r="FMV54"/>
      <c r="FMW54"/>
      <c r="FMX54"/>
      <c r="FMY54"/>
      <c r="FMZ54"/>
      <c r="FNA54"/>
      <c r="FNB54"/>
      <c r="FNC54"/>
      <c r="FND54"/>
      <c r="FNE54"/>
      <c r="FNF54"/>
      <c r="FNG54"/>
      <c r="FNH54"/>
      <c r="FNI54"/>
      <c r="FNJ54"/>
      <c r="FNK54"/>
      <c r="FNL54"/>
      <c r="FNM54"/>
      <c r="FNN54"/>
      <c r="FNO54"/>
      <c r="FNP54"/>
      <c r="FNQ54"/>
      <c r="FNR54"/>
      <c r="FNS54"/>
      <c r="FNT54"/>
      <c r="FNU54"/>
      <c r="FNV54"/>
      <c r="FNW54"/>
      <c r="FNX54"/>
      <c r="FNY54"/>
      <c r="FNZ54"/>
      <c r="FOA54"/>
      <c r="FOB54"/>
      <c r="FOC54"/>
      <c r="FOD54"/>
      <c r="FOE54"/>
      <c r="FOF54"/>
      <c r="FOG54"/>
      <c r="FOH54"/>
      <c r="FOI54"/>
      <c r="FOJ54"/>
      <c r="FOK54"/>
      <c r="FOL54"/>
      <c r="FOM54"/>
      <c r="FON54"/>
      <c r="FOO54"/>
      <c r="FOP54"/>
      <c r="FOQ54"/>
      <c r="FOR54"/>
      <c r="FOS54"/>
      <c r="FOT54"/>
      <c r="FOU54"/>
      <c r="FOV54"/>
      <c r="FOW54"/>
      <c r="FOX54"/>
      <c r="FOY54"/>
      <c r="FOZ54"/>
      <c r="FPA54"/>
      <c r="FPB54"/>
      <c r="FPC54"/>
      <c r="FPD54"/>
      <c r="FPE54"/>
      <c r="FPF54"/>
      <c r="FPG54"/>
      <c r="FPH54"/>
      <c r="FPI54"/>
      <c r="FPJ54"/>
      <c r="FPK54"/>
      <c r="FPL54"/>
      <c r="FPM54"/>
      <c r="FPN54"/>
      <c r="FPO54"/>
      <c r="FPP54"/>
      <c r="FPQ54"/>
      <c r="FPR54"/>
      <c r="FPS54"/>
      <c r="FPT54"/>
      <c r="FPU54"/>
      <c r="FPV54"/>
      <c r="FPW54"/>
      <c r="FPX54"/>
      <c r="FPY54"/>
      <c r="FPZ54"/>
      <c r="FQA54"/>
      <c r="FQB54"/>
      <c r="FQC54"/>
      <c r="FQD54"/>
      <c r="FQE54"/>
      <c r="FQF54"/>
      <c r="FQG54"/>
      <c r="FQH54"/>
      <c r="FQI54"/>
      <c r="FQJ54"/>
      <c r="FQK54"/>
      <c r="FQL54"/>
      <c r="FQM54"/>
      <c r="FQN54"/>
      <c r="FQO54"/>
      <c r="FQP54"/>
      <c r="FQQ54"/>
      <c r="FQR54"/>
      <c r="FQS54"/>
      <c r="FQT54"/>
      <c r="FQU54"/>
      <c r="FQV54"/>
      <c r="FQW54"/>
      <c r="FQX54"/>
      <c r="FQY54"/>
      <c r="FQZ54"/>
      <c r="FRA54"/>
      <c r="FRB54"/>
      <c r="FRC54"/>
      <c r="FRD54"/>
      <c r="FRE54"/>
      <c r="FRF54"/>
      <c r="FRG54"/>
      <c r="FRH54"/>
      <c r="FRI54"/>
      <c r="FRJ54"/>
      <c r="FRK54"/>
      <c r="FRL54"/>
      <c r="FRM54"/>
      <c r="FRN54"/>
      <c r="FRO54"/>
      <c r="FRP54"/>
      <c r="FRQ54"/>
      <c r="FRR54"/>
      <c r="FRS54"/>
      <c r="FRT54"/>
      <c r="FRU54"/>
      <c r="FRV54"/>
      <c r="FRW54"/>
      <c r="FRX54"/>
      <c r="FRY54"/>
      <c r="FRZ54"/>
      <c r="FSA54"/>
      <c r="FSB54"/>
      <c r="FSC54"/>
      <c r="FSD54"/>
      <c r="FSE54"/>
      <c r="FSF54"/>
      <c r="FSG54"/>
      <c r="FSH54"/>
      <c r="FSI54"/>
      <c r="FSJ54"/>
      <c r="FSK54"/>
      <c r="FSL54"/>
      <c r="FSM54"/>
      <c r="FSN54"/>
      <c r="FSO54"/>
      <c r="FSP54"/>
      <c r="FSQ54"/>
      <c r="FSR54"/>
      <c r="FSS54"/>
      <c r="FST54"/>
      <c r="FSU54"/>
      <c r="FSV54"/>
      <c r="FSW54"/>
      <c r="FSX54"/>
      <c r="FSY54"/>
      <c r="FSZ54"/>
      <c r="FTA54"/>
      <c r="FTB54"/>
      <c r="FTC54"/>
      <c r="FTD54"/>
      <c r="FTE54"/>
      <c r="FTF54"/>
      <c r="FTG54"/>
      <c r="FTH54"/>
      <c r="FTI54"/>
      <c r="FTJ54"/>
      <c r="FTK54"/>
      <c r="FTL54"/>
      <c r="FTM54"/>
      <c r="FTN54"/>
      <c r="FTO54"/>
      <c r="FTP54"/>
      <c r="FTQ54"/>
      <c r="FTR54"/>
      <c r="FTS54"/>
      <c r="FTT54"/>
      <c r="FTU54"/>
      <c r="FTV54"/>
      <c r="FTW54"/>
      <c r="FTX54"/>
      <c r="FTY54"/>
      <c r="FTZ54"/>
      <c r="FUA54"/>
      <c r="FUB54"/>
      <c r="FUC54"/>
      <c r="FUD54"/>
      <c r="FUE54"/>
      <c r="FUF54"/>
      <c r="FUG54"/>
      <c r="FUH54"/>
      <c r="FUI54"/>
      <c r="FUJ54"/>
      <c r="FUK54"/>
      <c r="FUL54"/>
      <c r="FUM54"/>
      <c r="FUN54"/>
      <c r="FUO54"/>
      <c r="FUP54"/>
      <c r="FUQ54"/>
      <c r="FUR54"/>
      <c r="FUS54"/>
      <c r="FUT54"/>
      <c r="FUU54"/>
      <c r="FUV54"/>
      <c r="FUW54"/>
      <c r="FUX54"/>
      <c r="FUY54"/>
      <c r="FUZ54"/>
      <c r="FVA54"/>
      <c r="FVB54"/>
      <c r="FVC54"/>
      <c r="FVD54"/>
      <c r="FVE54"/>
      <c r="FVF54"/>
      <c r="FVG54"/>
      <c r="FVH54"/>
      <c r="FVI54"/>
      <c r="FVJ54"/>
      <c r="FVK54"/>
      <c r="FVL54"/>
      <c r="FVM54"/>
      <c r="FVN54"/>
      <c r="FVO54"/>
      <c r="FVP54"/>
      <c r="FVQ54"/>
      <c r="FVR54"/>
      <c r="FVS54"/>
      <c r="FVT54"/>
      <c r="FVU54"/>
      <c r="FVV54"/>
      <c r="FVW54"/>
      <c r="FVX54"/>
      <c r="FVY54"/>
      <c r="FVZ54"/>
      <c r="FWA54"/>
      <c r="FWB54"/>
      <c r="FWC54"/>
      <c r="FWD54"/>
      <c r="FWE54"/>
      <c r="FWF54"/>
      <c r="FWG54"/>
      <c r="FWH54"/>
      <c r="FWI54"/>
      <c r="FWJ54"/>
      <c r="FWK54"/>
      <c r="FWL54"/>
      <c r="FWM54"/>
      <c r="FWN54"/>
      <c r="FWO54"/>
      <c r="FWP54"/>
      <c r="FWQ54"/>
      <c r="FWR54"/>
      <c r="FWS54"/>
      <c r="FWT54"/>
      <c r="FWU54"/>
      <c r="FWV54"/>
      <c r="FWW54"/>
      <c r="FWX54"/>
      <c r="FWY54"/>
      <c r="FWZ54"/>
      <c r="FXA54"/>
      <c r="FXB54"/>
      <c r="FXC54"/>
      <c r="FXD54"/>
      <c r="FXE54"/>
      <c r="FXF54"/>
      <c r="FXG54"/>
      <c r="FXH54"/>
      <c r="FXI54"/>
      <c r="FXJ54"/>
      <c r="FXK54"/>
      <c r="FXL54"/>
      <c r="FXM54"/>
      <c r="FXN54"/>
      <c r="FXO54"/>
      <c r="FXP54"/>
      <c r="FXQ54"/>
      <c r="FXR54"/>
      <c r="FXS54"/>
      <c r="FXT54"/>
      <c r="FXU54"/>
      <c r="FXV54"/>
      <c r="FXW54"/>
      <c r="FXX54"/>
      <c r="FXY54"/>
      <c r="FXZ54"/>
      <c r="FYA54"/>
      <c r="FYB54"/>
      <c r="FYC54"/>
      <c r="FYD54"/>
      <c r="FYE54"/>
      <c r="FYF54"/>
      <c r="FYG54"/>
      <c r="FYH54"/>
      <c r="FYI54"/>
      <c r="FYJ54"/>
      <c r="FYK54"/>
      <c r="FYL54"/>
      <c r="FYM54"/>
      <c r="FYN54"/>
      <c r="FYO54"/>
      <c r="FYP54"/>
      <c r="FYQ54"/>
      <c r="FYR54"/>
      <c r="FYS54"/>
      <c r="FYT54"/>
      <c r="FYU54"/>
      <c r="FYV54"/>
      <c r="FYW54"/>
      <c r="FYX54"/>
      <c r="FYY54"/>
      <c r="FYZ54"/>
      <c r="FZA54"/>
      <c r="FZB54"/>
      <c r="FZC54"/>
      <c r="FZD54"/>
      <c r="FZE54"/>
      <c r="FZF54"/>
      <c r="FZG54"/>
      <c r="FZH54"/>
      <c r="FZI54"/>
      <c r="FZJ54"/>
      <c r="FZK54"/>
      <c r="FZL54"/>
      <c r="FZM54"/>
      <c r="FZN54"/>
      <c r="FZO54"/>
      <c r="FZP54"/>
      <c r="FZQ54"/>
      <c r="FZR54"/>
      <c r="FZS54"/>
      <c r="FZT54"/>
      <c r="FZU54"/>
      <c r="FZV54"/>
      <c r="FZW54"/>
      <c r="FZX54"/>
      <c r="FZY54"/>
      <c r="FZZ54"/>
      <c r="GAA54"/>
      <c r="GAB54"/>
      <c r="GAC54"/>
      <c r="GAD54"/>
      <c r="GAE54"/>
      <c r="GAF54"/>
      <c r="GAG54"/>
      <c r="GAH54"/>
      <c r="GAI54"/>
      <c r="GAJ54"/>
      <c r="GAK54"/>
      <c r="GAL54"/>
      <c r="GAM54"/>
      <c r="GAN54"/>
      <c r="GAO54"/>
      <c r="GAP54"/>
      <c r="GAQ54"/>
      <c r="GAR54"/>
      <c r="GAS54"/>
      <c r="GAT54"/>
      <c r="GAU54"/>
      <c r="GAV54"/>
      <c r="GAW54"/>
      <c r="GAX54"/>
      <c r="GAY54"/>
      <c r="GAZ54"/>
      <c r="GBA54"/>
      <c r="GBB54"/>
      <c r="GBC54"/>
      <c r="GBD54"/>
      <c r="GBE54"/>
      <c r="GBF54"/>
      <c r="GBG54"/>
      <c r="GBH54"/>
      <c r="GBI54"/>
      <c r="GBJ54"/>
      <c r="GBK54"/>
      <c r="GBL54"/>
      <c r="GBM54"/>
      <c r="GBN54"/>
      <c r="GBO54"/>
      <c r="GBP54"/>
      <c r="GBQ54"/>
      <c r="GBR54"/>
      <c r="GBS54"/>
      <c r="GBT54"/>
      <c r="GBU54"/>
      <c r="GBV54"/>
      <c r="GBW54"/>
      <c r="GBX54"/>
      <c r="GBY54"/>
      <c r="GBZ54"/>
      <c r="GCA54"/>
      <c r="GCB54"/>
      <c r="GCC54"/>
      <c r="GCD54"/>
      <c r="GCE54"/>
      <c r="GCF54"/>
      <c r="GCG54"/>
      <c r="GCH54"/>
      <c r="GCI54"/>
      <c r="GCJ54"/>
      <c r="GCK54"/>
      <c r="GCL54"/>
      <c r="GCM54"/>
      <c r="GCN54"/>
      <c r="GCO54"/>
      <c r="GCP54"/>
      <c r="GCQ54"/>
      <c r="GCR54"/>
      <c r="GCS54"/>
      <c r="GCT54"/>
      <c r="GCU54"/>
      <c r="GCV54"/>
      <c r="GCW54"/>
      <c r="GCX54"/>
      <c r="GCY54"/>
      <c r="GCZ54"/>
      <c r="GDA54"/>
      <c r="GDB54"/>
      <c r="GDC54"/>
      <c r="GDD54"/>
      <c r="GDE54"/>
      <c r="GDF54"/>
      <c r="GDG54"/>
      <c r="GDH54"/>
      <c r="GDI54"/>
      <c r="GDJ54"/>
      <c r="GDK54"/>
      <c r="GDL54"/>
      <c r="GDM54"/>
      <c r="GDN54"/>
      <c r="GDO54"/>
      <c r="GDP54"/>
      <c r="GDQ54"/>
      <c r="GDR54"/>
      <c r="GDS54"/>
      <c r="GDT54"/>
      <c r="GDU54"/>
      <c r="GDV54"/>
      <c r="GDW54"/>
      <c r="GDX54"/>
      <c r="GDY54"/>
      <c r="GDZ54"/>
      <c r="GEA54"/>
      <c r="GEB54"/>
      <c r="GEC54"/>
      <c r="GED54"/>
      <c r="GEE54"/>
      <c r="GEF54"/>
      <c r="GEG54"/>
      <c r="GEH54"/>
      <c r="GEI54"/>
      <c r="GEJ54"/>
      <c r="GEK54"/>
      <c r="GEL54"/>
      <c r="GEM54"/>
      <c r="GEN54"/>
      <c r="GEO54"/>
      <c r="GEP54"/>
      <c r="GEQ54"/>
      <c r="GER54"/>
      <c r="GES54"/>
      <c r="GET54"/>
      <c r="GEU54"/>
      <c r="GEV54"/>
      <c r="GEW54"/>
      <c r="GEX54"/>
      <c r="GEY54"/>
      <c r="GEZ54"/>
      <c r="GFA54"/>
      <c r="GFB54"/>
      <c r="GFC54"/>
      <c r="GFD54"/>
      <c r="GFE54"/>
      <c r="GFF54"/>
      <c r="GFG54"/>
      <c r="GFH54"/>
      <c r="GFI54"/>
      <c r="GFJ54"/>
      <c r="GFK54"/>
      <c r="GFL54"/>
      <c r="GFM54"/>
      <c r="GFN54"/>
      <c r="GFO54"/>
      <c r="GFP54"/>
      <c r="GFQ54"/>
      <c r="GFR54"/>
      <c r="GFS54"/>
      <c r="GFT54"/>
      <c r="GFU54"/>
      <c r="GFV54"/>
      <c r="GFW54"/>
      <c r="GFX54"/>
      <c r="GFY54"/>
      <c r="GFZ54"/>
      <c r="GGA54"/>
      <c r="GGB54"/>
      <c r="GGC54"/>
      <c r="GGD54"/>
      <c r="GGE54"/>
      <c r="GGF54"/>
      <c r="GGG54"/>
      <c r="GGH54"/>
      <c r="GGI54"/>
      <c r="GGJ54"/>
      <c r="GGK54"/>
      <c r="GGL54"/>
      <c r="GGM54"/>
      <c r="GGN54"/>
      <c r="GGO54"/>
      <c r="GGP54"/>
      <c r="GGQ54"/>
      <c r="GGR54"/>
      <c r="GGS54"/>
      <c r="GGT54"/>
      <c r="GGU54"/>
      <c r="GGV54"/>
      <c r="GGW54"/>
      <c r="GGX54"/>
      <c r="GGY54"/>
      <c r="GGZ54"/>
      <c r="GHA54"/>
      <c r="GHB54"/>
      <c r="GHC54"/>
      <c r="GHD54"/>
      <c r="GHE54"/>
      <c r="GHF54"/>
      <c r="GHG54"/>
      <c r="GHH54"/>
      <c r="GHI54"/>
      <c r="GHJ54"/>
      <c r="GHK54"/>
      <c r="GHL54"/>
      <c r="GHM54"/>
      <c r="GHN54"/>
      <c r="GHO54"/>
      <c r="GHP54"/>
      <c r="GHQ54"/>
      <c r="GHR54"/>
      <c r="GHS54"/>
      <c r="GHT54"/>
      <c r="GHU54"/>
      <c r="GHV54"/>
      <c r="GHW54"/>
      <c r="GHX54"/>
      <c r="GHY54"/>
      <c r="GHZ54"/>
      <c r="GIA54"/>
      <c r="GIB54"/>
      <c r="GIC54"/>
      <c r="GID54"/>
      <c r="GIE54"/>
      <c r="GIF54"/>
      <c r="GIG54"/>
      <c r="GIH54"/>
      <c r="GII54"/>
      <c r="GIJ54"/>
      <c r="GIK54"/>
      <c r="GIL54"/>
      <c r="GIM54"/>
      <c r="GIN54"/>
      <c r="GIO54"/>
      <c r="GIP54"/>
      <c r="GIQ54"/>
      <c r="GIR54"/>
      <c r="GIS54"/>
      <c r="GIT54"/>
      <c r="GIU54"/>
      <c r="GIV54"/>
      <c r="GIW54"/>
      <c r="GIX54"/>
      <c r="GIY54"/>
      <c r="GIZ54"/>
      <c r="GJA54"/>
      <c r="GJB54"/>
      <c r="GJC54"/>
      <c r="GJD54"/>
      <c r="GJE54"/>
      <c r="GJF54"/>
      <c r="GJG54"/>
      <c r="GJH54"/>
      <c r="GJI54"/>
      <c r="GJJ54"/>
      <c r="GJK54"/>
      <c r="GJL54"/>
      <c r="GJM54"/>
      <c r="GJN54"/>
      <c r="GJO54"/>
      <c r="GJP54"/>
      <c r="GJQ54"/>
      <c r="GJR54"/>
      <c r="GJS54"/>
      <c r="GJT54"/>
      <c r="GJU54"/>
      <c r="GJV54"/>
      <c r="GJW54"/>
      <c r="GJX54"/>
      <c r="GJY54"/>
      <c r="GJZ54"/>
      <c r="GKA54"/>
      <c r="GKB54"/>
      <c r="GKC54"/>
      <c r="GKD54"/>
      <c r="GKE54"/>
      <c r="GKF54"/>
      <c r="GKG54"/>
      <c r="GKH54"/>
      <c r="GKI54"/>
      <c r="GKJ54"/>
      <c r="GKK54"/>
      <c r="GKL54"/>
      <c r="GKM54"/>
      <c r="GKN54"/>
      <c r="GKO54"/>
      <c r="GKP54"/>
      <c r="GKQ54"/>
      <c r="GKR54"/>
      <c r="GKS54"/>
      <c r="GKT54"/>
      <c r="GKU54"/>
      <c r="GKV54"/>
      <c r="GKW54"/>
      <c r="GKX54"/>
      <c r="GKY54"/>
      <c r="GKZ54"/>
      <c r="GLA54"/>
      <c r="GLB54"/>
      <c r="GLC54"/>
      <c r="GLD54"/>
      <c r="GLE54"/>
      <c r="GLF54"/>
      <c r="GLG54"/>
      <c r="GLH54"/>
      <c r="GLI54"/>
      <c r="GLJ54"/>
      <c r="GLK54"/>
      <c r="GLL54"/>
      <c r="GLM54"/>
      <c r="GLN54"/>
      <c r="GLO54"/>
      <c r="GLP54"/>
      <c r="GLQ54"/>
      <c r="GLR54"/>
      <c r="GLS54"/>
      <c r="GLT54"/>
      <c r="GLU54"/>
      <c r="GLV54"/>
      <c r="GLW54"/>
      <c r="GLX54"/>
      <c r="GLY54"/>
      <c r="GLZ54"/>
      <c r="GMA54"/>
      <c r="GMB54"/>
      <c r="GMC54"/>
      <c r="GMD54"/>
      <c r="GME54"/>
      <c r="GMF54"/>
      <c r="GMG54"/>
      <c r="GMH54"/>
      <c r="GMI54"/>
      <c r="GMJ54"/>
      <c r="GMK54"/>
      <c r="GML54"/>
      <c r="GMM54"/>
      <c r="GMN54"/>
      <c r="GMO54"/>
      <c r="GMP54"/>
      <c r="GMQ54"/>
      <c r="GMR54"/>
      <c r="GMS54"/>
      <c r="GMT54"/>
      <c r="GMU54"/>
      <c r="GMV54"/>
      <c r="GMW54"/>
      <c r="GMX54"/>
      <c r="GMY54"/>
      <c r="GMZ54"/>
      <c r="GNA54"/>
      <c r="GNB54"/>
      <c r="GNC54"/>
      <c r="GND54"/>
      <c r="GNE54"/>
      <c r="GNF54"/>
      <c r="GNG54"/>
      <c r="GNH54"/>
      <c r="GNI54"/>
      <c r="GNJ54"/>
      <c r="GNK54"/>
      <c r="GNL54"/>
      <c r="GNM54"/>
      <c r="GNN54"/>
      <c r="GNO54"/>
      <c r="GNP54"/>
      <c r="GNQ54"/>
      <c r="GNR54"/>
      <c r="GNS54"/>
      <c r="GNT54"/>
      <c r="GNU54"/>
      <c r="GNV54"/>
      <c r="GNW54"/>
      <c r="GNX54"/>
      <c r="GNY54"/>
      <c r="GNZ54"/>
      <c r="GOA54"/>
      <c r="GOB54"/>
      <c r="GOC54"/>
      <c r="GOD54"/>
      <c r="GOE54"/>
      <c r="GOF54"/>
      <c r="GOG54"/>
      <c r="GOH54"/>
      <c r="GOI54"/>
      <c r="GOJ54"/>
      <c r="GOK54"/>
      <c r="GOL54"/>
      <c r="GOM54"/>
      <c r="GON54"/>
      <c r="GOO54"/>
      <c r="GOP54"/>
      <c r="GOQ54"/>
      <c r="GOR54"/>
      <c r="GOS54"/>
      <c r="GOT54"/>
      <c r="GOU54"/>
      <c r="GOV54"/>
      <c r="GOW54"/>
      <c r="GOX54"/>
      <c r="GOY54"/>
      <c r="GOZ54"/>
      <c r="GPA54"/>
      <c r="GPB54"/>
      <c r="GPC54"/>
      <c r="GPD54"/>
      <c r="GPE54"/>
      <c r="GPF54"/>
      <c r="GPG54"/>
      <c r="GPH54"/>
      <c r="GPI54"/>
      <c r="GPJ54"/>
      <c r="GPK54"/>
      <c r="GPL54"/>
      <c r="GPM54"/>
      <c r="GPN54"/>
      <c r="GPO54"/>
      <c r="GPP54"/>
      <c r="GPQ54"/>
      <c r="GPR54"/>
      <c r="GPS54"/>
      <c r="GPT54"/>
      <c r="GPU54"/>
      <c r="GPV54"/>
      <c r="GPW54"/>
      <c r="GPX54"/>
      <c r="GPY54"/>
      <c r="GPZ54"/>
      <c r="GQA54"/>
      <c r="GQB54"/>
      <c r="GQC54"/>
      <c r="GQD54"/>
      <c r="GQE54"/>
      <c r="GQF54"/>
      <c r="GQG54"/>
      <c r="GQH54"/>
      <c r="GQI54"/>
      <c r="GQJ54"/>
      <c r="GQK54"/>
      <c r="GQL54"/>
      <c r="GQM54"/>
      <c r="GQN54"/>
      <c r="GQO54"/>
      <c r="GQP54"/>
      <c r="GQQ54"/>
      <c r="GQR54"/>
      <c r="GQS54"/>
      <c r="GQT54"/>
      <c r="GQU54"/>
      <c r="GQV54"/>
      <c r="GQW54"/>
      <c r="GQX54"/>
      <c r="GQY54"/>
      <c r="GQZ54"/>
      <c r="GRA54"/>
      <c r="GRB54"/>
      <c r="GRC54"/>
      <c r="GRD54"/>
      <c r="GRE54"/>
      <c r="GRF54"/>
      <c r="GRG54"/>
      <c r="GRH54"/>
      <c r="GRI54"/>
      <c r="GRJ54"/>
      <c r="GRK54"/>
      <c r="GRL54"/>
      <c r="GRM54"/>
      <c r="GRN54"/>
      <c r="GRO54"/>
      <c r="GRP54"/>
      <c r="GRQ54"/>
      <c r="GRR54"/>
      <c r="GRS54"/>
      <c r="GRT54"/>
      <c r="GRU54"/>
      <c r="GRV54"/>
      <c r="GRW54"/>
      <c r="GRX54"/>
      <c r="GRY54"/>
      <c r="GRZ54"/>
      <c r="GSA54"/>
      <c r="GSB54"/>
      <c r="GSC54"/>
      <c r="GSD54"/>
      <c r="GSE54"/>
      <c r="GSF54"/>
      <c r="GSG54"/>
      <c r="GSH54"/>
      <c r="GSI54"/>
      <c r="GSJ54"/>
      <c r="GSK54"/>
      <c r="GSL54"/>
      <c r="GSM54"/>
      <c r="GSN54"/>
      <c r="GSO54"/>
      <c r="GSP54"/>
      <c r="GSQ54"/>
      <c r="GSR54"/>
      <c r="GSS54"/>
      <c r="GST54"/>
      <c r="GSU54"/>
      <c r="GSV54"/>
      <c r="GSW54"/>
      <c r="GSX54"/>
      <c r="GSY54"/>
      <c r="GSZ54"/>
      <c r="GTA54"/>
      <c r="GTB54"/>
      <c r="GTC54"/>
      <c r="GTD54"/>
      <c r="GTE54"/>
      <c r="GTF54"/>
      <c r="GTG54"/>
      <c r="GTH54"/>
      <c r="GTI54"/>
      <c r="GTJ54"/>
      <c r="GTK54"/>
      <c r="GTL54"/>
      <c r="GTM54"/>
      <c r="GTN54"/>
      <c r="GTO54"/>
      <c r="GTP54"/>
      <c r="GTQ54"/>
      <c r="GTR54"/>
      <c r="GTS54"/>
      <c r="GTT54"/>
      <c r="GTU54"/>
      <c r="GTV54"/>
      <c r="GTW54"/>
      <c r="GTX54"/>
      <c r="GTY54"/>
      <c r="GTZ54"/>
      <c r="GUA54"/>
      <c r="GUB54"/>
      <c r="GUC54"/>
      <c r="GUD54"/>
      <c r="GUE54"/>
      <c r="GUF54"/>
      <c r="GUG54"/>
      <c r="GUH54"/>
      <c r="GUI54"/>
      <c r="GUJ54"/>
      <c r="GUK54"/>
      <c r="GUL54"/>
      <c r="GUM54"/>
      <c r="GUN54"/>
      <c r="GUO54"/>
      <c r="GUP54"/>
      <c r="GUQ54"/>
      <c r="GUR54"/>
      <c r="GUS54"/>
      <c r="GUT54"/>
      <c r="GUU54"/>
      <c r="GUV54"/>
      <c r="GUW54"/>
      <c r="GUX54"/>
      <c r="GUY54"/>
      <c r="GUZ54"/>
      <c r="GVA54"/>
      <c r="GVB54"/>
      <c r="GVC54"/>
      <c r="GVD54"/>
      <c r="GVE54"/>
      <c r="GVF54"/>
      <c r="GVG54"/>
      <c r="GVH54"/>
      <c r="GVI54"/>
      <c r="GVJ54"/>
      <c r="GVK54"/>
      <c r="GVL54"/>
      <c r="GVM54"/>
      <c r="GVN54"/>
      <c r="GVO54"/>
      <c r="GVP54"/>
      <c r="GVQ54"/>
      <c r="GVR54"/>
      <c r="GVS54"/>
      <c r="GVT54"/>
      <c r="GVU54"/>
      <c r="GVV54"/>
      <c r="GVW54"/>
      <c r="GVX54"/>
      <c r="GVY54"/>
      <c r="GVZ54"/>
      <c r="GWA54"/>
      <c r="GWB54"/>
      <c r="GWC54"/>
      <c r="GWD54"/>
      <c r="GWE54"/>
      <c r="GWF54"/>
      <c r="GWG54"/>
      <c r="GWH54"/>
      <c r="GWI54"/>
      <c r="GWJ54"/>
      <c r="GWK54"/>
      <c r="GWL54"/>
      <c r="GWM54"/>
      <c r="GWN54"/>
      <c r="GWO54"/>
      <c r="GWP54"/>
      <c r="GWQ54"/>
      <c r="GWR54"/>
      <c r="GWS54"/>
      <c r="GWT54"/>
      <c r="GWU54"/>
      <c r="GWV54"/>
      <c r="GWW54"/>
      <c r="GWX54"/>
      <c r="GWY54"/>
      <c r="GWZ54"/>
      <c r="GXA54"/>
      <c r="GXB54"/>
      <c r="GXC54"/>
      <c r="GXD54"/>
      <c r="GXE54"/>
      <c r="GXF54"/>
      <c r="GXG54"/>
      <c r="GXH54"/>
      <c r="GXI54"/>
      <c r="GXJ54"/>
      <c r="GXK54"/>
      <c r="GXL54"/>
      <c r="GXM54"/>
      <c r="GXN54"/>
      <c r="GXO54"/>
      <c r="GXP54"/>
      <c r="GXQ54"/>
      <c r="GXR54"/>
      <c r="GXS54"/>
      <c r="GXT54"/>
      <c r="GXU54"/>
      <c r="GXV54"/>
      <c r="GXW54"/>
      <c r="GXX54"/>
      <c r="GXY54"/>
      <c r="GXZ54"/>
      <c r="GYA54"/>
      <c r="GYB54"/>
      <c r="GYC54"/>
      <c r="GYD54"/>
      <c r="GYE54"/>
      <c r="GYF54"/>
      <c r="GYG54"/>
      <c r="GYH54"/>
      <c r="GYI54"/>
      <c r="GYJ54"/>
      <c r="GYK54"/>
      <c r="GYL54"/>
      <c r="GYM54"/>
      <c r="GYN54"/>
      <c r="GYO54"/>
      <c r="GYP54"/>
      <c r="GYQ54"/>
      <c r="GYR54"/>
      <c r="GYS54"/>
      <c r="GYT54"/>
      <c r="GYU54"/>
      <c r="GYV54"/>
      <c r="GYW54"/>
      <c r="GYX54"/>
      <c r="GYY54"/>
      <c r="GYZ54"/>
      <c r="GZA54"/>
      <c r="GZB54"/>
      <c r="GZC54"/>
      <c r="GZD54"/>
      <c r="GZE54"/>
      <c r="GZF54"/>
      <c r="GZG54"/>
      <c r="GZH54"/>
      <c r="GZI54"/>
      <c r="GZJ54"/>
      <c r="GZK54"/>
      <c r="GZL54"/>
      <c r="GZM54"/>
      <c r="GZN54"/>
      <c r="GZO54"/>
      <c r="GZP54"/>
      <c r="GZQ54"/>
      <c r="GZR54"/>
      <c r="GZS54"/>
      <c r="GZT54"/>
      <c r="GZU54"/>
      <c r="GZV54"/>
      <c r="GZW54"/>
      <c r="GZX54"/>
      <c r="GZY54"/>
      <c r="GZZ54"/>
      <c r="HAA54"/>
      <c r="HAB54"/>
      <c r="HAC54"/>
      <c r="HAD54"/>
      <c r="HAE54"/>
      <c r="HAF54"/>
      <c r="HAG54"/>
      <c r="HAH54"/>
      <c r="HAI54"/>
      <c r="HAJ54"/>
      <c r="HAK54"/>
      <c r="HAL54"/>
      <c r="HAM54"/>
      <c r="HAN54"/>
      <c r="HAO54"/>
      <c r="HAP54"/>
      <c r="HAQ54"/>
      <c r="HAR54"/>
      <c r="HAS54"/>
      <c r="HAT54"/>
      <c r="HAU54"/>
      <c r="HAV54"/>
      <c r="HAW54"/>
      <c r="HAX54"/>
      <c r="HAY54"/>
      <c r="HAZ54"/>
      <c r="HBA54"/>
      <c r="HBB54"/>
      <c r="HBC54"/>
      <c r="HBD54"/>
      <c r="HBE54"/>
      <c r="HBF54"/>
      <c r="HBG54"/>
      <c r="HBH54"/>
      <c r="HBI54"/>
      <c r="HBJ54"/>
      <c r="HBK54"/>
      <c r="HBL54"/>
      <c r="HBM54"/>
      <c r="HBN54"/>
      <c r="HBO54"/>
      <c r="HBP54"/>
      <c r="HBQ54"/>
      <c r="HBR54"/>
      <c r="HBS54"/>
      <c r="HBT54"/>
      <c r="HBU54"/>
      <c r="HBV54"/>
      <c r="HBW54"/>
      <c r="HBX54"/>
      <c r="HBY54"/>
      <c r="HBZ54"/>
      <c r="HCA54"/>
      <c r="HCB54"/>
      <c r="HCC54"/>
      <c r="HCD54"/>
      <c r="HCE54"/>
      <c r="HCF54"/>
      <c r="HCG54"/>
      <c r="HCH54"/>
      <c r="HCI54"/>
      <c r="HCJ54"/>
      <c r="HCK54"/>
      <c r="HCL54"/>
      <c r="HCM54"/>
      <c r="HCN54"/>
      <c r="HCO54"/>
      <c r="HCP54"/>
      <c r="HCQ54"/>
      <c r="HCR54"/>
      <c r="HCS54"/>
      <c r="HCT54"/>
      <c r="HCU54"/>
      <c r="HCV54"/>
      <c r="HCW54"/>
      <c r="HCX54"/>
      <c r="HCY54"/>
      <c r="HCZ54"/>
      <c r="HDA54"/>
      <c r="HDB54"/>
      <c r="HDC54"/>
      <c r="HDD54"/>
      <c r="HDE54"/>
      <c r="HDF54"/>
      <c r="HDG54"/>
      <c r="HDH54"/>
      <c r="HDI54"/>
      <c r="HDJ54"/>
      <c r="HDK54"/>
      <c r="HDL54"/>
      <c r="HDM54"/>
      <c r="HDN54"/>
      <c r="HDO54"/>
      <c r="HDP54"/>
      <c r="HDQ54"/>
      <c r="HDR54"/>
      <c r="HDS54"/>
      <c r="HDT54"/>
      <c r="HDU54"/>
      <c r="HDV54"/>
      <c r="HDW54"/>
      <c r="HDX54"/>
      <c r="HDY54"/>
      <c r="HDZ54"/>
      <c r="HEA54"/>
      <c r="HEB54"/>
      <c r="HEC54"/>
      <c r="HED54"/>
      <c r="HEE54"/>
      <c r="HEF54"/>
      <c r="HEG54"/>
      <c r="HEH54"/>
      <c r="HEI54"/>
      <c r="HEJ54"/>
      <c r="HEK54"/>
      <c r="HEL54"/>
      <c r="HEM54"/>
      <c r="HEN54"/>
      <c r="HEO54"/>
      <c r="HEP54"/>
      <c r="HEQ54"/>
      <c r="HER54"/>
      <c r="HES54"/>
      <c r="HET54"/>
      <c r="HEU54"/>
      <c r="HEV54"/>
      <c r="HEW54"/>
      <c r="HEX54"/>
      <c r="HEY54"/>
      <c r="HEZ54"/>
      <c r="HFA54"/>
      <c r="HFB54"/>
      <c r="HFC54"/>
      <c r="HFD54"/>
      <c r="HFE54"/>
      <c r="HFF54"/>
      <c r="HFG54"/>
      <c r="HFH54"/>
      <c r="HFI54"/>
      <c r="HFJ54"/>
      <c r="HFK54"/>
      <c r="HFL54"/>
      <c r="HFM54"/>
      <c r="HFN54"/>
      <c r="HFO54"/>
      <c r="HFP54"/>
      <c r="HFQ54"/>
      <c r="HFR54"/>
      <c r="HFS54"/>
      <c r="HFT54"/>
      <c r="HFU54"/>
      <c r="HFV54"/>
      <c r="HFW54"/>
      <c r="HFX54"/>
      <c r="HFY54"/>
      <c r="HFZ54"/>
      <c r="HGA54"/>
      <c r="HGB54"/>
      <c r="HGC54"/>
      <c r="HGD54"/>
      <c r="HGE54"/>
      <c r="HGF54"/>
      <c r="HGG54"/>
      <c r="HGH54"/>
      <c r="HGI54"/>
      <c r="HGJ54"/>
      <c r="HGK54"/>
      <c r="HGL54"/>
      <c r="HGM54"/>
      <c r="HGN54"/>
      <c r="HGO54"/>
      <c r="HGP54"/>
      <c r="HGQ54"/>
      <c r="HGR54"/>
      <c r="HGS54"/>
      <c r="HGT54"/>
      <c r="HGU54"/>
      <c r="HGV54"/>
      <c r="HGW54"/>
      <c r="HGX54"/>
      <c r="HGY54"/>
      <c r="HGZ54"/>
      <c r="HHA54"/>
      <c r="HHB54"/>
      <c r="HHC54"/>
      <c r="HHD54"/>
      <c r="HHE54"/>
      <c r="HHF54"/>
      <c r="HHG54"/>
      <c r="HHH54"/>
      <c r="HHI54"/>
      <c r="HHJ54"/>
      <c r="HHK54"/>
      <c r="HHL54"/>
      <c r="HHM54"/>
      <c r="HHN54"/>
      <c r="HHO54"/>
      <c r="HHP54"/>
      <c r="HHQ54"/>
      <c r="HHR54"/>
      <c r="HHS54"/>
      <c r="HHT54"/>
      <c r="HHU54"/>
      <c r="HHV54"/>
      <c r="HHW54"/>
      <c r="HHX54"/>
      <c r="HHY54"/>
      <c r="HHZ54"/>
      <c r="HIA54"/>
      <c r="HIB54"/>
      <c r="HIC54"/>
      <c r="HID54"/>
      <c r="HIE54"/>
      <c r="HIF54"/>
      <c r="HIG54"/>
      <c r="HIH54"/>
      <c r="HII54"/>
      <c r="HIJ54"/>
      <c r="HIK54"/>
      <c r="HIL54"/>
      <c r="HIM54"/>
      <c r="HIN54"/>
      <c r="HIO54"/>
      <c r="HIP54"/>
      <c r="HIQ54"/>
      <c r="HIR54"/>
      <c r="HIS54"/>
      <c r="HIT54"/>
      <c r="HIU54"/>
      <c r="HIV54"/>
      <c r="HIW54"/>
      <c r="HIX54"/>
      <c r="HIY54"/>
      <c r="HIZ54"/>
      <c r="HJA54"/>
      <c r="HJB54"/>
      <c r="HJC54"/>
      <c r="HJD54"/>
      <c r="HJE54"/>
      <c r="HJF54"/>
      <c r="HJG54"/>
      <c r="HJH54"/>
      <c r="HJI54"/>
      <c r="HJJ54"/>
      <c r="HJK54"/>
      <c r="HJL54"/>
      <c r="HJM54"/>
      <c r="HJN54"/>
      <c r="HJO54"/>
      <c r="HJP54"/>
      <c r="HJQ54"/>
      <c r="HJR54"/>
      <c r="HJS54"/>
      <c r="HJT54"/>
      <c r="HJU54"/>
      <c r="HJV54"/>
      <c r="HJW54"/>
      <c r="HJX54"/>
      <c r="HJY54"/>
      <c r="HJZ54"/>
      <c r="HKA54"/>
      <c r="HKB54"/>
      <c r="HKC54"/>
      <c r="HKD54"/>
      <c r="HKE54"/>
      <c r="HKF54"/>
      <c r="HKG54"/>
      <c r="HKH54"/>
      <c r="HKI54"/>
      <c r="HKJ54"/>
      <c r="HKK54"/>
      <c r="HKL54"/>
      <c r="HKM54"/>
      <c r="HKN54"/>
      <c r="HKO54"/>
      <c r="HKP54"/>
      <c r="HKQ54"/>
      <c r="HKR54"/>
      <c r="HKS54"/>
      <c r="HKT54"/>
      <c r="HKU54"/>
      <c r="HKV54"/>
      <c r="HKW54"/>
      <c r="HKX54"/>
      <c r="HKY54"/>
      <c r="HKZ54"/>
      <c r="HLA54"/>
      <c r="HLB54"/>
      <c r="HLC54"/>
      <c r="HLD54"/>
      <c r="HLE54"/>
      <c r="HLF54"/>
      <c r="HLG54"/>
      <c r="HLH54"/>
      <c r="HLI54"/>
      <c r="HLJ54"/>
      <c r="HLK54"/>
      <c r="HLL54"/>
      <c r="HLM54"/>
      <c r="HLN54"/>
      <c r="HLO54"/>
      <c r="HLP54"/>
      <c r="HLQ54"/>
      <c r="HLR54"/>
      <c r="HLS54"/>
      <c r="HLT54"/>
      <c r="HLU54"/>
      <c r="HLV54"/>
      <c r="HLW54"/>
      <c r="HLX54"/>
      <c r="HLY54"/>
      <c r="HLZ54"/>
      <c r="HMA54"/>
      <c r="HMB54"/>
      <c r="HMC54"/>
      <c r="HMD54"/>
      <c r="HME54"/>
      <c r="HMF54"/>
      <c r="HMG54"/>
      <c r="HMH54"/>
      <c r="HMI54"/>
      <c r="HMJ54"/>
      <c r="HMK54"/>
      <c r="HML54"/>
      <c r="HMM54"/>
      <c r="HMN54"/>
      <c r="HMO54"/>
      <c r="HMP54"/>
      <c r="HMQ54"/>
      <c r="HMR54"/>
      <c r="HMS54"/>
      <c r="HMT54"/>
      <c r="HMU54"/>
      <c r="HMV54"/>
      <c r="HMW54"/>
      <c r="HMX54"/>
      <c r="HMY54"/>
      <c r="HMZ54"/>
      <c r="HNA54"/>
      <c r="HNB54"/>
      <c r="HNC54"/>
      <c r="HND54"/>
      <c r="HNE54"/>
      <c r="HNF54"/>
      <c r="HNG54"/>
      <c r="HNH54"/>
      <c r="HNI54"/>
      <c r="HNJ54"/>
      <c r="HNK54"/>
      <c r="HNL54"/>
      <c r="HNM54"/>
      <c r="HNN54"/>
      <c r="HNO54"/>
      <c r="HNP54"/>
      <c r="HNQ54"/>
      <c r="HNR54"/>
      <c r="HNS54"/>
      <c r="HNT54"/>
      <c r="HNU54"/>
      <c r="HNV54"/>
      <c r="HNW54"/>
      <c r="HNX54"/>
      <c r="HNY54"/>
      <c r="HNZ54"/>
      <c r="HOA54"/>
      <c r="HOB54"/>
      <c r="HOC54"/>
      <c r="HOD54"/>
      <c r="HOE54"/>
      <c r="HOF54"/>
      <c r="HOG54"/>
      <c r="HOH54"/>
      <c r="HOI54"/>
      <c r="HOJ54"/>
      <c r="HOK54"/>
      <c r="HOL54"/>
      <c r="HOM54"/>
      <c r="HON54"/>
      <c r="HOO54"/>
      <c r="HOP54"/>
      <c r="HOQ54"/>
      <c r="HOR54"/>
      <c r="HOS54"/>
      <c r="HOT54"/>
      <c r="HOU54"/>
      <c r="HOV54"/>
      <c r="HOW54"/>
      <c r="HOX54"/>
      <c r="HOY54"/>
      <c r="HOZ54"/>
      <c r="HPA54"/>
      <c r="HPB54"/>
      <c r="HPC54"/>
      <c r="HPD54"/>
      <c r="HPE54"/>
      <c r="HPF54"/>
      <c r="HPG54"/>
      <c r="HPH54"/>
      <c r="HPI54"/>
      <c r="HPJ54"/>
      <c r="HPK54"/>
      <c r="HPL54"/>
      <c r="HPM54"/>
      <c r="HPN54"/>
      <c r="HPO54"/>
      <c r="HPP54"/>
      <c r="HPQ54"/>
      <c r="HPR54"/>
      <c r="HPS54"/>
      <c r="HPT54"/>
      <c r="HPU54"/>
      <c r="HPV54"/>
      <c r="HPW54"/>
      <c r="HPX54"/>
      <c r="HPY54"/>
      <c r="HPZ54"/>
      <c r="HQA54"/>
      <c r="HQB54"/>
      <c r="HQC54"/>
      <c r="HQD54"/>
      <c r="HQE54"/>
      <c r="HQF54"/>
      <c r="HQG54"/>
      <c r="HQH54"/>
      <c r="HQI54"/>
      <c r="HQJ54"/>
      <c r="HQK54"/>
      <c r="HQL54"/>
      <c r="HQM54"/>
      <c r="HQN54"/>
      <c r="HQO54"/>
      <c r="HQP54"/>
      <c r="HQQ54"/>
      <c r="HQR54"/>
      <c r="HQS54"/>
      <c r="HQT54"/>
      <c r="HQU54"/>
      <c r="HQV54"/>
      <c r="HQW54"/>
      <c r="HQX54"/>
      <c r="HQY54"/>
      <c r="HQZ54"/>
      <c r="HRA54"/>
      <c r="HRB54"/>
      <c r="HRC54"/>
      <c r="HRD54"/>
      <c r="HRE54"/>
      <c r="HRF54"/>
      <c r="HRG54"/>
      <c r="HRH54"/>
      <c r="HRI54"/>
      <c r="HRJ54"/>
      <c r="HRK54"/>
      <c r="HRL54"/>
      <c r="HRM54"/>
      <c r="HRN54"/>
      <c r="HRO54"/>
      <c r="HRP54"/>
      <c r="HRQ54"/>
      <c r="HRR54"/>
      <c r="HRS54"/>
      <c r="HRT54"/>
      <c r="HRU54"/>
      <c r="HRV54"/>
      <c r="HRW54"/>
      <c r="HRX54"/>
      <c r="HRY54"/>
      <c r="HRZ54"/>
      <c r="HSA54"/>
      <c r="HSB54"/>
      <c r="HSC54"/>
      <c r="HSD54"/>
      <c r="HSE54"/>
      <c r="HSF54"/>
      <c r="HSG54"/>
      <c r="HSH54"/>
      <c r="HSI54"/>
      <c r="HSJ54"/>
      <c r="HSK54"/>
      <c r="HSL54"/>
      <c r="HSM54"/>
      <c r="HSN54"/>
      <c r="HSO54"/>
      <c r="HSP54"/>
      <c r="HSQ54"/>
      <c r="HSR54"/>
      <c r="HSS54"/>
      <c r="HST54"/>
      <c r="HSU54"/>
      <c r="HSV54"/>
      <c r="HSW54"/>
      <c r="HSX54"/>
      <c r="HSY54"/>
      <c r="HSZ54"/>
      <c r="HTA54"/>
      <c r="HTB54"/>
      <c r="HTC54"/>
      <c r="HTD54"/>
      <c r="HTE54"/>
      <c r="HTF54"/>
      <c r="HTG54"/>
      <c r="HTH54"/>
      <c r="HTI54"/>
      <c r="HTJ54"/>
      <c r="HTK54"/>
      <c r="HTL54"/>
      <c r="HTM54"/>
      <c r="HTN54"/>
      <c r="HTO54"/>
      <c r="HTP54"/>
      <c r="HTQ54"/>
      <c r="HTR54"/>
      <c r="HTS54"/>
      <c r="HTT54"/>
      <c r="HTU54"/>
      <c r="HTV54"/>
      <c r="HTW54"/>
      <c r="HTX54"/>
      <c r="HTY54"/>
      <c r="HTZ54"/>
      <c r="HUA54"/>
      <c r="HUB54"/>
      <c r="HUC54"/>
      <c r="HUD54"/>
      <c r="HUE54"/>
      <c r="HUF54"/>
      <c r="HUG54"/>
      <c r="HUH54"/>
      <c r="HUI54"/>
      <c r="HUJ54"/>
      <c r="HUK54"/>
      <c r="HUL54"/>
      <c r="HUM54"/>
      <c r="HUN54"/>
      <c r="HUO54"/>
      <c r="HUP54"/>
      <c r="HUQ54"/>
      <c r="HUR54"/>
      <c r="HUS54"/>
      <c r="HUT54"/>
      <c r="HUU54"/>
      <c r="HUV54"/>
      <c r="HUW54"/>
      <c r="HUX54"/>
      <c r="HUY54"/>
      <c r="HUZ54"/>
      <c r="HVA54"/>
      <c r="HVB54"/>
      <c r="HVC54"/>
      <c r="HVD54"/>
      <c r="HVE54"/>
      <c r="HVF54"/>
      <c r="HVG54"/>
      <c r="HVH54"/>
      <c r="HVI54"/>
      <c r="HVJ54"/>
      <c r="HVK54"/>
      <c r="HVL54"/>
      <c r="HVM54"/>
      <c r="HVN54"/>
      <c r="HVO54"/>
      <c r="HVP54"/>
      <c r="HVQ54"/>
      <c r="HVR54"/>
      <c r="HVS54"/>
      <c r="HVT54"/>
      <c r="HVU54"/>
      <c r="HVV54"/>
      <c r="HVW54"/>
      <c r="HVX54"/>
      <c r="HVY54"/>
      <c r="HVZ54"/>
      <c r="HWA54"/>
      <c r="HWB54"/>
      <c r="HWC54"/>
      <c r="HWD54"/>
      <c r="HWE54"/>
      <c r="HWF54"/>
      <c r="HWG54"/>
      <c r="HWH54"/>
      <c r="HWI54"/>
      <c r="HWJ54"/>
      <c r="HWK54"/>
      <c r="HWL54"/>
      <c r="HWM54"/>
      <c r="HWN54"/>
      <c r="HWO54"/>
      <c r="HWP54"/>
      <c r="HWQ54"/>
      <c r="HWR54"/>
      <c r="HWS54"/>
      <c r="HWT54"/>
      <c r="HWU54"/>
      <c r="HWV54"/>
      <c r="HWW54"/>
      <c r="HWX54"/>
      <c r="HWY54"/>
      <c r="HWZ54"/>
      <c r="HXA54"/>
      <c r="HXB54"/>
      <c r="HXC54"/>
      <c r="HXD54"/>
      <c r="HXE54"/>
      <c r="HXF54"/>
      <c r="HXG54"/>
      <c r="HXH54"/>
      <c r="HXI54"/>
      <c r="HXJ54"/>
      <c r="HXK54"/>
      <c r="HXL54"/>
      <c r="HXM54"/>
      <c r="HXN54"/>
      <c r="HXO54"/>
      <c r="HXP54"/>
      <c r="HXQ54"/>
      <c r="HXR54"/>
      <c r="HXS54"/>
      <c r="HXT54"/>
      <c r="HXU54"/>
      <c r="HXV54"/>
      <c r="HXW54"/>
      <c r="HXX54"/>
      <c r="HXY54"/>
      <c r="HXZ54"/>
      <c r="HYA54"/>
      <c r="HYB54"/>
      <c r="HYC54"/>
      <c r="HYD54"/>
      <c r="HYE54"/>
      <c r="HYF54"/>
      <c r="HYG54"/>
      <c r="HYH54"/>
      <c r="HYI54"/>
      <c r="HYJ54"/>
      <c r="HYK54"/>
      <c r="HYL54"/>
      <c r="HYM54"/>
      <c r="HYN54"/>
      <c r="HYO54"/>
      <c r="HYP54"/>
      <c r="HYQ54"/>
      <c r="HYR54"/>
      <c r="HYS54"/>
      <c r="HYT54"/>
      <c r="HYU54"/>
      <c r="HYV54"/>
      <c r="HYW54"/>
      <c r="HYX54"/>
      <c r="HYY54"/>
      <c r="HYZ54"/>
      <c r="HZA54"/>
      <c r="HZB54"/>
      <c r="HZC54"/>
      <c r="HZD54"/>
      <c r="HZE54"/>
      <c r="HZF54"/>
      <c r="HZG54"/>
      <c r="HZH54"/>
      <c r="HZI54"/>
      <c r="HZJ54"/>
      <c r="HZK54"/>
      <c r="HZL54"/>
      <c r="HZM54"/>
      <c r="HZN54"/>
      <c r="HZO54"/>
      <c r="HZP54"/>
      <c r="HZQ54"/>
      <c r="HZR54"/>
      <c r="HZS54"/>
      <c r="HZT54"/>
      <c r="HZU54"/>
      <c r="HZV54"/>
      <c r="HZW54"/>
      <c r="HZX54"/>
      <c r="HZY54"/>
      <c r="HZZ54"/>
      <c r="IAA54"/>
      <c r="IAB54"/>
      <c r="IAC54"/>
      <c r="IAD54"/>
      <c r="IAE54"/>
      <c r="IAF54"/>
      <c r="IAG54"/>
      <c r="IAH54"/>
      <c r="IAI54"/>
      <c r="IAJ54"/>
      <c r="IAK54"/>
      <c r="IAL54"/>
      <c r="IAM54"/>
      <c r="IAN54"/>
      <c r="IAO54"/>
      <c r="IAP54"/>
      <c r="IAQ54"/>
      <c r="IAR54"/>
      <c r="IAS54"/>
      <c r="IAT54"/>
      <c r="IAU54"/>
      <c r="IAV54"/>
      <c r="IAW54"/>
      <c r="IAX54"/>
      <c r="IAY54"/>
      <c r="IAZ54"/>
      <c r="IBA54"/>
      <c r="IBB54"/>
      <c r="IBC54"/>
      <c r="IBD54"/>
      <c r="IBE54"/>
      <c r="IBF54"/>
      <c r="IBG54"/>
      <c r="IBH54"/>
      <c r="IBI54"/>
      <c r="IBJ54"/>
      <c r="IBK54"/>
      <c r="IBL54"/>
      <c r="IBM54"/>
      <c r="IBN54"/>
      <c r="IBO54"/>
      <c r="IBP54"/>
      <c r="IBQ54"/>
      <c r="IBR54"/>
      <c r="IBS54"/>
      <c r="IBT54"/>
      <c r="IBU54"/>
      <c r="IBV54"/>
      <c r="IBW54"/>
      <c r="IBX54"/>
      <c r="IBY54"/>
      <c r="IBZ54"/>
      <c r="ICA54"/>
      <c r="ICB54"/>
      <c r="ICC54"/>
      <c r="ICD54"/>
      <c r="ICE54"/>
      <c r="ICF54"/>
      <c r="ICG54"/>
      <c r="ICH54"/>
      <c r="ICI54"/>
      <c r="ICJ54"/>
      <c r="ICK54"/>
      <c r="ICL54"/>
      <c r="ICM54"/>
      <c r="ICN54"/>
      <c r="ICO54"/>
      <c r="ICP54"/>
      <c r="ICQ54"/>
      <c r="ICR54"/>
      <c r="ICS54"/>
      <c r="ICT54"/>
      <c r="ICU54"/>
      <c r="ICV54"/>
      <c r="ICW54"/>
      <c r="ICX54"/>
      <c r="ICY54"/>
      <c r="ICZ54"/>
      <c r="IDA54"/>
      <c r="IDB54"/>
      <c r="IDC54"/>
      <c r="IDD54"/>
      <c r="IDE54"/>
      <c r="IDF54"/>
      <c r="IDG54"/>
      <c r="IDH54"/>
      <c r="IDI54"/>
      <c r="IDJ54"/>
      <c r="IDK54"/>
      <c r="IDL54"/>
      <c r="IDM54"/>
      <c r="IDN54"/>
      <c r="IDO54"/>
      <c r="IDP54"/>
      <c r="IDQ54"/>
      <c r="IDR54"/>
      <c r="IDS54"/>
      <c r="IDT54"/>
      <c r="IDU54"/>
      <c r="IDV54"/>
      <c r="IDW54"/>
      <c r="IDX54"/>
      <c r="IDY54"/>
      <c r="IDZ54"/>
      <c r="IEA54"/>
      <c r="IEB54"/>
      <c r="IEC54"/>
      <c r="IED54"/>
      <c r="IEE54"/>
      <c r="IEF54"/>
      <c r="IEG54"/>
      <c r="IEH54"/>
      <c r="IEI54"/>
      <c r="IEJ54"/>
      <c r="IEK54"/>
      <c r="IEL54"/>
      <c r="IEM54"/>
      <c r="IEN54"/>
      <c r="IEO54"/>
      <c r="IEP54"/>
      <c r="IEQ54"/>
      <c r="IER54"/>
      <c r="IES54"/>
      <c r="IET54"/>
      <c r="IEU54"/>
      <c r="IEV54"/>
      <c r="IEW54"/>
      <c r="IEX54"/>
      <c r="IEY54"/>
      <c r="IEZ54"/>
      <c r="IFA54"/>
      <c r="IFB54"/>
      <c r="IFC54"/>
      <c r="IFD54"/>
      <c r="IFE54"/>
      <c r="IFF54"/>
      <c r="IFG54"/>
      <c r="IFH54"/>
      <c r="IFI54"/>
      <c r="IFJ54"/>
      <c r="IFK54"/>
      <c r="IFL54"/>
      <c r="IFM54"/>
      <c r="IFN54"/>
      <c r="IFO54"/>
      <c r="IFP54"/>
      <c r="IFQ54"/>
      <c r="IFR54"/>
      <c r="IFS54"/>
      <c r="IFT54"/>
      <c r="IFU54"/>
      <c r="IFV54"/>
      <c r="IFW54"/>
      <c r="IFX54"/>
      <c r="IFY54"/>
      <c r="IFZ54"/>
      <c r="IGA54"/>
      <c r="IGB54"/>
      <c r="IGC54"/>
      <c r="IGD54"/>
      <c r="IGE54"/>
      <c r="IGF54"/>
      <c r="IGG54"/>
      <c r="IGH54"/>
      <c r="IGI54"/>
      <c r="IGJ54"/>
      <c r="IGK54"/>
      <c r="IGL54"/>
      <c r="IGM54"/>
      <c r="IGN54"/>
      <c r="IGO54"/>
      <c r="IGP54"/>
      <c r="IGQ54"/>
      <c r="IGR54"/>
      <c r="IGS54"/>
      <c r="IGT54"/>
      <c r="IGU54"/>
      <c r="IGV54"/>
      <c r="IGW54"/>
      <c r="IGX54"/>
      <c r="IGY54"/>
      <c r="IGZ54"/>
      <c r="IHA54"/>
      <c r="IHB54"/>
      <c r="IHC54"/>
      <c r="IHD54"/>
      <c r="IHE54"/>
      <c r="IHF54"/>
      <c r="IHG54"/>
      <c r="IHH54"/>
      <c r="IHI54"/>
      <c r="IHJ54"/>
      <c r="IHK54"/>
      <c r="IHL54"/>
      <c r="IHM54"/>
      <c r="IHN54"/>
      <c r="IHO54"/>
      <c r="IHP54"/>
      <c r="IHQ54"/>
      <c r="IHR54"/>
      <c r="IHS54"/>
      <c r="IHT54"/>
      <c r="IHU54"/>
      <c r="IHV54"/>
      <c r="IHW54"/>
      <c r="IHX54"/>
      <c r="IHY54"/>
      <c r="IHZ54"/>
      <c r="IIA54"/>
      <c r="IIB54"/>
      <c r="IIC54"/>
      <c r="IID54"/>
      <c r="IIE54"/>
      <c r="IIF54"/>
      <c r="IIG54"/>
      <c r="IIH54"/>
      <c r="III54"/>
      <c r="IIJ54"/>
      <c r="IIK54"/>
      <c r="IIL54"/>
      <c r="IIM54"/>
      <c r="IIN54"/>
      <c r="IIO54"/>
      <c r="IIP54"/>
      <c r="IIQ54"/>
      <c r="IIR54"/>
      <c r="IIS54"/>
      <c r="IIT54"/>
      <c r="IIU54"/>
      <c r="IIV54"/>
      <c r="IIW54"/>
      <c r="IIX54"/>
      <c r="IIY54"/>
      <c r="IIZ54"/>
      <c r="IJA54"/>
      <c r="IJB54"/>
      <c r="IJC54"/>
      <c r="IJD54"/>
      <c r="IJE54"/>
      <c r="IJF54"/>
      <c r="IJG54"/>
      <c r="IJH54"/>
      <c r="IJI54"/>
      <c r="IJJ54"/>
      <c r="IJK54"/>
      <c r="IJL54"/>
      <c r="IJM54"/>
      <c r="IJN54"/>
      <c r="IJO54"/>
      <c r="IJP54"/>
      <c r="IJQ54"/>
      <c r="IJR54"/>
      <c r="IJS54"/>
      <c r="IJT54"/>
      <c r="IJU54"/>
      <c r="IJV54"/>
      <c r="IJW54"/>
      <c r="IJX54"/>
      <c r="IJY54"/>
      <c r="IJZ54"/>
      <c r="IKA54"/>
      <c r="IKB54"/>
      <c r="IKC54"/>
      <c r="IKD54"/>
      <c r="IKE54"/>
      <c r="IKF54"/>
      <c r="IKG54"/>
      <c r="IKH54"/>
      <c r="IKI54"/>
      <c r="IKJ54"/>
      <c r="IKK54"/>
      <c r="IKL54"/>
      <c r="IKM54"/>
      <c r="IKN54"/>
      <c r="IKO54"/>
      <c r="IKP54"/>
      <c r="IKQ54"/>
      <c r="IKR54"/>
      <c r="IKS54"/>
      <c r="IKT54"/>
      <c r="IKU54"/>
      <c r="IKV54"/>
      <c r="IKW54"/>
      <c r="IKX54"/>
      <c r="IKY54"/>
      <c r="IKZ54"/>
      <c r="ILA54"/>
      <c r="ILB54"/>
      <c r="ILC54"/>
      <c r="ILD54"/>
      <c r="ILE54"/>
      <c r="ILF54"/>
      <c r="ILG54"/>
      <c r="ILH54"/>
      <c r="ILI54"/>
      <c r="ILJ54"/>
      <c r="ILK54"/>
      <c r="ILL54"/>
      <c r="ILM54"/>
      <c r="ILN54"/>
      <c r="ILO54"/>
      <c r="ILP54"/>
      <c r="ILQ54"/>
      <c r="ILR54"/>
      <c r="ILS54"/>
      <c r="ILT54"/>
      <c r="ILU54"/>
      <c r="ILV54"/>
      <c r="ILW54"/>
      <c r="ILX54"/>
      <c r="ILY54"/>
      <c r="ILZ54"/>
      <c r="IMA54"/>
      <c r="IMB54"/>
      <c r="IMC54"/>
      <c r="IMD54"/>
      <c r="IME54"/>
      <c r="IMF54"/>
      <c r="IMG54"/>
      <c r="IMH54"/>
      <c r="IMI54"/>
      <c r="IMJ54"/>
      <c r="IMK54"/>
      <c r="IML54"/>
      <c r="IMM54"/>
      <c r="IMN54"/>
      <c r="IMO54"/>
      <c r="IMP54"/>
      <c r="IMQ54"/>
      <c r="IMR54"/>
      <c r="IMS54"/>
      <c r="IMT54"/>
      <c r="IMU54"/>
      <c r="IMV54"/>
      <c r="IMW54"/>
      <c r="IMX54"/>
      <c r="IMY54"/>
      <c r="IMZ54"/>
      <c r="INA54"/>
      <c r="INB54"/>
      <c r="INC54"/>
      <c r="IND54"/>
      <c r="INE54"/>
      <c r="INF54"/>
      <c r="ING54"/>
      <c r="INH54"/>
      <c r="INI54"/>
      <c r="INJ54"/>
      <c r="INK54"/>
      <c r="INL54"/>
      <c r="INM54"/>
      <c r="INN54"/>
      <c r="INO54"/>
      <c r="INP54"/>
      <c r="INQ54"/>
      <c r="INR54"/>
      <c r="INS54"/>
      <c r="INT54"/>
      <c r="INU54"/>
      <c r="INV54"/>
      <c r="INW54"/>
      <c r="INX54"/>
      <c r="INY54"/>
      <c r="INZ54"/>
      <c r="IOA54"/>
      <c r="IOB54"/>
      <c r="IOC54"/>
      <c r="IOD54"/>
      <c r="IOE54"/>
      <c r="IOF54"/>
      <c r="IOG54"/>
      <c r="IOH54"/>
      <c r="IOI54"/>
      <c r="IOJ54"/>
      <c r="IOK54"/>
      <c r="IOL54"/>
      <c r="IOM54"/>
      <c r="ION54"/>
      <c r="IOO54"/>
      <c r="IOP54"/>
      <c r="IOQ54"/>
      <c r="IOR54"/>
      <c r="IOS54"/>
      <c r="IOT54"/>
      <c r="IOU54"/>
      <c r="IOV54"/>
      <c r="IOW54"/>
      <c r="IOX54"/>
      <c r="IOY54"/>
      <c r="IOZ54"/>
      <c r="IPA54"/>
      <c r="IPB54"/>
      <c r="IPC54"/>
      <c r="IPD54"/>
      <c r="IPE54"/>
      <c r="IPF54"/>
      <c r="IPG54"/>
      <c r="IPH54"/>
      <c r="IPI54"/>
      <c r="IPJ54"/>
      <c r="IPK54"/>
      <c r="IPL54"/>
      <c r="IPM54"/>
      <c r="IPN54"/>
      <c r="IPO54"/>
      <c r="IPP54"/>
      <c r="IPQ54"/>
      <c r="IPR54"/>
      <c r="IPS54"/>
      <c r="IPT54"/>
      <c r="IPU54"/>
      <c r="IPV54"/>
      <c r="IPW54"/>
      <c r="IPX54"/>
      <c r="IPY54"/>
      <c r="IPZ54"/>
      <c r="IQA54"/>
      <c r="IQB54"/>
      <c r="IQC54"/>
      <c r="IQD54"/>
      <c r="IQE54"/>
      <c r="IQF54"/>
      <c r="IQG54"/>
      <c r="IQH54"/>
      <c r="IQI54"/>
      <c r="IQJ54"/>
      <c r="IQK54"/>
      <c r="IQL54"/>
      <c r="IQM54"/>
      <c r="IQN54"/>
      <c r="IQO54"/>
      <c r="IQP54"/>
      <c r="IQQ54"/>
      <c r="IQR54"/>
      <c r="IQS54"/>
      <c r="IQT54"/>
      <c r="IQU54"/>
      <c r="IQV54"/>
      <c r="IQW54"/>
      <c r="IQX54"/>
      <c r="IQY54"/>
      <c r="IQZ54"/>
      <c r="IRA54"/>
      <c r="IRB54"/>
      <c r="IRC54"/>
      <c r="IRD54"/>
      <c r="IRE54"/>
      <c r="IRF54"/>
      <c r="IRG54"/>
      <c r="IRH54"/>
      <c r="IRI54"/>
      <c r="IRJ54"/>
      <c r="IRK54"/>
      <c r="IRL54"/>
      <c r="IRM54"/>
      <c r="IRN54"/>
      <c r="IRO54"/>
      <c r="IRP54"/>
      <c r="IRQ54"/>
      <c r="IRR54"/>
      <c r="IRS54"/>
      <c r="IRT54"/>
      <c r="IRU54"/>
      <c r="IRV54"/>
      <c r="IRW54"/>
      <c r="IRX54"/>
      <c r="IRY54"/>
      <c r="IRZ54"/>
      <c r="ISA54"/>
      <c r="ISB54"/>
      <c r="ISC54"/>
      <c r="ISD54"/>
      <c r="ISE54"/>
      <c r="ISF54"/>
      <c r="ISG54"/>
      <c r="ISH54"/>
      <c r="ISI54"/>
      <c r="ISJ54"/>
      <c r="ISK54"/>
      <c r="ISL54"/>
      <c r="ISM54"/>
      <c r="ISN54"/>
      <c r="ISO54"/>
      <c r="ISP54"/>
      <c r="ISQ54"/>
      <c r="ISR54"/>
      <c r="ISS54"/>
      <c r="IST54"/>
      <c r="ISU54"/>
      <c r="ISV54"/>
      <c r="ISW54"/>
      <c r="ISX54"/>
      <c r="ISY54"/>
      <c r="ISZ54"/>
      <c r="ITA54"/>
      <c r="ITB54"/>
      <c r="ITC54"/>
      <c r="ITD54"/>
      <c r="ITE54"/>
      <c r="ITF54"/>
      <c r="ITG54"/>
      <c r="ITH54"/>
      <c r="ITI54"/>
      <c r="ITJ54"/>
      <c r="ITK54"/>
      <c r="ITL54"/>
      <c r="ITM54"/>
      <c r="ITN54"/>
      <c r="ITO54"/>
      <c r="ITP54"/>
      <c r="ITQ54"/>
      <c r="ITR54"/>
      <c r="ITS54"/>
      <c r="ITT54"/>
      <c r="ITU54"/>
      <c r="ITV54"/>
      <c r="ITW54"/>
      <c r="ITX54"/>
      <c r="ITY54"/>
      <c r="ITZ54"/>
      <c r="IUA54"/>
      <c r="IUB54"/>
      <c r="IUC54"/>
      <c r="IUD54"/>
      <c r="IUE54"/>
      <c r="IUF54"/>
      <c r="IUG54"/>
      <c r="IUH54"/>
      <c r="IUI54"/>
      <c r="IUJ54"/>
      <c r="IUK54"/>
      <c r="IUL54"/>
      <c r="IUM54"/>
      <c r="IUN54"/>
      <c r="IUO54"/>
      <c r="IUP54"/>
      <c r="IUQ54"/>
      <c r="IUR54"/>
      <c r="IUS54"/>
      <c r="IUT54"/>
      <c r="IUU54"/>
      <c r="IUV54"/>
      <c r="IUW54"/>
      <c r="IUX54"/>
      <c r="IUY54"/>
      <c r="IUZ54"/>
      <c r="IVA54"/>
      <c r="IVB54"/>
      <c r="IVC54"/>
      <c r="IVD54"/>
      <c r="IVE54"/>
      <c r="IVF54"/>
      <c r="IVG54"/>
      <c r="IVH54"/>
      <c r="IVI54"/>
      <c r="IVJ54"/>
      <c r="IVK54"/>
      <c r="IVL54"/>
      <c r="IVM54"/>
      <c r="IVN54"/>
      <c r="IVO54"/>
      <c r="IVP54"/>
      <c r="IVQ54"/>
      <c r="IVR54"/>
      <c r="IVS54"/>
      <c r="IVT54"/>
      <c r="IVU54"/>
      <c r="IVV54"/>
      <c r="IVW54"/>
      <c r="IVX54"/>
      <c r="IVY54"/>
      <c r="IVZ54"/>
      <c r="IWA54"/>
      <c r="IWB54"/>
      <c r="IWC54"/>
      <c r="IWD54"/>
      <c r="IWE54"/>
      <c r="IWF54"/>
      <c r="IWG54"/>
      <c r="IWH54"/>
      <c r="IWI54"/>
      <c r="IWJ54"/>
      <c r="IWK54"/>
      <c r="IWL54"/>
      <c r="IWM54"/>
      <c r="IWN54"/>
      <c r="IWO54"/>
      <c r="IWP54"/>
      <c r="IWQ54"/>
      <c r="IWR54"/>
      <c r="IWS54"/>
      <c r="IWT54"/>
      <c r="IWU54"/>
      <c r="IWV54"/>
      <c r="IWW54"/>
      <c r="IWX54"/>
      <c r="IWY54"/>
      <c r="IWZ54"/>
      <c r="IXA54"/>
      <c r="IXB54"/>
      <c r="IXC54"/>
      <c r="IXD54"/>
      <c r="IXE54"/>
      <c r="IXF54"/>
      <c r="IXG54"/>
      <c r="IXH54"/>
      <c r="IXI54"/>
      <c r="IXJ54"/>
      <c r="IXK54"/>
      <c r="IXL54"/>
      <c r="IXM54"/>
      <c r="IXN54"/>
      <c r="IXO54"/>
      <c r="IXP54"/>
      <c r="IXQ54"/>
      <c r="IXR54"/>
      <c r="IXS54"/>
      <c r="IXT54"/>
      <c r="IXU54"/>
      <c r="IXV54"/>
      <c r="IXW54"/>
      <c r="IXX54"/>
      <c r="IXY54"/>
      <c r="IXZ54"/>
      <c r="IYA54"/>
      <c r="IYB54"/>
      <c r="IYC54"/>
      <c r="IYD54"/>
      <c r="IYE54"/>
      <c r="IYF54"/>
      <c r="IYG54"/>
      <c r="IYH54"/>
      <c r="IYI54"/>
      <c r="IYJ54"/>
      <c r="IYK54"/>
      <c r="IYL54"/>
      <c r="IYM54"/>
      <c r="IYN54"/>
      <c r="IYO54"/>
      <c r="IYP54"/>
      <c r="IYQ54"/>
      <c r="IYR54"/>
      <c r="IYS54"/>
      <c r="IYT54"/>
      <c r="IYU54"/>
      <c r="IYV54"/>
      <c r="IYW54"/>
      <c r="IYX54"/>
      <c r="IYY54"/>
      <c r="IYZ54"/>
      <c r="IZA54"/>
      <c r="IZB54"/>
      <c r="IZC54"/>
      <c r="IZD54"/>
      <c r="IZE54"/>
      <c r="IZF54"/>
      <c r="IZG54"/>
      <c r="IZH54"/>
      <c r="IZI54"/>
      <c r="IZJ54"/>
      <c r="IZK54"/>
      <c r="IZL54"/>
      <c r="IZM54"/>
      <c r="IZN54"/>
      <c r="IZO54"/>
      <c r="IZP54"/>
      <c r="IZQ54"/>
      <c r="IZR54"/>
      <c r="IZS54"/>
      <c r="IZT54"/>
      <c r="IZU54"/>
      <c r="IZV54"/>
      <c r="IZW54"/>
      <c r="IZX54"/>
      <c r="IZY54"/>
      <c r="IZZ54"/>
      <c r="JAA54"/>
      <c r="JAB54"/>
      <c r="JAC54"/>
      <c r="JAD54"/>
      <c r="JAE54"/>
      <c r="JAF54"/>
      <c r="JAG54"/>
      <c r="JAH54"/>
      <c r="JAI54"/>
      <c r="JAJ54"/>
      <c r="JAK54"/>
      <c r="JAL54"/>
      <c r="JAM54"/>
      <c r="JAN54"/>
      <c r="JAO54"/>
      <c r="JAP54"/>
      <c r="JAQ54"/>
      <c r="JAR54"/>
      <c r="JAS54"/>
      <c r="JAT54"/>
      <c r="JAU54"/>
      <c r="JAV54"/>
      <c r="JAW54"/>
      <c r="JAX54"/>
      <c r="JAY54"/>
      <c r="JAZ54"/>
      <c r="JBA54"/>
      <c r="JBB54"/>
      <c r="JBC54"/>
      <c r="JBD54"/>
      <c r="JBE54"/>
      <c r="JBF54"/>
      <c r="JBG54"/>
      <c r="JBH54"/>
      <c r="JBI54"/>
      <c r="JBJ54"/>
      <c r="JBK54"/>
      <c r="JBL54"/>
      <c r="JBM54"/>
      <c r="JBN54"/>
      <c r="JBO54"/>
      <c r="JBP54"/>
      <c r="JBQ54"/>
      <c r="JBR54"/>
      <c r="JBS54"/>
      <c r="JBT54"/>
      <c r="JBU54"/>
      <c r="JBV54"/>
      <c r="JBW54"/>
      <c r="JBX54"/>
      <c r="JBY54"/>
      <c r="JBZ54"/>
      <c r="JCA54"/>
      <c r="JCB54"/>
      <c r="JCC54"/>
      <c r="JCD54"/>
      <c r="JCE54"/>
      <c r="JCF54"/>
      <c r="JCG54"/>
      <c r="JCH54"/>
      <c r="JCI54"/>
      <c r="JCJ54"/>
      <c r="JCK54"/>
      <c r="JCL54"/>
      <c r="JCM54"/>
      <c r="JCN54"/>
      <c r="JCO54"/>
      <c r="JCP54"/>
      <c r="JCQ54"/>
      <c r="JCR54"/>
      <c r="JCS54"/>
      <c r="JCT54"/>
      <c r="JCU54"/>
      <c r="JCV54"/>
      <c r="JCW54"/>
      <c r="JCX54"/>
      <c r="JCY54"/>
      <c r="JCZ54"/>
      <c r="JDA54"/>
      <c r="JDB54"/>
      <c r="JDC54"/>
      <c r="JDD54"/>
      <c r="JDE54"/>
      <c r="JDF54"/>
      <c r="JDG54"/>
      <c r="JDH54"/>
      <c r="JDI54"/>
      <c r="JDJ54"/>
      <c r="JDK54"/>
      <c r="JDL54"/>
      <c r="JDM54"/>
      <c r="JDN54"/>
      <c r="JDO54"/>
      <c r="JDP54"/>
      <c r="JDQ54"/>
      <c r="JDR54"/>
      <c r="JDS54"/>
      <c r="JDT54"/>
      <c r="JDU54"/>
      <c r="JDV54"/>
      <c r="JDW54"/>
      <c r="JDX54"/>
      <c r="JDY54"/>
      <c r="JDZ54"/>
      <c r="JEA54"/>
      <c r="JEB54"/>
      <c r="JEC54"/>
      <c r="JED54"/>
      <c r="JEE54"/>
      <c r="JEF54"/>
      <c r="JEG54"/>
      <c r="JEH54"/>
      <c r="JEI54"/>
      <c r="JEJ54"/>
      <c r="JEK54"/>
      <c r="JEL54"/>
      <c r="JEM54"/>
      <c r="JEN54"/>
      <c r="JEO54"/>
      <c r="JEP54"/>
      <c r="JEQ54"/>
      <c r="JER54"/>
      <c r="JES54"/>
      <c r="JET54"/>
      <c r="JEU54"/>
      <c r="JEV54"/>
      <c r="JEW54"/>
      <c r="JEX54"/>
      <c r="JEY54"/>
      <c r="JEZ54"/>
      <c r="JFA54"/>
      <c r="JFB54"/>
      <c r="JFC54"/>
      <c r="JFD54"/>
      <c r="JFE54"/>
      <c r="JFF54"/>
      <c r="JFG54"/>
      <c r="JFH54"/>
      <c r="JFI54"/>
      <c r="JFJ54"/>
      <c r="JFK54"/>
      <c r="JFL54"/>
      <c r="JFM54"/>
      <c r="JFN54"/>
      <c r="JFO54"/>
      <c r="JFP54"/>
      <c r="JFQ54"/>
      <c r="JFR54"/>
      <c r="JFS54"/>
      <c r="JFT54"/>
      <c r="JFU54"/>
      <c r="JFV54"/>
      <c r="JFW54"/>
      <c r="JFX54"/>
      <c r="JFY54"/>
      <c r="JFZ54"/>
      <c r="JGA54"/>
      <c r="JGB54"/>
      <c r="JGC54"/>
      <c r="JGD54"/>
      <c r="JGE54"/>
      <c r="JGF54"/>
      <c r="JGG54"/>
      <c r="JGH54"/>
      <c r="JGI54"/>
      <c r="JGJ54"/>
      <c r="JGK54"/>
      <c r="JGL54"/>
      <c r="JGM54"/>
      <c r="JGN54"/>
      <c r="JGO54"/>
      <c r="JGP54"/>
      <c r="JGQ54"/>
      <c r="JGR54"/>
      <c r="JGS54"/>
      <c r="JGT54"/>
      <c r="JGU54"/>
      <c r="JGV54"/>
      <c r="JGW54"/>
      <c r="JGX54"/>
      <c r="JGY54"/>
      <c r="JGZ54"/>
      <c r="JHA54"/>
      <c r="JHB54"/>
      <c r="JHC54"/>
      <c r="JHD54"/>
      <c r="JHE54"/>
      <c r="JHF54"/>
      <c r="JHG54"/>
      <c r="JHH54"/>
      <c r="JHI54"/>
      <c r="JHJ54"/>
      <c r="JHK54"/>
      <c r="JHL54"/>
      <c r="JHM54"/>
      <c r="JHN54"/>
      <c r="JHO54"/>
      <c r="JHP54"/>
      <c r="JHQ54"/>
      <c r="JHR54"/>
      <c r="JHS54"/>
      <c r="JHT54"/>
      <c r="JHU54"/>
      <c r="JHV54"/>
      <c r="JHW54"/>
      <c r="JHX54"/>
      <c r="JHY54"/>
      <c r="JHZ54"/>
      <c r="JIA54"/>
      <c r="JIB54"/>
      <c r="JIC54"/>
      <c r="JID54"/>
      <c r="JIE54"/>
      <c r="JIF54"/>
      <c r="JIG54"/>
      <c r="JIH54"/>
      <c r="JII54"/>
      <c r="JIJ54"/>
      <c r="JIK54"/>
      <c r="JIL54"/>
      <c r="JIM54"/>
      <c r="JIN54"/>
      <c r="JIO54"/>
      <c r="JIP54"/>
      <c r="JIQ54"/>
      <c r="JIR54"/>
      <c r="JIS54"/>
      <c r="JIT54"/>
      <c r="JIU54"/>
      <c r="JIV54"/>
      <c r="JIW54"/>
      <c r="JIX54"/>
      <c r="JIY54"/>
      <c r="JIZ54"/>
      <c r="JJA54"/>
      <c r="JJB54"/>
      <c r="JJC54"/>
      <c r="JJD54"/>
      <c r="JJE54"/>
      <c r="JJF54"/>
      <c r="JJG54"/>
      <c r="JJH54"/>
      <c r="JJI54"/>
      <c r="JJJ54"/>
      <c r="JJK54"/>
      <c r="JJL54"/>
      <c r="JJM54"/>
      <c r="JJN54"/>
      <c r="JJO54"/>
      <c r="JJP54"/>
      <c r="JJQ54"/>
      <c r="JJR54"/>
      <c r="JJS54"/>
      <c r="JJT54"/>
      <c r="JJU54"/>
      <c r="JJV54"/>
      <c r="JJW54"/>
      <c r="JJX54"/>
      <c r="JJY54"/>
      <c r="JJZ54"/>
      <c r="JKA54"/>
      <c r="JKB54"/>
      <c r="JKC54"/>
      <c r="JKD54"/>
      <c r="JKE54"/>
      <c r="JKF54"/>
      <c r="JKG54"/>
      <c r="JKH54"/>
      <c r="JKI54"/>
      <c r="JKJ54"/>
      <c r="JKK54"/>
      <c r="JKL54"/>
      <c r="JKM54"/>
      <c r="JKN54"/>
      <c r="JKO54"/>
      <c r="JKP54"/>
      <c r="JKQ54"/>
      <c r="JKR54"/>
      <c r="JKS54"/>
      <c r="JKT54"/>
      <c r="JKU54"/>
      <c r="JKV54"/>
      <c r="JKW54"/>
      <c r="JKX54"/>
      <c r="JKY54"/>
      <c r="JKZ54"/>
      <c r="JLA54"/>
      <c r="JLB54"/>
      <c r="JLC54"/>
      <c r="JLD54"/>
      <c r="JLE54"/>
      <c r="JLF54"/>
      <c r="JLG54"/>
      <c r="JLH54"/>
      <c r="JLI54"/>
      <c r="JLJ54"/>
      <c r="JLK54"/>
      <c r="JLL54"/>
      <c r="JLM54"/>
      <c r="JLN54"/>
      <c r="JLO54"/>
      <c r="JLP54"/>
      <c r="JLQ54"/>
      <c r="JLR54"/>
      <c r="JLS54"/>
      <c r="JLT54"/>
      <c r="JLU54"/>
      <c r="JLV54"/>
      <c r="JLW54"/>
      <c r="JLX54"/>
      <c r="JLY54"/>
      <c r="JLZ54"/>
      <c r="JMA54"/>
      <c r="JMB54"/>
      <c r="JMC54"/>
      <c r="JMD54"/>
      <c r="JME54"/>
      <c r="JMF54"/>
      <c r="JMG54"/>
      <c r="JMH54"/>
      <c r="JMI54"/>
      <c r="JMJ54"/>
      <c r="JMK54"/>
      <c r="JML54"/>
      <c r="JMM54"/>
      <c r="JMN54"/>
      <c r="JMO54"/>
      <c r="JMP54"/>
      <c r="JMQ54"/>
      <c r="JMR54"/>
      <c r="JMS54"/>
      <c r="JMT54"/>
      <c r="JMU54"/>
      <c r="JMV54"/>
      <c r="JMW54"/>
      <c r="JMX54"/>
      <c r="JMY54"/>
      <c r="JMZ54"/>
      <c r="JNA54"/>
      <c r="JNB54"/>
      <c r="JNC54"/>
      <c r="JND54"/>
      <c r="JNE54"/>
      <c r="JNF54"/>
      <c r="JNG54"/>
      <c r="JNH54"/>
      <c r="JNI54"/>
      <c r="JNJ54"/>
      <c r="JNK54"/>
      <c r="JNL54"/>
      <c r="JNM54"/>
      <c r="JNN54"/>
      <c r="JNO54"/>
      <c r="JNP54"/>
      <c r="JNQ54"/>
      <c r="JNR54"/>
      <c r="JNS54"/>
      <c r="JNT54"/>
      <c r="JNU54"/>
      <c r="JNV54"/>
      <c r="JNW54"/>
      <c r="JNX54"/>
      <c r="JNY54"/>
      <c r="JNZ54"/>
      <c r="JOA54"/>
      <c r="JOB54"/>
      <c r="JOC54"/>
      <c r="JOD54"/>
      <c r="JOE54"/>
      <c r="JOF54"/>
      <c r="JOG54"/>
      <c r="JOH54"/>
      <c r="JOI54"/>
      <c r="JOJ54"/>
      <c r="JOK54"/>
      <c r="JOL54"/>
      <c r="JOM54"/>
      <c r="JON54"/>
      <c r="JOO54"/>
      <c r="JOP54"/>
      <c r="JOQ54"/>
      <c r="JOR54"/>
      <c r="JOS54"/>
      <c r="JOT54"/>
      <c r="JOU54"/>
      <c r="JOV54"/>
      <c r="JOW54"/>
      <c r="JOX54"/>
      <c r="JOY54"/>
      <c r="JOZ54"/>
      <c r="JPA54"/>
      <c r="JPB54"/>
      <c r="JPC54"/>
      <c r="JPD54"/>
      <c r="JPE54"/>
      <c r="JPF54"/>
      <c r="JPG54"/>
      <c r="JPH54"/>
      <c r="JPI54"/>
      <c r="JPJ54"/>
      <c r="JPK54"/>
      <c r="JPL54"/>
      <c r="JPM54"/>
      <c r="JPN54"/>
      <c r="JPO54"/>
      <c r="JPP54"/>
      <c r="JPQ54"/>
      <c r="JPR54"/>
      <c r="JPS54"/>
      <c r="JPT54"/>
      <c r="JPU54"/>
      <c r="JPV54"/>
      <c r="JPW54"/>
      <c r="JPX54"/>
      <c r="JPY54"/>
      <c r="JPZ54"/>
      <c r="JQA54"/>
      <c r="JQB54"/>
      <c r="JQC54"/>
      <c r="JQD54"/>
      <c r="JQE54"/>
      <c r="JQF54"/>
      <c r="JQG54"/>
      <c r="JQH54"/>
      <c r="JQI54"/>
      <c r="JQJ54"/>
      <c r="JQK54"/>
      <c r="JQL54"/>
      <c r="JQM54"/>
      <c r="JQN54"/>
      <c r="JQO54"/>
      <c r="JQP54"/>
      <c r="JQQ54"/>
      <c r="JQR54"/>
      <c r="JQS54"/>
      <c r="JQT54"/>
      <c r="JQU54"/>
      <c r="JQV54"/>
      <c r="JQW54"/>
      <c r="JQX54"/>
      <c r="JQY54"/>
      <c r="JQZ54"/>
      <c r="JRA54"/>
      <c r="JRB54"/>
      <c r="JRC54"/>
      <c r="JRD54"/>
      <c r="JRE54"/>
      <c r="JRF54"/>
      <c r="JRG54"/>
      <c r="JRH54"/>
      <c r="JRI54"/>
      <c r="JRJ54"/>
      <c r="JRK54"/>
      <c r="JRL54"/>
      <c r="JRM54"/>
      <c r="JRN54"/>
      <c r="JRO54"/>
      <c r="JRP54"/>
      <c r="JRQ54"/>
      <c r="JRR54"/>
      <c r="JRS54"/>
      <c r="JRT54"/>
      <c r="JRU54"/>
      <c r="JRV54"/>
      <c r="JRW54"/>
      <c r="JRX54"/>
      <c r="JRY54"/>
      <c r="JRZ54"/>
      <c r="JSA54"/>
      <c r="JSB54"/>
      <c r="JSC54"/>
      <c r="JSD54"/>
      <c r="JSE54"/>
      <c r="JSF54"/>
      <c r="JSG54"/>
      <c r="JSH54"/>
      <c r="JSI54"/>
      <c r="JSJ54"/>
      <c r="JSK54"/>
      <c r="JSL54"/>
      <c r="JSM54"/>
      <c r="JSN54"/>
      <c r="JSO54"/>
      <c r="JSP54"/>
      <c r="JSQ54"/>
      <c r="JSR54"/>
      <c r="JSS54"/>
      <c r="JST54"/>
      <c r="JSU54"/>
      <c r="JSV54"/>
      <c r="JSW54"/>
      <c r="JSX54"/>
      <c r="JSY54"/>
      <c r="JSZ54"/>
      <c r="JTA54"/>
      <c r="JTB54"/>
      <c r="JTC54"/>
      <c r="JTD54"/>
      <c r="JTE54"/>
      <c r="JTF54"/>
      <c r="JTG54"/>
      <c r="JTH54"/>
      <c r="JTI54"/>
      <c r="JTJ54"/>
      <c r="JTK54"/>
      <c r="JTL54"/>
      <c r="JTM54"/>
      <c r="JTN54"/>
      <c r="JTO54"/>
      <c r="JTP54"/>
      <c r="JTQ54"/>
      <c r="JTR54"/>
      <c r="JTS54"/>
      <c r="JTT54"/>
      <c r="JTU54"/>
      <c r="JTV54"/>
      <c r="JTW54"/>
      <c r="JTX54"/>
      <c r="JTY54"/>
      <c r="JTZ54"/>
      <c r="JUA54"/>
      <c r="JUB54"/>
      <c r="JUC54"/>
      <c r="JUD54"/>
      <c r="JUE54"/>
      <c r="JUF54"/>
      <c r="JUG54"/>
      <c r="JUH54"/>
      <c r="JUI54"/>
      <c r="JUJ54"/>
      <c r="JUK54"/>
      <c r="JUL54"/>
      <c r="JUM54"/>
      <c r="JUN54"/>
      <c r="JUO54"/>
      <c r="JUP54"/>
      <c r="JUQ54"/>
      <c r="JUR54"/>
      <c r="JUS54"/>
      <c r="JUT54"/>
      <c r="JUU54"/>
      <c r="JUV54"/>
      <c r="JUW54"/>
      <c r="JUX54"/>
      <c r="JUY54"/>
      <c r="JUZ54"/>
      <c r="JVA54"/>
      <c r="JVB54"/>
      <c r="JVC54"/>
      <c r="JVD54"/>
      <c r="JVE54"/>
      <c r="JVF54"/>
      <c r="JVG54"/>
      <c r="JVH54"/>
      <c r="JVI54"/>
      <c r="JVJ54"/>
      <c r="JVK54"/>
      <c r="JVL54"/>
      <c r="JVM54"/>
      <c r="JVN54"/>
      <c r="JVO54"/>
      <c r="JVP54"/>
      <c r="JVQ54"/>
      <c r="JVR54"/>
      <c r="JVS54"/>
      <c r="JVT54"/>
      <c r="JVU54"/>
      <c r="JVV54"/>
      <c r="JVW54"/>
      <c r="JVX54"/>
      <c r="JVY54"/>
      <c r="JVZ54"/>
      <c r="JWA54"/>
      <c r="JWB54"/>
      <c r="JWC54"/>
      <c r="JWD54"/>
      <c r="JWE54"/>
      <c r="JWF54"/>
      <c r="JWG54"/>
      <c r="JWH54"/>
      <c r="JWI54"/>
      <c r="JWJ54"/>
      <c r="JWK54"/>
      <c r="JWL54"/>
      <c r="JWM54"/>
      <c r="JWN54"/>
      <c r="JWO54"/>
      <c r="JWP54"/>
      <c r="JWQ54"/>
      <c r="JWR54"/>
      <c r="JWS54"/>
      <c r="JWT54"/>
      <c r="JWU54"/>
      <c r="JWV54"/>
      <c r="JWW54"/>
      <c r="JWX54"/>
      <c r="JWY54"/>
      <c r="JWZ54"/>
      <c r="JXA54"/>
      <c r="JXB54"/>
      <c r="JXC54"/>
      <c r="JXD54"/>
      <c r="JXE54"/>
      <c r="JXF54"/>
      <c r="JXG54"/>
      <c r="JXH54"/>
      <c r="JXI54"/>
      <c r="JXJ54"/>
      <c r="JXK54"/>
      <c r="JXL54"/>
      <c r="JXM54"/>
      <c r="JXN54"/>
      <c r="JXO54"/>
      <c r="JXP54"/>
      <c r="JXQ54"/>
      <c r="JXR54"/>
      <c r="JXS54"/>
      <c r="JXT54"/>
      <c r="JXU54"/>
      <c r="JXV54"/>
      <c r="JXW54"/>
      <c r="JXX54"/>
      <c r="JXY54"/>
      <c r="JXZ54"/>
      <c r="JYA54"/>
      <c r="JYB54"/>
      <c r="JYC54"/>
      <c r="JYD54"/>
      <c r="JYE54"/>
      <c r="JYF54"/>
      <c r="JYG54"/>
      <c r="JYH54"/>
      <c r="JYI54"/>
      <c r="JYJ54"/>
      <c r="JYK54"/>
      <c r="JYL54"/>
      <c r="JYM54"/>
      <c r="JYN54"/>
      <c r="JYO54"/>
      <c r="JYP54"/>
      <c r="JYQ54"/>
      <c r="JYR54"/>
      <c r="JYS54"/>
      <c r="JYT54"/>
      <c r="JYU54"/>
      <c r="JYV54"/>
      <c r="JYW54"/>
      <c r="JYX54"/>
      <c r="JYY54"/>
      <c r="JYZ54"/>
      <c r="JZA54"/>
      <c r="JZB54"/>
      <c r="JZC54"/>
      <c r="JZD54"/>
      <c r="JZE54"/>
      <c r="JZF54"/>
      <c r="JZG54"/>
      <c r="JZH54"/>
      <c r="JZI54"/>
      <c r="JZJ54"/>
      <c r="JZK54"/>
      <c r="JZL54"/>
      <c r="JZM54"/>
      <c r="JZN54"/>
      <c r="JZO54"/>
      <c r="JZP54"/>
      <c r="JZQ54"/>
      <c r="JZR54"/>
      <c r="JZS54"/>
      <c r="JZT54"/>
      <c r="JZU54"/>
      <c r="JZV54"/>
      <c r="JZW54"/>
      <c r="JZX54"/>
      <c r="JZY54"/>
      <c r="JZZ54"/>
      <c r="KAA54"/>
      <c r="KAB54"/>
      <c r="KAC54"/>
      <c r="KAD54"/>
      <c r="KAE54"/>
      <c r="KAF54"/>
      <c r="KAG54"/>
      <c r="KAH54"/>
      <c r="KAI54"/>
      <c r="KAJ54"/>
      <c r="KAK54"/>
      <c r="KAL54"/>
      <c r="KAM54"/>
      <c r="KAN54"/>
      <c r="KAO54"/>
      <c r="KAP54"/>
      <c r="KAQ54"/>
      <c r="KAR54"/>
      <c r="KAS54"/>
      <c r="KAT54"/>
      <c r="KAU54"/>
      <c r="KAV54"/>
      <c r="KAW54"/>
      <c r="KAX54"/>
      <c r="KAY54"/>
      <c r="KAZ54"/>
      <c r="KBA54"/>
      <c r="KBB54"/>
      <c r="KBC54"/>
      <c r="KBD54"/>
      <c r="KBE54"/>
      <c r="KBF54"/>
      <c r="KBG54"/>
      <c r="KBH54"/>
      <c r="KBI54"/>
      <c r="KBJ54"/>
      <c r="KBK54"/>
      <c r="KBL54"/>
      <c r="KBM54"/>
      <c r="KBN54"/>
      <c r="KBO54"/>
      <c r="KBP54"/>
      <c r="KBQ54"/>
      <c r="KBR54"/>
      <c r="KBS54"/>
      <c r="KBT54"/>
      <c r="KBU54"/>
      <c r="KBV54"/>
      <c r="KBW54"/>
      <c r="KBX54"/>
      <c r="KBY54"/>
      <c r="KBZ54"/>
      <c r="KCA54"/>
      <c r="KCB54"/>
      <c r="KCC54"/>
      <c r="KCD54"/>
      <c r="KCE54"/>
      <c r="KCF54"/>
      <c r="KCG54"/>
      <c r="KCH54"/>
      <c r="KCI54"/>
      <c r="KCJ54"/>
      <c r="KCK54"/>
      <c r="KCL54"/>
      <c r="KCM54"/>
      <c r="KCN54"/>
      <c r="KCO54"/>
      <c r="KCP54"/>
      <c r="KCQ54"/>
      <c r="KCR54"/>
      <c r="KCS54"/>
      <c r="KCT54"/>
      <c r="KCU54"/>
      <c r="KCV54"/>
      <c r="KCW54"/>
      <c r="KCX54"/>
      <c r="KCY54"/>
      <c r="KCZ54"/>
      <c r="KDA54"/>
      <c r="KDB54"/>
      <c r="KDC54"/>
      <c r="KDD54"/>
      <c r="KDE54"/>
      <c r="KDF54"/>
      <c r="KDG54"/>
      <c r="KDH54"/>
      <c r="KDI54"/>
      <c r="KDJ54"/>
      <c r="KDK54"/>
      <c r="KDL54"/>
      <c r="KDM54"/>
      <c r="KDN54"/>
      <c r="KDO54"/>
      <c r="KDP54"/>
      <c r="KDQ54"/>
      <c r="KDR54"/>
      <c r="KDS54"/>
      <c r="KDT54"/>
      <c r="KDU54"/>
      <c r="KDV54"/>
      <c r="KDW54"/>
      <c r="KDX54"/>
      <c r="KDY54"/>
      <c r="KDZ54"/>
      <c r="KEA54"/>
      <c r="KEB54"/>
      <c r="KEC54"/>
      <c r="KED54"/>
      <c r="KEE54"/>
      <c r="KEF54"/>
      <c r="KEG54"/>
      <c r="KEH54"/>
      <c r="KEI54"/>
      <c r="KEJ54"/>
      <c r="KEK54"/>
      <c r="KEL54"/>
      <c r="KEM54"/>
      <c r="KEN54"/>
      <c r="KEO54"/>
      <c r="KEP54"/>
      <c r="KEQ54"/>
      <c r="KER54"/>
      <c r="KES54"/>
      <c r="KET54"/>
      <c r="KEU54"/>
      <c r="KEV54"/>
      <c r="KEW54"/>
      <c r="KEX54"/>
      <c r="KEY54"/>
      <c r="KEZ54"/>
      <c r="KFA54"/>
      <c r="KFB54"/>
      <c r="KFC54"/>
      <c r="KFD54"/>
      <c r="KFE54"/>
      <c r="KFF54"/>
      <c r="KFG54"/>
      <c r="KFH54"/>
      <c r="KFI54"/>
      <c r="KFJ54"/>
      <c r="KFK54"/>
      <c r="KFL54"/>
      <c r="KFM54"/>
      <c r="KFN54"/>
      <c r="KFO54"/>
      <c r="KFP54"/>
      <c r="KFQ54"/>
      <c r="KFR54"/>
      <c r="KFS54"/>
      <c r="KFT54"/>
      <c r="KFU54"/>
      <c r="KFV54"/>
      <c r="KFW54"/>
      <c r="KFX54"/>
      <c r="KFY54"/>
      <c r="KFZ54"/>
      <c r="KGA54"/>
      <c r="KGB54"/>
      <c r="KGC54"/>
      <c r="KGD54"/>
      <c r="KGE54"/>
      <c r="KGF54"/>
      <c r="KGG54"/>
      <c r="KGH54"/>
      <c r="KGI54"/>
      <c r="KGJ54"/>
      <c r="KGK54"/>
      <c r="KGL54"/>
      <c r="KGM54"/>
      <c r="KGN54"/>
      <c r="KGO54"/>
      <c r="KGP54"/>
      <c r="KGQ54"/>
      <c r="KGR54"/>
      <c r="KGS54"/>
      <c r="KGT54"/>
      <c r="KGU54"/>
      <c r="KGV54"/>
      <c r="KGW54"/>
      <c r="KGX54"/>
      <c r="KGY54"/>
      <c r="KGZ54"/>
      <c r="KHA54"/>
      <c r="KHB54"/>
      <c r="KHC54"/>
      <c r="KHD54"/>
      <c r="KHE54"/>
      <c r="KHF54"/>
      <c r="KHG54"/>
      <c r="KHH54"/>
      <c r="KHI54"/>
      <c r="KHJ54"/>
      <c r="KHK54"/>
      <c r="KHL54"/>
      <c r="KHM54"/>
      <c r="KHN54"/>
      <c r="KHO54"/>
      <c r="KHP54"/>
      <c r="KHQ54"/>
      <c r="KHR54"/>
      <c r="KHS54"/>
      <c r="KHT54"/>
      <c r="KHU54"/>
      <c r="KHV54"/>
      <c r="KHW54"/>
      <c r="KHX54"/>
      <c r="KHY54"/>
      <c r="KHZ54"/>
      <c r="KIA54"/>
      <c r="KIB54"/>
      <c r="KIC54"/>
      <c r="KID54"/>
      <c r="KIE54"/>
      <c r="KIF54"/>
      <c r="KIG54"/>
      <c r="KIH54"/>
      <c r="KII54"/>
      <c r="KIJ54"/>
      <c r="KIK54"/>
      <c r="KIL54"/>
      <c r="KIM54"/>
      <c r="KIN54"/>
      <c r="KIO54"/>
      <c r="KIP54"/>
      <c r="KIQ54"/>
      <c r="KIR54"/>
      <c r="KIS54"/>
      <c r="KIT54"/>
      <c r="KIU54"/>
      <c r="KIV54"/>
      <c r="KIW54"/>
      <c r="KIX54"/>
      <c r="KIY54"/>
      <c r="KIZ54"/>
      <c r="KJA54"/>
      <c r="KJB54"/>
      <c r="KJC54"/>
      <c r="KJD54"/>
      <c r="KJE54"/>
      <c r="KJF54"/>
      <c r="KJG54"/>
      <c r="KJH54"/>
      <c r="KJI54"/>
      <c r="KJJ54"/>
      <c r="KJK54"/>
      <c r="KJL54"/>
      <c r="KJM54"/>
      <c r="KJN54"/>
      <c r="KJO54"/>
      <c r="KJP54"/>
      <c r="KJQ54"/>
      <c r="KJR54"/>
      <c r="KJS54"/>
      <c r="KJT54"/>
      <c r="KJU54"/>
      <c r="KJV54"/>
      <c r="KJW54"/>
      <c r="KJX54"/>
      <c r="KJY54"/>
      <c r="KJZ54"/>
      <c r="KKA54"/>
      <c r="KKB54"/>
      <c r="KKC54"/>
      <c r="KKD54"/>
      <c r="KKE54"/>
      <c r="KKF54"/>
      <c r="KKG54"/>
      <c r="KKH54"/>
      <c r="KKI54"/>
      <c r="KKJ54"/>
      <c r="KKK54"/>
      <c r="KKL54"/>
      <c r="KKM54"/>
      <c r="KKN54"/>
      <c r="KKO54"/>
      <c r="KKP54"/>
      <c r="KKQ54"/>
      <c r="KKR54"/>
      <c r="KKS54"/>
      <c r="KKT54"/>
      <c r="KKU54"/>
      <c r="KKV54"/>
      <c r="KKW54"/>
      <c r="KKX54"/>
      <c r="KKY54"/>
      <c r="KKZ54"/>
      <c r="KLA54"/>
      <c r="KLB54"/>
      <c r="KLC54"/>
      <c r="KLD54"/>
      <c r="KLE54"/>
      <c r="KLF54"/>
      <c r="KLG54"/>
      <c r="KLH54"/>
      <c r="KLI54"/>
      <c r="KLJ54"/>
      <c r="KLK54"/>
      <c r="KLL54"/>
      <c r="KLM54"/>
      <c r="KLN54"/>
      <c r="KLO54"/>
      <c r="KLP54"/>
      <c r="KLQ54"/>
      <c r="KLR54"/>
      <c r="KLS54"/>
      <c r="KLT54"/>
      <c r="KLU54"/>
      <c r="KLV54"/>
      <c r="KLW54"/>
      <c r="KLX54"/>
      <c r="KLY54"/>
      <c r="KLZ54"/>
      <c r="KMA54"/>
      <c r="KMB54"/>
      <c r="KMC54"/>
      <c r="KMD54"/>
      <c r="KME54"/>
      <c r="KMF54"/>
      <c r="KMG54"/>
      <c r="KMH54"/>
      <c r="KMI54"/>
      <c r="KMJ54"/>
      <c r="KMK54"/>
      <c r="KML54"/>
      <c r="KMM54"/>
      <c r="KMN54"/>
      <c r="KMO54"/>
      <c r="KMP54"/>
      <c r="KMQ54"/>
      <c r="KMR54"/>
      <c r="KMS54"/>
      <c r="KMT54"/>
      <c r="KMU54"/>
      <c r="KMV54"/>
      <c r="KMW54"/>
      <c r="KMX54"/>
      <c r="KMY54"/>
      <c r="KMZ54"/>
      <c r="KNA54"/>
      <c r="KNB54"/>
      <c r="KNC54"/>
      <c r="KND54"/>
      <c r="KNE54"/>
      <c r="KNF54"/>
      <c r="KNG54"/>
      <c r="KNH54"/>
      <c r="KNI54"/>
      <c r="KNJ54"/>
      <c r="KNK54"/>
      <c r="KNL54"/>
      <c r="KNM54"/>
      <c r="KNN54"/>
      <c r="KNO54"/>
      <c r="KNP54"/>
      <c r="KNQ54"/>
      <c r="KNR54"/>
      <c r="KNS54"/>
      <c r="KNT54"/>
      <c r="KNU54"/>
      <c r="KNV54"/>
      <c r="KNW54"/>
      <c r="KNX54"/>
      <c r="KNY54"/>
      <c r="KNZ54"/>
      <c r="KOA54"/>
      <c r="KOB54"/>
      <c r="KOC54"/>
      <c r="KOD54"/>
      <c r="KOE54"/>
      <c r="KOF54"/>
      <c r="KOG54"/>
      <c r="KOH54"/>
      <c r="KOI54"/>
      <c r="KOJ54"/>
      <c r="KOK54"/>
      <c r="KOL54"/>
      <c r="KOM54"/>
      <c r="KON54"/>
      <c r="KOO54"/>
      <c r="KOP54"/>
      <c r="KOQ54"/>
      <c r="KOR54"/>
      <c r="KOS54"/>
      <c r="KOT54"/>
      <c r="KOU54"/>
      <c r="KOV54"/>
      <c r="KOW54"/>
      <c r="KOX54"/>
      <c r="KOY54"/>
      <c r="KOZ54"/>
      <c r="KPA54"/>
      <c r="KPB54"/>
      <c r="KPC54"/>
      <c r="KPD54"/>
      <c r="KPE54"/>
      <c r="KPF54"/>
      <c r="KPG54"/>
      <c r="KPH54"/>
      <c r="KPI54"/>
      <c r="KPJ54"/>
      <c r="KPK54"/>
      <c r="KPL54"/>
      <c r="KPM54"/>
      <c r="KPN54"/>
      <c r="KPO54"/>
      <c r="KPP54"/>
      <c r="KPQ54"/>
      <c r="KPR54"/>
      <c r="KPS54"/>
      <c r="KPT54"/>
      <c r="KPU54"/>
      <c r="KPV54"/>
      <c r="KPW54"/>
      <c r="KPX54"/>
      <c r="KPY54"/>
      <c r="KPZ54"/>
      <c r="KQA54"/>
      <c r="KQB54"/>
      <c r="KQC54"/>
      <c r="KQD54"/>
      <c r="KQE54"/>
      <c r="KQF54"/>
      <c r="KQG54"/>
      <c r="KQH54"/>
      <c r="KQI54"/>
      <c r="KQJ54"/>
      <c r="KQK54"/>
      <c r="KQL54"/>
      <c r="KQM54"/>
      <c r="KQN54"/>
      <c r="KQO54"/>
      <c r="KQP54"/>
      <c r="KQQ54"/>
      <c r="KQR54"/>
      <c r="KQS54"/>
      <c r="KQT54"/>
      <c r="KQU54"/>
      <c r="KQV54"/>
      <c r="KQW54"/>
      <c r="KQX54"/>
      <c r="KQY54"/>
      <c r="KQZ54"/>
      <c r="KRA54"/>
      <c r="KRB54"/>
      <c r="KRC54"/>
      <c r="KRD54"/>
      <c r="KRE54"/>
      <c r="KRF54"/>
      <c r="KRG54"/>
      <c r="KRH54"/>
      <c r="KRI54"/>
      <c r="KRJ54"/>
      <c r="KRK54"/>
      <c r="KRL54"/>
      <c r="KRM54"/>
      <c r="KRN54"/>
      <c r="KRO54"/>
      <c r="KRP54"/>
      <c r="KRQ54"/>
      <c r="KRR54"/>
      <c r="KRS54"/>
      <c r="KRT54"/>
      <c r="KRU54"/>
      <c r="KRV54"/>
      <c r="KRW54"/>
      <c r="KRX54"/>
      <c r="KRY54"/>
      <c r="KRZ54"/>
      <c r="KSA54"/>
      <c r="KSB54"/>
      <c r="KSC54"/>
      <c r="KSD54"/>
      <c r="KSE54"/>
      <c r="KSF54"/>
      <c r="KSG54"/>
      <c r="KSH54"/>
      <c r="KSI54"/>
      <c r="KSJ54"/>
      <c r="KSK54"/>
      <c r="KSL54"/>
      <c r="KSM54"/>
      <c r="KSN54"/>
      <c r="KSO54"/>
      <c r="KSP54"/>
      <c r="KSQ54"/>
      <c r="KSR54"/>
      <c r="KSS54"/>
      <c r="KST54"/>
      <c r="KSU54"/>
      <c r="KSV54"/>
      <c r="KSW54"/>
      <c r="KSX54"/>
      <c r="KSY54"/>
      <c r="KSZ54"/>
      <c r="KTA54"/>
      <c r="KTB54"/>
      <c r="KTC54"/>
      <c r="KTD54"/>
      <c r="KTE54"/>
      <c r="KTF54"/>
      <c r="KTG54"/>
      <c r="KTH54"/>
      <c r="KTI54"/>
      <c r="KTJ54"/>
      <c r="KTK54"/>
      <c r="KTL54"/>
      <c r="KTM54"/>
      <c r="KTN54"/>
      <c r="KTO54"/>
      <c r="KTP54"/>
      <c r="KTQ54"/>
      <c r="KTR54"/>
      <c r="KTS54"/>
      <c r="KTT54"/>
      <c r="KTU54"/>
      <c r="KTV54"/>
      <c r="KTW54"/>
      <c r="KTX54"/>
      <c r="KTY54"/>
      <c r="KTZ54"/>
      <c r="KUA54"/>
      <c r="KUB54"/>
      <c r="KUC54"/>
      <c r="KUD54"/>
      <c r="KUE54"/>
      <c r="KUF54"/>
      <c r="KUG54"/>
      <c r="KUH54"/>
      <c r="KUI54"/>
      <c r="KUJ54"/>
      <c r="KUK54"/>
      <c r="KUL54"/>
      <c r="KUM54"/>
      <c r="KUN54"/>
      <c r="KUO54"/>
      <c r="KUP54"/>
      <c r="KUQ54"/>
      <c r="KUR54"/>
      <c r="KUS54"/>
      <c r="KUT54"/>
      <c r="KUU54"/>
      <c r="KUV54"/>
      <c r="KUW54"/>
      <c r="KUX54"/>
      <c r="KUY54"/>
      <c r="KUZ54"/>
      <c r="KVA54"/>
      <c r="KVB54"/>
      <c r="KVC54"/>
      <c r="KVD54"/>
      <c r="KVE54"/>
      <c r="KVF54"/>
      <c r="KVG54"/>
      <c r="KVH54"/>
      <c r="KVI54"/>
      <c r="KVJ54"/>
      <c r="KVK54"/>
      <c r="KVL54"/>
      <c r="KVM54"/>
      <c r="KVN54"/>
      <c r="KVO54"/>
      <c r="KVP54"/>
      <c r="KVQ54"/>
      <c r="KVR54"/>
      <c r="KVS54"/>
      <c r="KVT54"/>
      <c r="KVU54"/>
      <c r="KVV54"/>
      <c r="KVW54"/>
      <c r="KVX54"/>
      <c r="KVY54"/>
      <c r="KVZ54"/>
      <c r="KWA54"/>
      <c r="KWB54"/>
      <c r="KWC54"/>
      <c r="KWD54"/>
      <c r="KWE54"/>
      <c r="KWF54"/>
      <c r="KWG54"/>
      <c r="KWH54"/>
      <c r="KWI54"/>
      <c r="KWJ54"/>
      <c r="KWK54"/>
      <c r="KWL54"/>
      <c r="KWM54"/>
      <c r="KWN54"/>
      <c r="KWO54"/>
      <c r="KWP54"/>
      <c r="KWQ54"/>
      <c r="KWR54"/>
      <c r="KWS54"/>
      <c r="KWT54"/>
      <c r="KWU54"/>
      <c r="KWV54"/>
      <c r="KWW54"/>
      <c r="KWX54"/>
      <c r="KWY54"/>
      <c r="KWZ54"/>
      <c r="KXA54"/>
      <c r="KXB54"/>
      <c r="KXC54"/>
      <c r="KXD54"/>
      <c r="KXE54"/>
      <c r="KXF54"/>
      <c r="KXG54"/>
      <c r="KXH54"/>
      <c r="KXI54"/>
      <c r="KXJ54"/>
      <c r="KXK54"/>
      <c r="KXL54"/>
      <c r="KXM54"/>
      <c r="KXN54"/>
      <c r="KXO54"/>
      <c r="KXP54"/>
      <c r="KXQ54"/>
      <c r="KXR54"/>
      <c r="KXS54"/>
      <c r="KXT54"/>
      <c r="KXU54"/>
      <c r="KXV54"/>
      <c r="KXW54"/>
      <c r="KXX54"/>
      <c r="KXY54"/>
      <c r="KXZ54"/>
      <c r="KYA54"/>
      <c r="KYB54"/>
      <c r="KYC54"/>
      <c r="KYD54"/>
      <c r="KYE54"/>
      <c r="KYF54"/>
      <c r="KYG54"/>
      <c r="KYH54"/>
      <c r="KYI54"/>
      <c r="KYJ54"/>
      <c r="KYK54"/>
      <c r="KYL54"/>
      <c r="KYM54"/>
      <c r="KYN54"/>
      <c r="KYO54"/>
      <c r="KYP54"/>
      <c r="KYQ54"/>
      <c r="KYR54"/>
      <c r="KYS54"/>
      <c r="KYT54"/>
      <c r="KYU54"/>
      <c r="KYV54"/>
      <c r="KYW54"/>
      <c r="KYX54"/>
      <c r="KYY54"/>
      <c r="KYZ54"/>
      <c r="KZA54"/>
      <c r="KZB54"/>
      <c r="KZC54"/>
      <c r="KZD54"/>
      <c r="KZE54"/>
      <c r="KZF54"/>
      <c r="KZG54"/>
      <c r="KZH54"/>
      <c r="KZI54"/>
      <c r="KZJ54"/>
      <c r="KZK54"/>
      <c r="KZL54"/>
      <c r="KZM54"/>
      <c r="KZN54"/>
      <c r="KZO54"/>
      <c r="KZP54"/>
      <c r="KZQ54"/>
      <c r="KZR54"/>
      <c r="KZS54"/>
      <c r="KZT54"/>
      <c r="KZU54"/>
      <c r="KZV54"/>
      <c r="KZW54"/>
      <c r="KZX54"/>
      <c r="KZY54"/>
      <c r="KZZ54"/>
      <c r="LAA54"/>
      <c r="LAB54"/>
      <c r="LAC54"/>
      <c r="LAD54"/>
      <c r="LAE54"/>
      <c r="LAF54"/>
      <c r="LAG54"/>
      <c r="LAH54"/>
      <c r="LAI54"/>
      <c r="LAJ54"/>
      <c r="LAK54"/>
      <c r="LAL54"/>
      <c r="LAM54"/>
      <c r="LAN54"/>
      <c r="LAO54"/>
      <c r="LAP54"/>
      <c r="LAQ54"/>
      <c r="LAR54"/>
      <c r="LAS54"/>
      <c r="LAT54"/>
      <c r="LAU54"/>
      <c r="LAV54"/>
      <c r="LAW54"/>
      <c r="LAX54"/>
      <c r="LAY54"/>
      <c r="LAZ54"/>
      <c r="LBA54"/>
      <c r="LBB54"/>
      <c r="LBC54"/>
      <c r="LBD54"/>
      <c r="LBE54"/>
      <c r="LBF54"/>
      <c r="LBG54"/>
      <c r="LBH54"/>
      <c r="LBI54"/>
      <c r="LBJ54"/>
      <c r="LBK54"/>
      <c r="LBL54"/>
      <c r="LBM54"/>
      <c r="LBN54"/>
      <c r="LBO54"/>
      <c r="LBP54"/>
      <c r="LBQ54"/>
      <c r="LBR54"/>
      <c r="LBS54"/>
      <c r="LBT54"/>
      <c r="LBU54"/>
      <c r="LBV54"/>
      <c r="LBW54"/>
      <c r="LBX54"/>
      <c r="LBY54"/>
      <c r="LBZ54"/>
      <c r="LCA54"/>
      <c r="LCB54"/>
      <c r="LCC54"/>
      <c r="LCD54"/>
      <c r="LCE54"/>
      <c r="LCF54"/>
      <c r="LCG54"/>
      <c r="LCH54"/>
      <c r="LCI54"/>
      <c r="LCJ54"/>
      <c r="LCK54"/>
      <c r="LCL54"/>
      <c r="LCM54"/>
      <c r="LCN54"/>
      <c r="LCO54"/>
      <c r="LCP54"/>
      <c r="LCQ54"/>
      <c r="LCR54"/>
      <c r="LCS54"/>
      <c r="LCT54"/>
      <c r="LCU54"/>
      <c r="LCV54"/>
      <c r="LCW54"/>
      <c r="LCX54"/>
      <c r="LCY54"/>
      <c r="LCZ54"/>
      <c r="LDA54"/>
      <c r="LDB54"/>
      <c r="LDC54"/>
      <c r="LDD54"/>
      <c r="LDE54"/>
      <c r="LDF54"/>
      <c r="LDG54"/>
      <c r="LDH54"/>
      <c r="LDI54"/>
      <c r="LDJ54"/>
      <c r="LDK54"/>
      <c r="LDL54"/>
      <c r="LDM54"/>
      <c r="LDN54"/>
      <c r="LDO54"/>
      <c r="LDP54"/>
      <c r="LDQ54"/>
      <c r="LDR54"/>
      <c r="LDS54"/>
      <c r="LDT54"/>
      <c r="LDU54"/>
      <c r="LDV54"/>
      <c r="LDW54"/>
      <c r="LDX54"/>
      <c r="LDY54"/>
      <c r="LDZ54"/>
      <c r="LEA54"/>
      <c r="LEB54"/>
      <c r="LEC54"/>
      <c r="LED54"/>
      <c r="LEE54"/>
      <c r="LEF54"/>
      <c r="LEG54"/>
      <c r="LEH54"/>
      <c r="LEI54"/>
      <c r="LEJ54"/>
      <c r="LEK54"/>
      <c r="LEL54"/>
      <c r="LEM54"/>
      <c r="LEN54"/>
      <c r="LEO54"/>
      <c r="LEP54"/>
      <c r="LEQ54"/>
      <c r="LER54"/>
      <c r="LES54"/>
      <c r="LET54"/>
      <c r="LEU54"/>
      <c r="LEV54"/>
      <c r="LEW54"/>
      <c r="LEX54"/>
      <c r="LEY54"/>
      <c r="LEZ54"/>
      <c r="LFA54"/>
      <c r="LFB54"/>
      <c r="LFC54"/>
      <c r="LFD54"/>
      <c r="LFE54"/>
      <c r="LFF54"/>
      <c r="LFG54"/>
      <c r="LFH54"/>
      <c r="LFI54"/>
      <c r="LFJ54"/>
      <c r="LFK54"/>
      <c r="LFL54"/>
      <c r="LFM54"/>
      <c r="LFN54"/>
      <c r="LFO54"/>
      <c r="LFP54"/>
      <c r="LFQ54"/>
      <c r="LFR54"/>
      <c r="LFS54"/>
      <c r="LFT54"/>
      <c r="LFU54"/>
      <c r="LFV54"/>
      <c r="LFW54"/>
      <c r="LFX54"/>
      <c r="LFY54"/>
      <c r="LFZ54"/>
      <c r="LGA54"/>
      <c r="LGB54"/>
      <c r="LGC54"/>
      <c r="LGD54"/>
      <c r="LGE54"/>
      <c r="LGF54"/>
      <c r="LGG54"/>
      <c r="LGH54"/>
      <c r="LGI54"/>
      <c r="LGJ54"/>
      <c r="LGK54"/>
      <c r="LGL54"/>
      <c r="LGM54"/>
      <c r="LGN54"/>
      <c r="LGO54"/>
      <c r="LGP54"/>
      <c r="LGQ54"/>
      <c r="LGR54"/>
      <c r="LGS54"/>
      <c r="LGT54"/>
      <c r="LGU54"/>
      <c r="LGV54"/>
      <c r="LGW54"/>
      <c r="LGX54"/>
      <c r="LGY54"/>
      <c r="LGZ54"/>
      <c r="LHA54"/>
      <c r="LHB54"/>
      <c r="LHC54"/>
      <c r="LHD54"/>
      <c r="LHE54"/>
      <c r="LHF54"/>
      <c r="LHG54"/>
      <c r="LHH54"/>
      <c r="LHI54"/>
      <c r="LHJ54"/>
      <c r="LHK54"/>
      <c r="LHL54"/>
      <c r="LHM54"/>
      <c r="LHN54"/>
      <c r="LHO54"/>
      <c r="LHP54"/>
      <c r="LHQ54"/>
      <c r="LHR54"/>
      <c r="LHS54"/>
      <c r="LHT54"/>
      <c r="LHU54"/>
      <c r="LHV54"/>
      <c r="LHW54"/>
      <c r="LHX54"/>
      <c r="LHY54"/>
      <c r="LHZ54"/>
      <c r="LIA54"/>
      <c r="LIB54"/>
      <c r="LIC54"/>
      <c r="LID54"/>
      <c r="LIE54"/>
      <c r="LIF54"/>
      <c r="LIG54"/>
      <c r="LIH54"/>
      <c r="LII54"/>
      <c r="LIJ54"/>
      <c r="LIK54"/>
      <c r="LIL54"/>
      <c r="LIM54"/>
      <c r="LIN54"/>
      <c r="LIO54"/>
      <c r="LIP54"/>
      <c r="LIQ54"/>
      <c r="LIR54"/>
      <c r="LIS54"/>
      <c r="LIT54"/>
      <c r="LIU54"/>
      <c r="LIV54"/>
      <c r="LIW54"/>
      <c r="LIX54"/>
      <c r="LIY54"/>
      <c r="LIZ54"/>
      <c r="LJA54"/>
      <c r="LJB54"/>
      <c r="LJC54"/>
      <c r="LJD54"/>
      <c r="LJE54"/>
      <c r="LJF54"/>
      <c r="LJG54"/>
      <c r="LJH54"/>
      <c r="LJI54"/>
      <c r="LJJ54"/>
      <c r="LJK54"/>
      <c r="LJL54"/>
      <c r="LJM54"/>
      <c r="LJN54"/>
      <c r="LJO54"/>
      <c r="LJP54"/>
      <c r="LJQ54"/>
      <c r="LJR54"/>
      <c r="LJS54"/>
      <c r="LJT54"/>
      <c r="LJU54"/>
      <c r="LJV54"/>
      <c r="LJW54"/>
      <c r="LJX54"/>
      <c r="LJY54"/>
      <c r="LJZ54"/>
      <c r="LKA54"/>
      <c r="LKB54"/>
      <c r="LKC54"/>
      <c r="LKD54"/>
      <c r="LKE54"/>
      <c r="LKF54"/>
      <c r="LKG54"/>
      <c r="LKH54"/>
      <c r="LKI54"/>
      <c r="LKJ54"/>
      <c r="LKK54"/>
      <c r="LKL54"/>
      <c r="LKM54"/>
      <c r="LKN54"/>
      <c r="LKO54"/>
      <c r="LKP54"/>
      <c r="LKQ54"/>
      <c r="LKR54"/>
      <c r="LKS54"/>
      <c r="LKT54"/>
      <c r="LKU54"/>
      <c r="LKV54"/>
      <c r="LKW54"/>
      <c r="LKX54"/>
      <c r="LKY54"/>
      <c r="LKZ54"/>
      <c r="LLA54"/>
      <c r="LLB54"/>
      <c r="LLC54"/>
      <c r="LLD54"/>
      <c r="LLE54"/>
      <c r="LLF54"/>
      <c r="LLG54"/>
      <c r="LLH54"/>
      <c r="LLI54"/>
      <c r="LLJ54"/>
      <c r="LLK54"/>
      <c r="LLL54"/>
      <c r="LLM54"/>
      <c r="LLN54"/>
      <c r="LLO54"/>
      <c r="LLP54"/>
      <c r="LLQ54"/>
      <c r="LLR54"/>
      <c r="LLS54"/>
      <c r="LLT54"/>
      <c r="LLU54"/>
      <c r="LLV54"/>
      <c r="LLW54"/>
      <c r="LLX54"/>
      <c r="LLY54"/>
      <c r="LLZ54"/>
      <c r="LMA54"/>
      <c r="LMB54"/>
      <c r="LMC54"/>
      <c r="LMD54"/>
      <c r="LME54"/>
      <c r="LMF54"/>
      <c r="LMG54"/>
      <c r="LMH54"/>
      <c r="LMI54"/>
      <c r="LMJ54"/>
      <c r="LMK54"/>
      <c r="LML54"/>
      <c r="LMM54"/>
      <c r="LMN54"/>
      <c r="LMO54"/>
      <c r="LMP54"/>
      <c r="LMQ54"/>
      <c r="LMR54"/>
      <c r="LMS54"/>
      <c r="LMT54"/>
      <c r="LMU54"/>
      <c r="LMV54"/>
      <c r="LMW54"/>
      <c r="LMX54"/>
      <c r="LMY54"/>
      <c r="LMZ54"/>
      <c r="LNA54"/>
      <c r="LNB54"/>
      <c r="LNC54"/>
      <c r="LND54"/>
      <c r="LNE54"/>
      <c r="LNF54"/>
      <c r="LNG54"/>
      <c r="LNH54"/>
      <c r="LNI54"/>
      <c r="LNJ54"/>
      <c r="LNK54"/>
      <c r="LNL54"/>
      <c r="LNM54"/>
      <c r="LNN54"/>
      <c r="LNO54"/>
      <c r="LNP54"/>
      <c r="LNQ54"/>
      <c r="LNR54"/>
      <c r="LNS54"/>
      <c r="LNT54"/>
      <c r="LNU54"/>
      <c r="LNV54"/>
      <c r="LNW54"/>
      <c r="LNX54"/>
      <c r="LNY54"/>
      <c r="LNZ54"/>
      <c r="LOA54"/>
      <c r="LOB54"/>
      <c r="LOC54"/>
      <c r="LOD54"/>
      <c r="LOE54"/>
      <c r="LOF54"/>
      <c r="LOG54"/>
      <c r="LOH54"/>
      <c r="LOI54"/>
      <c r="LOJ54"/>
      <c r="LOK54"/>
      <c r="LOL54"/>
      <c r="LOM54"/>
      <c r="LON54"/>
      <c r="LOO54"/>
      <c r="LOP54"/>
      <c r="LOQ54"/>
      <c r="LOR54"/>
      <c r="LOS54"/>
      <c r="LOT54"/>
      <c r="LOU54"/>
      <c r="LOV54"/>
      <c r="LOW54"/>
      <c r="LOX54"/>
      <c r="LOY54"/>
      <c r="LOZ54"/>
      <c r="LPA54"/>
      <c r="LPB54"/>
      <c r="LPC54"/>
      <c r="LPD54"/>
      <c r="LPE54"/>
      <c r="LPF54"/>
      <c r="LPG54"/>
      <c r="LPH54"/>
      <c r="LPI54"/>
      <c r="LPJ54"/>
      <c r="LPK54"/>
      <c r="LPL54"/>
      <c r="LPM54"/>
      <c r="LPN54"/>
      <c r="LPO54"/>
      <c r="LPP54"/>
      <c r="LPQ54"/>
      <c r="LPR54"/>
      <c r="LPS54"/>
      <c r="LPT54"/>
      <c r="LPU54"/>
      <c r="LPV54"/>
      <c r="LPW54"/>
      <c r="LPX54"/>
      <c r="LPY54"/>
      <c r="LPZ54"/>
      <c r="LQA54"/>
      <c r="LQB54"/>
      <c r="LQC54"/>
      <c r="LQD54"/>
      <c r="LQE54"/>
      <c r="LQF54"/>
      <c r="LQG54"/>
      <c r="LQH54"/>
      <c r="LQI54"/>
      <c r="LQJ54"/>
      <c r="LQK54"/>
      <c r="LQL54"/>
      <c r="LQM54"/>
      <c r="LQN54"/>
      <c r="LQO54"/>
      <c r="LQP54"/>
      <c r="LQQ54"/>
      <c r="LQR54"/>
      <c r="LQS54"/>
      <c r="LQT54"/>
      <c r="LQU54"/>
      <c r="LQV54"/>
      <c r="LQW54"/>
      <c r="LQX54"/>
      <c r="LQY54"/>
      <c r="LQZ54"/>
      <c r="LRA54"/>
      <c r="LRB54"/>
      <c r="LRC54"/>
      <c r="LRD54"/>
      <c r="LRE54"/>
      <c r="LRF54"/>
      <c r="LRG54"/>
      <c r="LRH54"/>
      <c r="LRI54"/>
      <c r="LRJ54"/>
      <c r="LRK54"/>
      <c r="LRL54"/>
      <c r="LRM54"/>
      <c r="LRN54"/>
      <c r="LRO54"/>
      <c r="LRP54"/>
      <c r="LRQ54"/>
      <c r="LRR54"/>
      <c r="LRS54"/>
      <c r="LRT54"/>
      <c r="LRU54"/>
      <c r="LRV54"/>
      <c r="LRW54"/>
      <c r="LRX54"/>
      <c r="LRY54"/>
      <c r="LRZ54"/>
      <c r="LSA54"/>
      <c r="LSB54"/>
      <c r="LSC54"/>
      <c r="LSD54"/>
      <c r="LSE54"/>
      <c r="LSF54"/>
      <c r="LSG54"/>
      <c r="LSH54"/>
      <c r="LSI54"/>
      <c r="LSJ54"/>
      <c r="LSK54"/>
      <c r="LSL54"/>
      <c r="LSM54"/>
      <c r="LSN54"/>
      <c r="LSO54"/>
      <c r="LSP54"/>
      <c r="LSQ54"/>
      <c r="LSR54"/>
      <c r="LSS54"/>
      <c r="LST54"/>
      <c r="LSU54"/>
      <c r="LSV54"/>
      <c r="LSW54"/>
      <c r="LSX54"/>
      <c r="LSY54"/>
      <c r="LSZ54"/>
      <c r="LTA54"/>
      <c r="LTB54"/>
      <c r="LTC54"/>
      <c r="LTD54"/>
      <c r="LTE54"/>
      <c r="LTF54"/>
      <c r="LTG54"/>
      <c r="LTH54"/>
      <c r="LTI54"/>
      <c r="LTJ54"/>
      <c r="LTK54"/>
      <c r="LTL54"/>
      <c r="LTM54"/>
      <c r="LTN54"/>
      <c r="LTO54"/>
      <c r="LTP54"/>
      <c r="LTQ54"/>
      <c r="LTR54"/>
      <c r="LTS54"/>
      <c r="LTT54"/>
      <c r="LTU54"/>
      <c r="LTV54"/>
      <c r="LTW54"/>
      <c r="LTX54"/>
      <c r="LTY54"/>
      <c r="LTZ54"/>
      <c r="LUA54"/>
      <c r="LUB54"/>
      <c r="LUC54"/>
      <c r="LUD54"/>
      <c r="LUE54"/>
      <c r="LUF54"/>
      <c r="LUG54"/>
      <c r="LUH54"/>
      <c r="LUI54"/>
      <c r="LUJ54"/>
      <c r="LUK54"/>
      <c r="LUL54"/>
      <c r="LUM54"/>
      <c r="LUN54"/>
      <c r="LUO54"/>
      <c r="LUP54"/>
      <c r="LUQ54"/>
      <c r="LUR54"/>
      <c r="LUS54"/>
      <c r="LUT54"/>
      <c r="LUU54"/>
      <c r="LUV54"/>
      <c r="LUW54"/>
      <c r="LUX54"/>
      <c r="LUY54"/>
      <c r="LUZ54"/>
      <c r="LVA54"/>
      <c r="LVB54"/>
      <c r="LVC54"/>
      <c r="LVD54"/>
      <c r="LVE54"/>
      <c r="LVF54"/>
      <c r="LVG54"/>
      <c r="LVH54"/>
      <c r="LVI54"/>
      <c r="LVJ54"/>
      <c r="LVK54"/>
      <c r="LVL54"/>
      <c r="LVM54"/>
      <c r="LVN54"/>
      <c r="LVO54"/>
      <c r="LVP54"/>
      <c r="LVQ54"/>
      <c r="LVR54"/>
      <c r="LVS54"/>
      <c r="LVT54"/>
      <c r="LVU54"/>
      <c r="LVV54"/>
      <c r="LVW54"/>
      <c r="LVX54"/>
      <c r="LVY54"/>
      <c r="LVZ54"/>
      <c r="LWA54"/>
      <c r="LWB54"/>
      <c r="LWC54"/>
      <c r="LWD54"/>
      <c r="LWE54"/>
      <c r="LWF54"/>
      <c r="LWG54"/>
      <c r="LWH54"/>
      <c r="LWI54"/>
      <c r="LWJ54"/>
      <c r="LWK54"/>
      <c r="LWL54"/>
      <c r="LWM54"/>
      <c r="LWN54"/>
      <c r="LWO54"/>
      <c r="LWP54"/>
      <c r="LWQ54"/>
      <c r="LWR54"/>
      <c r="LWS54"/>
      <c r="LWT54"/>
      <c r="LWU54"/>
      <c r="LWV54"/>
      <c r="LWW54"/>
      <c r="LWX54"/>
      <c r="LWY54"/>
      <c r="LWZ54"/>
      <c r="LXA54"/>
      <c r="LXB54"/>
      <c r="LXC54"/>
      <c r="LXD54"/>
      <c r="LXE54"/>
      <c r="LXF54"/>
      <c r="LXG54"/>
      <c r="LXH54"/>
      <c r="LXI54"/>
      <c r="LXJ54"/>
      <c r="LXK54"/>
      <c r="LXL54"/>
      <c r="LXM54"/>
      <c r="LXN54"/>
      <c r="LXO54"/>
      <c r="LXP54"/>
      <c r="LXQ54"/>
      <c r="LXR54"/>
      <c r="LXS54"/>
      <c r="LXT54"/>
      <c r="LXU54"/>
      <c r="LXV54"/>
      <c r="LXW54"/>
      <c r="LXX54"/>
      <c r="LXY54"/>
      <c r="LXZ54"/>
      <c r="LYA54"/>
      <c r="LYB54"/>
      <c r="LYC54"/>
      <c r="LYD54"/>
      <c r="LYE54"/>
      <c r="LYF54"/>
      <c r="LYG54"/>
      <c r="LYH54"/>
      <c r="LYI54"/>
      <c r="LYJ54"/>
      <c r="LYK54"/>
      <c r="LYL54"/>
      <c r="LYM54"/>
      <c r="LYN54"/>
      <c r="LYO54"/>
      <c r="LYP54"/>
      <c r="LYQ54"/>
      <c r="LYR54"/>
      <c r="LYS54"/>
      <c r="LYT54"/>
      <c r="LYU54"/>
      <c r="LYV54"/>
      <c r="LYW54"/>
      <c r="LYX54"/>
      <c r="LYY54"/>
      <c r="LYZ54"/>
      <c r="LZA54"/>
      <c r="LZB54"/>
      <c r="LZC54"/>
      <c r="LZD54"/>
      <c r="LZE54"/>
      <c r="LZF54"/>
      <c r="LZG54"/>
      <c r="LZH54"/>
      <c r="LZI54"/>
      <c r="LZJ54"/>
      <c r="LZK54"/>
      <c r="LZL54"/>
      <c r="LZM54"/>
      <c r="LZN54"/>
      <c r="LZO54"/>
      <c r="LZP54"/>
      <c r="LZQ54"/>
      <c r="LZR54"/>
      <c r="LZS54"/>
      <c r="LZT54"/>
      <c r="LZU54"/>
      <c r="LZV54"/>
      <c r="LZW54"/>
      <c r="LZX54"/>
      <c r="LZY54"/>
      <c r="LZZ54"/>
      <c r="MAA54"/>
      <c r="MAB54"/>
      <c r="MAC54"/>
      <c r="MAD54"/>
      <c r="MAE54"/>
      <c r="MAF54"/>
      <c r="MAG54"/>
      <c r="MAH54"/>
      <c r="MAI54"/>
      <c r="MAJ54"/>
      <c r="MAK54"/>
      <c r="MAL54"/>
      <c r="MAM54"/>
      <c r="MAN54"/>
      <c r="MAO54"/>
      <c r="MAP54"/>
      <c r="MAQ54"/>
      <c r="MAR54"/>
      <c r="MAS54"/>
      <c r="MAT54"/>
      <c r="MAU54"/>
      <c r="MAV54"/>
      <c r="MAW54"/>
      <c r="MAX54"/>
      <c r="MAY54"/>
      <c r="MAZ54"/>
      <c r="MBA54"/>
      <c r="MBB54"/>
      <c r="MBC54"/>
      <c r="MBD54"/>
      <c r="MBE54"/>
      <c r="MBF54"/>
      <c r="MBG54"/>
      <c r="MBH54"/>
      <c r="MBI54"/>
      <c r="MBJ54"/>
      <c r="MBK54"/>
      <c r="MBL54"/>
      <c r="MBM54"/>
      <c r="MBN54"/>
      <c r="MBO54"/>
      <c r="MBP54"/>
      <c r="MBQ54"/>
      <c r="MBR54"/>
      <c r="MBS54"/>
      <c r="MBT54"/>
      <c r="MBU54"/>
      <c r="MBV54"/>
      <c r="MBW54"/>
      <c r="MBX54"/>
      <c r="MBY54"/>
      <c r="MBZ54"/>
      <c r="MCA54"/>
      <c r="MCB54"/>
      <c r="MCC54"/>
      <c r="MCD54"/>
      <c r="MCE54"/>
      <c r="MCF54"/>
      <c r="MCG54"/>
      <c r="MCH54"/>
      <c r="MCI54"/>
      <c r="MCJ54"/>
      <c r="MCK54"/>
      <c r="MCL54"/>
      <c r="MCM54"/>
      <c r="MCN54"/>
      <c r="MCO54"/>
      <c r="MCP54"/>
      <c r="MCQ54"/>
      <c r="MCR54"/>
      <c r="MCS54"/>
      <c r="MCT54"/>
      <c r="MCU54"/>
      <c r="MCV54"/>
      <c r="MCW54"/>
      <c r="MCX54"/>
      <c r="MCY54"/>
      <c r="MCZ54"/>
      <c r="MDA54"/>
      <c r="MDB54"/>
      <c r="MDC54"/>
      <c r="MDD54"/>
      <c r="MDE54"/>
      <c r="MDF54"/>
      <c r="MDG54"/>
      <c r="MDH54"/>
      <c r="MDI54"/>
      <c r="MDJ54"/>
      <c r="MDK54"/>
      <c r="MDL54"/>
      <c r="MDM54"/>
      <c r="MDN54"/>
      <c r="MDO54"/>
      <c r="MDP54"/>
      <c r="MDQ54"/>
      <c r="MDR54"/>
      <c r="MDS54"/>
      <c r="MDT54"/>
      <c r="MDU54"/>
      <c r="MDV54"/>
      <c r="MDW54"/>
      <c r="MDX54"/>
      <c r="MDY54"/>
      <c r="MDZ54"/>
      <c r="MEA54"/>
      <c r="MEB54"/>
      <c r="MEC54"/>
      <c r="MED54"/>
      <c r="MEE54"/>
      <c r="MEF54"/>
      <c r="MEG54"/>
      <c r="MEH54"/>
      <c r="MEI54"/>
      <c r="MEJ54"/>
      <c r="MEK54"/>
      <c r="MEL54"/>
      <c r="MEM54"/>
      <c r="MEN54"/>
      <c r="MEO54"/>
      <c r="MEP54"/>
      <c r="MEQ54"/>
      <c r="MER54"/>
      <c r="MES54"/>
      <c r="MET54"/>
      <c r="MEU54"/>
      <c r="MEV54"/>
      <c r="MEW54"/>
      <c r="MEX54"/>
      <c r="MEY54"/>
      <c r="MEZ54"/>
      <c r="MFA54"/>
      <c r="MFB54"/>
      <c r="MFC54"/>
      <c r="MFD54"/>
      <c r="MFE54"/>
      <c r="MFF54"/>
      <c r="MFG54"/>
      <c r="MFH54"/>
      <c r="MFI54"/>
      <c r="MFJ54"/>
      <c r="MFK54"/>
      <c r="MFL54"/>
      <c r="MFM54"/>
      <c r="MFN54"/>
      <c r="MFO54"/>
      <c r="MFP54"/>
      <c r="MFQ54"/>
      <c r="MFR54"/>
      <c r="MFS54"/>
      <c r="MFT54"/>
      <c r="MFU54"/>
      <c r="MFV54"/>
      <c r="MFW54"/>
      <c r="MFX54"/>
      <c r="MFY54"/>
      <c r="MFZ54"/>
      <c r="MGA54"/>
      <c r="MGB54"/>
      <c r="MGC54"/>
      <c r="MGD54"/>
      <c r="MGE54"/>
      <c r="MGF54"/>
      <c r="MGG54"/>
      <c r="MGH54"/>
      <c r="MGI54"/>
      <c r="MGJ54"/>
      <c r="MGK54"/>
      <c r="MGL54"/>
      <c r="MGM54"/>
      <c r="MGN54"/>
      <c r="MGO54"/>
      <c r="MGP54"/>
      <c r="MGQ54"/>
      <c r="MGR54"/>
      <c r="MGS54"/>
      <c r="MGT54"/>
      <c r="MGU54"/>
      <c r="MGV54"/>
      <c r="MGW54"/>
      <c r="MGX54"/>
      <c r="MGY54"/>
      <c r="MGZ54"/>
      <c r="MHA54"/>
      <c r="MHB54"/>
      <c r="MHC54"/>
      <c r="MHD54"/>
      <c r="MHE54"/>
      <c r="MHF54"/>
      <c r="MHG54"/>
      <c r="MHH54"/>
      <c r="MHI54"/>
      <c r="MHJ54"/>
      <c r="MHK54"/>
      <c r="MHL54"/>
      <c r="MHM54"/>
      <c r="MHN54"/>
      <c r="MHO54"/>
      <c r="MHP54"/>
      <c r="MHQ54"/>
      <c r="MHR54"/>
      <c r="MHS54"/>
      <c r="MHT54"/>
      <c r="MHU54"/>
      <c r="MHV54"/>
      <c r="MHW54"/>
      <c r="MHX54"/>
      <c r="MHY54"/>
      <c r="MHZ54"/>
      <c r="MIA54"/>
      <c r="MIB54"/>
      <c r="MIC54"/>
      <c r="MID54"/>
      <c r="MIE54"/>
      <c r="MIF54"/>
      <c r="MIG54"/>
      <c r="MIH54"/>
      <c r="MII54"/>
      <c r="MIJ54"/>
      <c r="MIK54"/>
      <c r="MIL54"/>
      <c r="MIM54"/>
      <c r="MIN54"/>
      <c r="MIO54"/>
      <c r="MIP54"/>
      <c r="MIQ54"/>
      <c r="MIR54"/>
      <c r="MIS54"/>
      <c r="MIT54"/>
      <c r="MIU54"/>
      <c r="MIV54"/>
      <c r="MIW54"/>
      <c r="MIX54"/>
      <c r="MIY54"/>
      <c r="MIZ54"/>
      <c r="MJA54"/>
      <c r="MJB54"/>
      <c r="MJC54"/>
      <c r="MJD54"/>
      <c r="MJE54"/>
      <c r="MJF54"/>
      <c r="MJG54"/>
      <c r="MJH54"/>
      <c r="MJI54"/>
      <c r="MJJ54"/>
      <c r="MJK54"/>
      <c r="MJL54"/>
      <c r="MJM54"/>
      <c r="MJN54"/>
      <c r="MJO54"/>
      <c r="MJP54"/>
      <c r="MJQ54"/>
      <c r="MJR54"/>
      <c r="MJS54"/>
      <c r="MJT54"/>
      <c r="MJU54"/>
      <c r="MJV54"/>
      <c r="MJW54"/>
      <c r="MJX54"/>
      <c r="MJY54"/>
      <c r="MJZ54"/>
      <c r="MKA54"/>
      <c r="MKB54"/>
      <c r="MKC54"/>
      <c r="MKD54"/>
      <c r="MKE54"/>
      <c r="MKF54"/>
      <c r="MKG54"/>
      <c r="MKH54"/>
      <c r="MKI54"/>
      <c r="MKJ54"/>
      <c r="MKK54"/>
      <c r="MKL54"/>
      <c r="MKM54"/>
      <c r="MKN54"/>
      <c r="MKO54"/>
      <c r="MKP54"/>
      <c r="MKQ54"/>
      <c r="MKR54"/>
      <c r="MKS54"/>
      <c r="MKT54"/>
      <c r="MKU54"/>
      <c r="MKV54"/>
      <c r="MKW54"/>
      <c r="MKX54"/>
      <c r="MKY54"/>
      <c r="MKZ54"/>
      <c r="MLA54"/>
      <c r="MLB54"/>
      <c r="MLC54"/>
      <c r="MLD54"/>
      <c r="MLE54"/>
      <c r="MLF54"/>
      <c r="MLG54"/>
      <c r="MLH54"/>
      <c r="MLI54"/>
      <c r="MLJ54"/>
      <c r="MLK54"/>
      <c r="MLL54"/>
      <c r="MLM54"/>
      <c r="MLN54"/>
      <c r="MLO54"/>
      <c r="MLP54"/>
      <c r="MLQ54"/>
      <c r="MLR54"/>
      <c r="MLS54"/>
      <c r="MLT54"/>
      <c r="MLU54"/>
      <c r="MLV54"/>
      <c r="MLW54"/>
      <c r="MLX54"/>
      <c r="MLY54"/>
      <c r="MLZ54"/>
      <c r="MMA54"/>
      <c r="MMB54"/>
      <c r="MMC54"/>
      <c r="MMD54"/>
      <c r="MME54"/>
      <c r="MMF54"/>
      <c r="MMG54"/>
      <c r="MMH54"/>
      <c r="MMI54"/>
      <c r="MMJ54"/>
      <c r="MMK54"/>
      <c r="MML54"/>
      <c r="MMM54"/>
      <c r="MMN54"/>
      <c r="MMO54"/>
      <c r="MMP54"/>
      <c r="MMQ54"/>
      <c r="MMR54"/>
      <c r="MMS54"/>
      <c r="MMT54"/>
      <c r="MMU54"/>
      <c r="MMV54"/>
      <c r="MMW54"/>
      <c r="MMX54"/>
      <c r="MMY54"/>
      <c r="MMZ54"/>
      <c r="MNA54"/>
      <c r="MNB54"/>
      <c r="MNC54"/>
      <c r="MND54"/>
      <c r="MNE54"/>
      <c r="MNF54"/>
      <c r="MNG54"/>
      <c r="MNH54"/>
      <c r="MNI54"/>
      <c r="MNJ54"/>
      <c r="MNK54"/>
      <c r="MNL54"/>
      <c r="MNM54"/>
      <c r="MNN54"/>
      <c r="MNO54"/>
      <c r="MNP54"/>
      <c r="MNQ54"/>
      <c r="MNR54"/>
      <c r="MNS54"/>
      <c r="MNT54"/>
      <c r="MNU54"/>
      <c r="MNV54"/>
      <c r="MNW54"/>
      <c r="MNX54"/>
      <c r="MNY54"/>
      <c r="MNZ54"/>
      <c r="MOA54"/>
      <c r="MOB54"/>
      <c r="MOC54"/>
      <c r="MOD54"/>
      <c r="MOE54"/>
      <c r="MOF54"/>
      <c r="MOG54"/>
      <c r="MOH54"/>
      <c r="MOI54"/>
      <c r="MOJ54"/>
      <c r="MOK54"/>
      <c r="MOL54"/>
      <c r="MOM54"/>
      <c r="MON54"/>
      <c r="MOO54"/>
      <c r="MOP54"/>
      <c r="MOQ54"/>
      <c r="MOR54"/>
      <c r="MOS54"/>
      <c r="MOT54"/>
      <c r="MOU54"/>
      <c r="MOV54"/>
      <c r="MOW54"/>
      <c r="MOX54"/>
      <c r="MOY54"/>
      <c r="MOZ54"/>
      <c r="MPA54"/>
      <c r="MPB54"/>
      <c r="MPC54"/>
      <c r="MPD54"/>
      <c r="MPE54"/>
      <c r="MPF54"/>
      <c r="MPG54"/>
      <c r="MPH54"/>
      <c r="MPI54"/>
      <c r="MPJ54"/>
      <c r="MPK54"/>
      <c r="MPL54"/>
      <c r="MPM54"/>
      <c r="MPN54"/>
      <c r="MPO54"/>
      <c r="MPP54"/>
      <c r="MPQ54"/>
      <c r="MPR54"/>
      <c r="MPS54"/>
      <c r="MPT54"/>
      <c r="MPU54"/>
      <c r="MPV54"/>
      <c r="MPW54"/>
      <c r="MPX54"/>
      <c r="MPY54"/>
      <c r="MPZ54"/>
      <c r="MQA54"/>
      <c r="MQB54"/>
      <c r="MQC54"/>
      <c r="MQD54"/>
      <c r="MQE54"/>
      <c r="MQF54"/>
      <c r="MQG54"/>
      <c r="MQH54"/>
      <c r="MQI54"/>
      <c r="MQJ54"/>
      <c r="MQK54"/>
      <c r="MQL54"/>
      <c r="MQM54"/>
      <c r="MQN54"/>
      <c r="MQO54"/>
      <c r="MQP54"/>
      <c r="MQQ54"/>
      <c r="MQR54"/>
      <c r="MQS54"/>
      <c r="MQT54"/>
      <c r="MQU54"/>
      <c r="MQV54"/>
      <c r="MQW54"/>
      <c r="MQX54"/>
      <c r="MQY54"/>
      <c r="MQZ54"/>
      <c r="MRA54"/>
      <c r="MRB54"/>
      <c r="MRC54"/>
      <c r="MRD54"/>
      <c r="MRE54"/>
      <c r="MRF54"/>
      <c r="MRG54"/>
      <c r="MRH54"/>
      <c r="MRI54"/>
      <c r="MRJ54"/>
      <c r="MRK54"/>
      <c r="MRL54"/>
      <c r="MRM54"/>
      <c r="MRN54"/>
      <c r="MRO54"/>
      <c r="MRP54"/>
      <c r="MRQ54"/>
      <c r="MRR54"/>
      <c r="MRS54"/>
      <c r="MRT54"/>
      <c r="MRU54"/>
      <c r="MRV54"/>
      <c r="MRW54"/>
      <c r="MRX54"/>
      <c r="MRY54"/>
      <c r="MRZ54"/>
      <c r="MSA54"/>
      <c r="MSB54"/>
      <c r="MSC54"/>
      <c r="MSD54"/>
      <c r="MSE54"/>
      <c r="MSF54"/>
      <c r="MSG54"/>
      <c r="MSH54"/>
      <c r="MSI54"/>
      <c r="MSJ54"/>
      <c r="MSK54"/>
      <c r="MSL54"/>
      <c r="MSM54"/>
      <c r="MSN54"/>
      <c r="MSO54"/>
      <c r="MSP54"/>
      <c r="MSQ54"/>
      <c r="MSR54"/>
      <c r="MSS54"/>
      <c r="MST54"/>
      <c r="MSU54"/>
      <c r="MSV54"/>
      <c r="MSW54"/>
      <c r="MSX54"/>
      <c r="MSY54"/>
      <c r="MSZ54"/>
      <c r="MTA54"/>
      <c r="MTB54"/>
      <c r="MTC54"/>
      <c r="MTD54"/>
      <c r="MTE54"/>
      <c r="MTF54"/>
      <c r="MTG54"/>
      <c r="MTH54"/>
      <c r="MTI54"/>
      <c r="MTJ54"/>
      <c r="MTK54"/>
      <c r="MTL54"/>
      <c r="MTM54"/>
      <c r="MTN54"/>
      <c r="MTO54"/>
      <c r="MTP54"/>
      <c r="MTQ54"/>
      <c r="MTR54"/>
      <c r="MTS54"/>
      <c r="MTT54"/>
      <c r="MTU54"/>
      <c r="MTV54"/>
      <c r="MTW54"/>
      <c r="MTX54"/>
      <c r="MTY54"/>
      <c r="MTZ54"/>
      <c r="MUA54"/>
      <c r="MUB54"/>
      <c r="MUC54"/>
      <c r="MUD54"/>
      <c r="MUE54"/>
      <c r="MUF54"/>
      <c r="MUG54"/>
      <c r="MUH54"/>
      <c r="MUI54"/>
      <c r="MUJ54"/>
      <c r="MUK54"/>
      <c r="MUL54"/>
      <c r="MUM54"/>
      <c r="MUN54"/>
      <c r="MUO54"/>
      <c r="MUP54"/>
      <c r="MUQ54"/>
      <c r="MUR54"/>
      <c r="MUS54"/>
      <c r="MUT54"/>
      <c r="MUU54"/>
      <c r="MUV54"/>
      <c r="MUW54"/>
      <c r="MUX54"/>
      <c r="MUY54"/>
      <c r="MUZ54"/>
      <c r="MVA54"/>
      <c r="MVB54"/>
      <c r="MVC54"/>
      <c r="MVD54"/>
      <c r="MVE54"/>
      <c r="MVF54"/>
      <c r="MVG54"/>
      <c r="MVH54"/>
      <c r="MVI54"/>
      <c r="MVJ54"/>
      <c r="MVK54"/>
      <c r="MVL54"/>
      <c r="MVM54"/>
      <c r="MVN54"/>
      <c r="MVO54"/>
      <c r="MVP54"/>
      <c r="MVQ54"/>
      <c r="MVR54"/>
      <c r="MVS54"/>
      <c r="MVT54"/>
      <c r="MVU54"/>
      <c r="MVV54"/>
      <c r="MVW54"/>
      <c r="MVX54"/>
      <c r="MVY54"/>
      <c r="MVZ54"/>
      <c r="MWA54"/>
      <c r="MWB54"/>
      <c r="MWC54"/>
      <c r="MWD54"/>
      <c r="MWE54"/>
      <c r="MWF54"/>
      <c r="MWG54"/>
      <c r="MWH54"/>
      <c r="MWI54"/>
      <c r="MWJ54"/>
      <c r="MWK54"/>
      <c r="MWL54"/>
      <c r="MWM54"/>
      <c r="MWN54"/>
      <c r="MWO54"/>
      <c r="MWP54"/>
      <c r="MWQ54"/>
      <c r="MWR54"/>
      <c r="MWS54"/>
      <c r="MWT54"/>
      <c r="MWU54"/>
      <c r="MWV54"/>
      <c r="MWW54"/>
      <c r="MWX54"/>
      <c r="MWY54"/>
      <c r="MWZ54"/>
      <c r="MXA54"/>
      <c r="MXB54"/>
      <c r="MXC54"/>
      <c r="MXD54"/>
      <c r="MXE54"/>
      <c r="MXF54"/>
      <c r="MXG54"/>
      <c r="MXH54"/>
      <c r="MXI54"/>
      <c r="MXJ54"/>
      <c r="MXK54"/>
      <c r="MXL54"/>
      <c r="MXM54"/>
      <c r="MXN54"/>
      <c r="MXO54"/>
      <c r="MXP54"/>
      <c r="MXQ54"/>
      <c r="MXR54"/>
      <c r="MXS54"/>
      <c r="MXT54"/>
      <c r="MXU54"/>
      <c r="MXV54"/>
      <c r="MXW54"/>
      <c r="MXX54"/>
      <c r="MXY54"/>
      <c r="MXZ54"/>
      <c r="MYA54"/>
      <c r="MYB54"/>
      <c r="MYC54"/>
      <c r="MYD54"/>
      <c r="MYE54"/>
      <c r="MYF54"/>
      <c r="MYG54"/>
      <c r="MYH54"/>
      <c r="MYI54"/>
      <c r="MYJ54"/>
      <c r="MYK54"/>
      <c r="MYL54"/>
      <c r="MYM54"/>
      <c r="MYN54"/>
      <c r="MYO54"/>
      <c r="MYP54"/>
      <c r="MYQ54"/>
      <c r="MYR54"/>
      <c r="MYS54"/>
      <c r="MYT54"/>
      <c r="MYU54"/>
      <c r="MYV54"/>
      <c r="MYW54"/>
      <c r="MYX54"/>
      <c r="MYY54"/>
      <c r="MYZ54"/>
      <c r="MZA54"/>
      <c r="MZB54"/>
      <c r="MZC54"/>
      <c r="MZD54"/>
      <c r="MZE54"/>
      <c r="MZF54"/>
      <c r="MZG54"/>
      <c r="MZH54"/>
      <c r="MZI54"/>
      <c r="MZJ54"/>
      <c r="MZK54"/>
      <c r="MZL54"/>
      <c r="MZM54"/>
      <c r="MZN54"/>
      <c r="MZO54"/>
      <c r="MZP54"/>
      <c r="MZQ54"/>
      <c r="MZR54"/>
      <c r="MZS54"/>
      <c r="MZT54"/>
      <c r="MZU54"/>
      <c r="MZV54"/>
      <c r="MZW54"/>
      <c r="MZX54"/>
      <c r="MZY54"/>
      <c r="MZZ54"/>
      <c r="NAA54"/>
      <c r="NAB54"/>
      <c r="NAC54"/>
      <c r="NAD54"/>
      <c r="NAE54"/>
      <c r="NAF54"/>
      <c r="NAG54"/>
      <c r="NAH54"/>
      <c r="NAI54"/>
      <c r="NAJ54"/>
      <c r="NAK54"/>
      <c r="NAL54"/>
      <c r="NAM54"/>
      <c r="NAN54"/>
      <c r="NAO54"/>
      <c r="NAP54"/>
      <c r="NAQ54"/>
      <c r="NAR54"/>
      <c r="NAS54"/>
      <c r="NAT54"/>
      <c r="NAU54"/>
      <c r="NAV54"/>
      <c r="NAW54"/>
      <c r="NAX54"/>
      <c r="NAY54"/>
      <c r="NAZ54"/>
      <c r="NBA54"/>
      <c r="NBB54"/>
      <c r="NBC54"/>
      <c r="NBD54"/>
      <c r="NBE54"/>
      <c r="NBF54"/>
      <c r="NBG54"/>
      <c r="NBH54"/>
      <c r="NBI54"/>
      <c r="NBJ54"/>
      <c r="NBK54"/>
      <c r="NBL54"/>
      <c r="NBM54"/>
      <c r="NBN54"/>
      <c r="NBO54"/>
      <c r="NBP54"/>
      <c r="NBQ54"/>
      <c r="NBR54"/>
      <c r="NBS54"/>
      <c r="NBT54"/>
      <c r="NBU54"/>
      <c r="NBV54"/>
      <c r="NBW54"/>
      <c r="NBX54"/>
      <c r="NBY54"/>
      <c r="NBZ54"/>
      <c r="NCA54"/>
      <c r="NCB54"/>
      <c r="NCC54"/>
      <c r="NCD54"/>
      <c r="NCE54"/>
      <c r="NCF54"/>
      <c r="NCG54"/>
      <c r="NCH54"/>
      <c r="NCI54"/>
      <c r="NCJ54"/>
      <c r="NCK54"/>
      <c r="NCL54"/>
      <c r="NCM54"/>
      <c r="NCN54"/>
      <c r="NCO54"/>
      <c r="NCP54"/>
      <c r="NCQ54"/>
      <c r="NCR54"/>
      <c r="NCS54"/>
      <c r="NCT54"/>
      <c r="NCU54"/>
      <c r="NCV54"/>
      <c r="NCW54"/>
      <c r="NCX54"/>
      <c r="NCY54"/>
      <c r="NCZ54"/>
      <c r="NDA54"/>
      <c r="NDB54"/>
      <c r="NDC54"/>
      <c r="NDD54"/>
      <c r="NDE54"/>
      <c r="NDF54"/>
      <c r="NDG54"/>
      <c r="NDH54"/>
      <c r="NDI54"/>
      <c r="NDJ54"/>
      <c r="NDK54"/>
      <c r="NDL54"/>
      <c r="NDM54"/>
      <c r="NDN54"/>
      <c r="NDO54"/>
      <c r="NDP54"/>
      <c r="NDQ54"/>
      <c r="NDR54"/>
      <c r="NDS54"/>
      <c r="NDT54"/>
      <c r="NDU54"/>
      <c r="NDV54"/>
      <c r="NDW54"/>
      <c r="NDX54"/>
      <c r="NDY54"/>
      <c r="NDZ54"/>
      <c r="NEA54"/>
      <c r="NEB54"/>
      <c r="NEC54"/>
      <c r="NED54"/>
      <c r="NEE54"/>
      <c r="NEF54"/>
      <c r="NEG54"/>
      <c r="NEH54"/>
      <c r="NEI54"/>
      <c r="NEJ54"/>
      <c r="NEK54"/>
      <c r="NEL54"/>
      <c r="NEM54"/>
      <c r="NEN54"/>
      <c r="NEO54"/>
      <c r="NEP54"/>
      <c r="NEQ54"/>
      <c r="NER54"/>
      <c r="NES54"/>
      <c r="NET54"/>
      <c r="NEU54"/>
      <c r="NEV54"/>
      <c r="NEW54"/>
      <c r="NEX54"/>
      <c r="NEY54"/>
      <c r="NEZ54"/>
      <c r="NFA54"/>
      <c r="NFB54"/>
      <c r="NFC54"/>
      <c r="NFD54"/>
      <c r="NFE54"/>
      <c r="NFF54"/>
      <c r="NFG54"/>
      <c r="NFH54"/>
      <c r="NFI54"/>
      <c r="NFJ54"/>
      <c r="NFK54"/>
      <c r="NFL54"/>
      <c r="NFM54"/>
      <c r="NFN54"/>
      <c r="NFO54"/>
      <c r="NFP54"/>
      <c r="NFQ54"/>
      <c r="NFR54"/>
      <c r="NFS54"/>
      <c r="NFT54"/>
      <c r="NFU54"/>
      <c r="NFV54"/>
      <c r="NFW54"/>
      <c r="NFX54"/>
      <c r="NFY54"/>
      <c r="NFZ54"/>
      <c r="NGA54"/>
      <c r="NGB54"/>
      <c r="NGC54"/>
      <c r="NGD54"/>
      <c r="NGE54"/>
      <c r="NGF54"/>
      <c r="NGG54"/>
      <c r="NGH54"/>
      <c r="NGI54"/>
      <c r="NGJ54"/>
      <c r="NGK54"/>
      <c r="NGL54"/>
      <c r="NGM54"/>
      <c r="NGN54"/>
      <c r="NGO54"/>
      <c r="NGP54"/>
      <c r="NGQ54"/>
      <c r="NGR54"/>
      <c r="NGS54"/>
      <c r="NGT54"/>
      <c r="NGU54"/>
      <c r="NGV54"/>
      <c r="NGW54"/>
      <c r="NGX54"/>
      <c r="NGY54"/>
      <c r="NGZ54"/>
      <c r="NHA54"/>
      <c r="NHB54"/>
      <c r="NHC54"/>
      <c r="NHD54"/>
      <c r="NHE54"/>
      <c r="NHF54"/>
      <c r="NHG54"/>
      <c r="NHH54"/>
      <c r="NHI54"/>
      <c r="NHJ54"/>
      <c r="NHK54"/>
      <c r="NHL54"/>
      <c r="NHM54"/>
      <c r="NHN54"/>
      <c r="NHO54"/>
      <c r="NHP54"/>
      <c r="NHQ54"/>
      <c r="NHR54"/>
      <c r="NHS54"/>
      <c r="NHT54"/>
      <c r="NHU54"/>
      <c r="NHV54"/>
      <c r="NHW54"/>
      <c r="NHX54"/>
      <c r="NHY54"/>
      <c r="NHZ54"/>
      <c r="NIA54"/>
      <c r="NIB54"/>
      <c r="NIC54"/>
      <c r="NID54"/>
      <c r="NIE54"/>
      <c r="NIF54"/>
      <c r="NIG54"/>
      <c r="NIH54"/>
      <c r="NII54"/>
      <c r="NIJ54"/>
      <c r="NIK54"/>
      <c r="NIL54"/>
      <c r="NIM54"/>
      <c r="NIN54"/>
      <c r="NIO54"/>
      <c r="NIP54"/>
      <c r="NIQ54"/>
      <c r="NIR54"/>
      <c r="NIS54"/>
      <c r="NIT54"/>
      <c r="NIU54"/>
      <c r="NIV54"/>
      <c r="NIW54"/>
      <c r="NIX54"/>
      <c r="NIY54"/>
      <c r="NIZ54"/>
      <c r="NJA54"/>
      <c r="NJB54"/>
      <c r="NJC54"/>
      <c r="NJD54"/>
      <c r="NJE54"/>
      <c r="NJF54"/>
      <c r="NJG54"/>
      <c r="NJH54"/>
      <c r="NJI54"/>
      <c r="NJJ54"/>
      <c r="NJK54"/>
      <c r="NJL54"/>
      <c r="NJM54"/>
      <c r="NJN54"/>
      <c r="NJO54"/>
      <c r="NJP54"/>
      <c r="NJQ54"/>
      <c r="NJR54"/>
      <c r="NJS54"/>
      <c r="NJT54"/>
      <c r="NJU54"/>
      <c r="NJV54"/>
      <c r="NJW54"/>
      <c r="NJX54"/>
      <c r="NJY54"/>
      <c r="NJZ54"/>
      <c r="NKA54"/>
      <c r="NKB54"/>
      <c r="NKC54"/>
      <c r="NKD54"/>
      <c r="NKE54"/>
      <c r="NKF54"/>
      <c r="NKG54"/>
      <c r="NKH54"/>
      <c r="NKI54"/>
      <c r="NKJ54"/>
      <c r="NKK54"/>
      <c r="NKL54"/>
      <c r="NKM54"/>
      <c r="NKN54"/>
      <c r="NKO54"/>
      <c r="NKP54"/>
      <c r="NKQ54"/>
      <c r="NKR54"/>
      <c r="NKS54"/>
      <c r="NKT54"/>
      <c r="NKU54"/>
      <c r="NKV54"/>
      <c r="NKW54"/>
      <c r="NKX54"/>
      <c r="NKY54"/>
      <c r="NKZ54"/>
      <c r="NLA54"/>
      <c r="NLB54"/>
      <c r="NLC54"/>
      <c r="NLD54"/>
      <c r="NLE54"/>
      <c r="NLF54"/>
      <c r="NLG54"/>
      <c r="NLH54"/>
      <c r="NLI54"/>
      <c r="NLJ54"/>
      <c r="NLK54"/>
      <c r="NLL54"/>
      <c r="NLM54"/>
      <c r="NLN54"/>
      <c r="NLO54"/>
      <c r="NLP54"/>
      <c r="NLQ54"/>
      <c r="NLR54"/>
      <c r="NLS54"/>
      <c r="NLT54"/>
      <c r="NLU54"/>
      <c r="NLV54"/>
      <c r="NLW54"/>
      <c r="NLX54"/>
      <c r="NLY54"/>
      <c r="NLZ54"/>
      <c r="NMA54"/>
      <c r="NMB54"/>
      <c r="NMC54"/>
      <c r="NMD54"/>
      <c r="NME54"/>
      <c r="NMF54"/>
      <c r="NMG54"/>
      <c r="NMH54"/>
      <c r="NMI54"/>
      <c r="NMJ54"/>
      <c r="NMK54"/>
      <c r="NML54"/>
      <c r="NMM54"/>
      <c r="NMN54"/>
      <c r="NMO54"/>
      <c r="NMP54"/>
      <c r="NMQ54"/>
      <c r="NMR54"/>
      <c r="NMS54"/>
      <c r="NMT54"/>
      <c r="NMU54"/>
      <c r="NMV54"/>
      <c r="NMW54"/>
      <c r="NMX54"/>
      <c r="NMY54"/>
      <c r="NMZ54"/>
      <c r="NNA54"/>
      <c r="NNB54"/>
      <c r="NNC54"/>
      <c r="NND54"/>
      <c r="NNE54"/>
      <c r="NNF54"/>
      <c r="NNG54"/>
      <c r="NNH54"/>
      <c r="NNI54"/>
      <c r="NNJ54"/>
      <c r="NNK54"/>
      <c r="NNL54"/>
      <c r="NNM54"/>
      <c r="NNN54"/>
      <c r="NNO54"/>
      <c r="NNP54"/>
      <c r="NNQ54"/>
      <c r="NNR54"/>
      <c r="NNS54"/>
      <c r="NNT54"/>
      <c r="NNU54"/>
      <c r="NNV54"/>
      <c r="NNW54"/>
      <c r="NNX54"/>
      <c r="NNY54"/>
      <c r="NNZ54"/>
      <c r="NOA54"/>
      <c r="NOB54"/>
      <c r="NOC54"/>
      <c r="NOD54"/>
      <c r="NOE54"/>
      <c r="NOF54"/>
      <c r="NOG54"/>
      <c r="NOH54"/>
      <c r="NOI54"/>
      <c r="NOJ54"/>
      <c r="NOK54"/>
      <c r="NOL54"/>
      <c r="NOM54"/>
      <c r="NON54"/>
      <c r="NOO54"/>
      <c r="NOP54"/>
      <c r="NOQ54"/>
      <c r="NOR54"/>
      <c r="NOS54"/>
      <c r="NOT54"/>
      <c r="NOU54"/>
      <c r="NOV54"/>
      <c r="NOW54"/>
      <c r="NOX54"/>
      <c r="NOY54"/>
      <c r="NOZ54"/>
      <c r="NPA54"/>
      <c r="NPB54"/>
      <c r="NPC54"/>
      <c r="NPD54"/>
      <c r="NPE54"/>
      <c r="NPF54"/>
      <c r="NPG54"/>
      <c r="NPH54"/>
      <c r="NPI54"/>
      <c r="NPJ54"/>
      <c r="NPK54"/>
      <c r="NPL54"/>
      <c r="NPM54"/>
      <c r="NPN54"/>
      <c r="NPO54"/>
      <c r="NPP54"/>
      <c r="NPQ54"/>
      <c r="NPR54"/>
      <c r="NPS54"/>
      <c r="NPT54"/>
      <c r="NPU54"/>
      <c r="NPV54"/>
      <c r="NPW54"/>
      <c r="NPX54"/>
      <c r="NPY54"/>
      <c r="NPZ54"/>
      <c r="NQA54"/>
      <c r="NQB54"/>
      <c r="NQC54"/>
      <c r="NQD54"/>
      <c r="NQE54"/>
      <c r="NQF54"/>
      <c r="NQG54"/>
      <c r="NQH54"/>
      <c r="NQI54"/>
      <c r="NQJ54"/>
      <c r="NQK54"/>
      <c r="NQL54"/>
      <c r="NQM54"/>
      <c r="NQN54"/>
      <c r="NQO54"/>
      <c r="NQP54"/>
      <c r="NQQ54"/>
      <c r="NQR54"/>
      <c r="NQS54"/>
      <c r="NQT54"/>
      <c r="NQU54"/>
      <c r="NQV54"/>
      <c r="NQW54"/>
      <c r="NQX54"/>
      <c r="NQY54"/>
      <c r="NQZ54"/>
      <c r="NRA54"/>
      <c r="NRB54"/>
      <c r="NRC54"/>
      <c r="NRD54"/>
      <c r="NRE54"/>
      <c r="NRF54"/>
      <c r="NRG54"/>
      <c r="NRH54"/>
      <c r="NRI54"/>
      <c r="NRJ54"/>
      <c r="NRK54"/>
      <c r="NRL54"/>
      <c r="NRM54"/>
      <c r="NRN54"/>
      <c r="NRO54"/>
      <c r="NRP54"/>
      <c r="NRQ54"/>
      <c r="NRR54"/>
      <c r="NRS54"/>
      <c r="NRT54"/>
      <c r="NRU54"/>
      <c r="NRV54"/>
      <c r="NRW54"/>
      <c r="NRX54"/>
      <c r="NRY54"/>
      <c r="NRZ54"/>
      <c r="NSA54"/>
      <c r="NSB54"/>
      <c r="NSC54"/>
      <c r="NSD54"/>
      <c r="NSE54"/>
      <c r="NSF54"/>
      <c r="NSG54"/>
      <c r="NSH54"/>
      <c r="NSI54"/>
      <c r="NSJ54"/>
      <c r="NSK54"/>
      <c r="NSL54"/>
      <c r="NSM54"/>
      <c r="NSN54"/>
      <c r="NSO54"/>
      <c r="NSP54"/>
      <c r="NSQ54"/>
      <c r="NSR54"/>
      <c r="NSS54"/>
      <c r="NST54"/>
      <c r="NSU54"/>
      <c r="NSV54"/>
      <c r="NSW54"/>
      <c r="NSX54"/>
      <c r="NSY54"/>
      <c r="NSZ54"/>
      <c r="NTA54"/>
      <c r="NTB54"/>
      <c r="NTC54"/>
      <c r="NTD54"/>
      <c r="NTE54"/>
      <c r="NTF54"/>
      <c r="NTG54"/>
      <c r="NTH54"/>
      <c r="NTI54"/>
      <c r="NTJ54"/>
      <c r="NTK54"/>
      <c r="NTL54"/>
      <c r="NTM54"/>
      <c r="NTN54"/>
      <c r="NTO54"/>
      <c r="NTP54"/>
      <c r="NTQ54"/>
      <c r="NTR54"/>
      <c r="NTS54"/>
      <c r="NTT54"/>
      <c r="NTU54"/>
      <c r="NTV54"/>
      <c r="NTW54"/>
      <c r="NTX54"/>
      <c r="NTY54"/>
      <c r="NTZ54"/>
      <c r="NUA54"/>
      <c r="NUB54"/>
      <c r="NUC54"/>
      <c r="NUD54"/>
      <c r="NUE54"/>
      <c r="NUF54"/>
      <c r="NUG54"/>
      <c r="NUH54"/>
      <c r="NUI54"/>
      <c r="NUJ54"/>
      <c r="NUK54"/>
      <c r="NUL54"/>
      <c r="NUM54"/>
      <c r="NUN54"/>
      <c r="NUO54"/>
      <c r="NUP54"/>
      <c r="NUQ54"/>
      <c r="NUR54"/>
      <c r="NUS54"/>
      <c r="NUT54"/>
      <c r="NUU54"/>
      <c r="NUV54"/>
      <c r="NUW54"/>
      <c r="NUX54"/>
      <c r="NUY54"/>
      <c r="NUZ54"/>
      <c r="NVA54"/>
      <c r="NVB54"/>
      <c r="NVC54"/>
      <c r="NVD54"/>
      <c r="NVE54"/>
      <c r="NVF54"/>
      <c r="NVG54"/>
      <c r="NVH54"/>
      <c r="NVI54"/>
      <c r="NVJ54"/>
      <c r="NVK54"/>
      <c r="NVL54"/>
      <c r="NVM54"/>
      <c r="NVN54"/>
      <c r="NVO54"/>
      <c r="NVP54"/>
      <c r="NVQ54"/>
      <c r="NVR54"/>
      <c r="NVS54"/>
      <c r="NVT54"/>
      <c r="NVU54"/>
      <c r="NVV54"/>
      <c r="NVW54"/>
      <c r="NVX54"/>
      <c r="NVY54"/>
      <c r="NVZ54"/>
      <c r="NWA54"/>
      <c r="NWB54"/>
      <c r="NWC54"/>
      <c r="NWD54"/>
      <c r="NWE54"/>
      <c r="NWF54"/>
      <c r="NWG54"/>
      <c r="NWH54"/>
      <c r="NWI54"/>
      <c r="NWJ54"/>
      <c r="NWK54"/>
      <c r="NWL54"/>
      <c r="NWM54"/>
      <c r="NWN54"/>
      <c r="NWO54"/>
      <c r="NWP54"/>
      <c r="NWQ54"/>
      <c r="NWR54"/>
      <c r="NWS54"/>
      <c r="NWT54"/>
      <c r="NWU54"/>
      <c r="NWV54"/>
      <c r="NWW54"/>
      <c r="NWX54"/>
      <c r="NWY54"/>
      <c r="NWZ54"/>
      <c r="NXA54"/>
      <c r="NXB54"/>
      <c r="NXC54"/>
      <c r="NXD54"/>
      <c r="NXE54"/>
      <c r="NXF54"/>
      <c r="NXG54"/>
      <c r="NXH54"/>
      <c r="NXI54"/>
      <c r="NXJ54"/>
      <c r="NXK54"/>
      <c r="NXL54"/>
      <c r="NXM54"/>
      <c r="NXN54"/>
      <c r="NXO54"/>
      <c r="NXP54"/>
      <c r="NXQ54"/>
      <c r="NXR54"/>
      <c r="NXS54"/>
      <c r="NXT54"/>
      <c r="NXU54"/>
      <c r="NXV54"/>
      <c r="NXW54"/>
      <c r="NXX54"/>
      <c r="NXY54"/>
      <c r="NXZ54"/>
      <c r="NYA54"/>
      <c r="NYB54"/>
      <c r="NYC54"/>
      <c r="NYD54"/>
      <c r="NYE54"/>
      <c r="NYF54"/>
      <c r="NYG54"/>
      <c r="NYH54"/>
      <c r="NYI54"/>
      <c r="NYJ54"/>
      <c r="NYK54"/>
      <c r="NYL54"/>
      <c r="NYM54"/>
      <c r="NYN54"/>
      <c r="NYO54"/>
      <c r="NYP54"/>
      <c r="NYQ54"/>
      <c r="NYR54"/>
      <c r="NYS54"/>
      <c r="NYT54"/>
      <c r="NYU54"/>
      <c r="NYV54"/>
      <c r="NYW54"/>
      <c r="NYX54"/>
      <c r="NYY54"/>
      <c r="NYZ54"/>
      <c r="NZA54"/>
      <c r="NZB54"/>
      <c r="NZC54"/>
      <c r="NZD54"/>
      <c r="NZE54"/>
      <c r="NZF54"/>
      <c r="NZG54"/>
      <c r="NZH54"/>
      <c r="NZI54"/>
      <c r="NZJ54"/>
      <c r="NZK54"/>
      <c r="NZL54"/>
      <c r="NZM54"/>
      <c r="NZN54"/>
      <c r="NZO54"/>
      <c r="NZP54"/>
      <c r="NZQ54"/>
      <c r="NZR54"/>
      <c r="NZS54"/>
      <c r="NZT54"/>
      <c r="NZU54"/>
      <c r="NZV54"/>
      <c r="NZW54"/>
      <c r="NZX54"/>
      <c r="NZY54"/>
      <c r="NZZ54"/>
      <c r="OAA54"/>
      <c r="OAB54"/>
      <c r="OAC54"/>
      <c r="OAD54"/>
      <c r="OAE54"/>
      <c r="OAF54"/>
      <c r="OAG54"/>
      <c r="OAH54"/>
      <c r="OAI54"/>
      <c r="OAJ54"/>
      <c r="OAK54"/>
      <c r="OAL54"/>
      <c r="OAM54"/>
      <c r="OAN54"/>
      <c r="OAO54"/>
      <c r="OAP54"/>
      <c r="OAQ54"/>
      <c r="OAR54"/>
      <c r="OAS54"/>
      <c r="OAT54"/>
      <c r="OAU54"/>
      <c r="OAV54"/>
      <c r="OAW54"/>
      <c r="OAX54"/>
      <c r="OAY54"/>
      <c r="OAZ54"/>
      <c r="OBA54"/>
      <c r="OBB54"/>
      <c r="OBC54"/>
      <c r="OBD54"/>
      <c r="OBE54"/>
      <c r="OBF54"/>
      <c r="OBG54"/>
      <c r="OBH54"/>
      <c r="OBI54"/>
      <c r="OBJ54"/>
      <c r="OBK54"/>
      <c r="OBL54"/>
      <c r="OBM54"/>
      <c r="OBN54"/>
      <c r="OBO54"/>
      <c r="OBP54"/>
      <c r="OBQ54"/>
      <c r="OBR54"/>
      <c r="OBS54"/>
      <c r="OBT54"/>
      <c r="OBU54"/>
      <c r="OBV54"/>
      <c r="OBW54"/>
      <c r="OBX54"/>
      <c r="OBY54"/>
      <c r="OBZ54"/>
      <c r="OCA54"/>
      <c r="OCB54"/>
      <c r="OCC54"/>
      <c r="OCD54"/>
      <c r="OCE54"/>
      <c r="OCF54"/>
      <c r="OCG54"/>
      <c r="OCH54"/>
      <c r="OCI54"/>
      <c r="OCJ54"/>
      <c r="OCK54"/>
      <c r="OCL54"/>
      <c r="OCM54"/>
      <c r="OCN54"/>
      <c r="OCO54"/>
      <c r="OCP54"/>
      <c r="OCQ54"/>
      <c r="OCR54"/>
      <c r="OCS54"/>
      <c r="OCT54"/>
      <c r="OCU54"/>
      <c r="OCV54"/>
      <c r="OCW54"/>
      <c r="OCX54"/>
      <c r="OCY54"/>
      <c r="OCZ54"/>
      <c r="ODA54"/>
      <c r="ODB54"/>
      <c r="ODC54"/>
      <c r="ODD54"/>
      <c r="ODE54"/>
      <c r="ODF54"/>
      <c r="ODG54"/>
      <c r="ODH54"/>
      <c r="ODI54"/>
      <c r="ODJ54"/>
      <c r="ODK54"/>
      <c r="ODL54"/>
      <c r="ODM54"/>
      <c r="ODN54"/>
      <c r="ODO54"/>
      <c r="ODP54"/>
      <c r="ODQ54"/>
      <c r="ODR54"/>
      <c r="ODS54"/>
      <c r="ODT54"/>
      <c r="ODU54"/>
      <c r="ODV54"/>
      <c r="ODW54"/>
      <c r="ODX54"/>
      <c r="ODY54"/>
      <c r="ODZ54"/>
      <c r="OEA54"/>
      <c r="OEB54"/>
      <c r="OEC54"/>
      <c r="OED54"/>
      <c r="OEE54"/>
      <c r="OEF54"/>
      <c r="OEG54"/>
      <c r="OEH54"/>
      <c r="OEI54"/>
      <c r="OEJ54"/>
      <c r="OEK54"/>
      <c r="OEL54"/>
      <c r="OEM54"/>
      <c r="OEN54"/>
      <c r="OEO54"/>
      <c r="OEP54"/>
      <c r="OEQ54"/>
      <c r="OER54"/>
      <c r="OES54"/>
      <c r="OET54"/>
      <c r="OEU54"/>
      <c r="OEV54"/>
      <c r="OEW54"/>
      <c r="OEX54"/>
      <c r="OEY54"/>
      <c r="OEZ54"/>
      <c r="OFA54"/>
      <c r="OFB54"/>
      <c r="OFC54"/>
      <c r="OFD54"/>
      <c r="OFE54"/>
      <c r="OFF54"/>
      <c r="OFG54"/>
      <c r="OFH54"/>
      <c r="OFI54"/>
      <c r="OFJ54"/>
      <c r="OFK54"/>
      <c r="OFL54"/>
      <c r="OFM54"/>
      <c r="OFN54"/>
      <c r="OFO54"/>
      <c r="OFP54"/>
      <c r="OFQ54"/>
      <c r="OFR54"/>
      <c r="OFS54"/>
      <c r="OFT54"/>
      <c r="OFU54"/>
      <c r="OFV54"/>
      <c r="OFW54"/>
      <c r="OFX54"/>
      <c r="OFY54"/>
      <c r="OFZ54"/>
      <c r="OGA54"/>
      <c r="OGB54"/>
      <c r="OGC54"/>
      <c r="OGD54"/>
      <c r="OGE54"/>
      <c r="OGF54"/>
      <c r="OGG54"/>
      <c r="OGH54"/>
      <c r="OGI54"/>
      <c r="OGJ54"/>
      <c r="OGK54"/>
      <c r="OGL54"/>
      <c r="OGM54"/>
      <c r="OGN54"/>
      <c r="OGO54"/>
      <c r="OGP54"/>
      <c r="OGQ54"/>
      <c r="OGR54"/>
      <c r="OGS54"/>
      <c r="OGT54"/>
      <c r="OGU54"/>
      <c r="OGV54"/>
      <c r="OGW54"/>
      <c r="OGX54"/>
      <c r="OGY54"/>
      <c r="OGZ54"/>
      <c r="OHA54"/>
      <c r="OHB54"/>
      <c r="OHC54"/>
      <c r="OHD54"/>
      <c r="OHE54"/>
      <c r="OHF54"/>
      <c r="OHG54"/>
      <c r="OHH54"/>
      <c r="OHI54"/>
      <c r="OHJ54"/>
      <c r="OHK54"/>
      <c r="OHL54"/>
      <c r="OHM54"/>
      <c r="OHN54"/>
      <c r="OHO54"/>
      <c r="OHP54"/>
      <c r="OHQ54"/>
      <c r="OHR54"/>
      <c r="OHS54"/>
      <c r="OHT54"/>
      <c r="OHU54"/>
      <c r="OHV54"/>
      <c r="OHW54"/>
      <c r="OHX54"/>
      <c r="OHY54"/>
      <c r="OHZ54"/>
      <c r="OIA54"/>
      <c r="OIB54"/>
      <c r="OIC54"/>
      <c r="OID54"/>
      <c r="OIE54"/>
      <c r="OIF54"/>
      <c r="OIG54"/>
      <c r="OIH54"/>
      <c r="OII54"/>
      <c r="OIJ54"/>
      <c r="OIK54"/>
      <c r="OIL54"/>
      <c r="OIM54"/>
      <c r="OIN54"/>
      <c r="OIO54"/>
      <c r="OIP54"/>
      <c r="OIQ54"/>
      <c r="OIR54"/>
      <c r="OIS54"/>
      <c r="OIT54"/>
      <c r="OIU54"/>
      <c r="OIV54"/>
      <c r="OIW54"/>
      <c r="OIX54"/>
      <c r="OIY54"/>
      <c r="OIZ54"/>
      <c r="OJA54"/>
      <c r="OJB54"/>
      <c r="OJC54"/>
      <c r="OJD54"/>
      <c r="OJE54"/>
      <c r="OJF54"/>
      <c r="OJG54"/>
      <c r="OJH54"/>
      <c r="OJI54"/>
      <c r="OJJ54"/>
      <c r="OJK54"/>
      <c r="OJL54"/>
      <c r="OJM54"/>
      <c r="OJN54"/>
      <c r="OJO54"/>
      <c r="OJP54"/>
      <c r="OJQ54"/>
      <c r="OJR54"/>
      <c r="OJS54"/>
      <c r="OJT54"/>
      <c r="OJU54"/>
      <c r="OJV54"/>
      <c r="OJW54"/>
      <c r="OJX54"/>
      <c r="OJY54"/>
      <c r="OJZ54"/>
      <c r="OKA54"/>
      <c r="OKB54"/>
      <c r="OKC54"/>
      <c r="OKD54"/>
      <c r="OKE54"/>
      <c r="OKF54"/>
      <c r="OKG54"/>
      <c r="OKH54"/>
      <c r="OKI54"/>
      <c r="OKJ54"/>
      <c r="OKK54"/>
      <c r="OKL54"/>
      <c r="OKM54"/>
      <c r="OKN54"/>
      <c r="OKO54"/>
      <c r="OKP54"/>
      <c r="OKQ54"/>
      <c r="OKR54"/>
      <c r="OKS54"/>
      <c r="OKT54"/>
      <c r="OKU54"/>
      <c r="OKV54"/>
      <c r="OKW54"/>
      <c r="OKX54"/>
      <c r="OKY54"/>
      <c r="OKZ54"/>
      <c r="OLA54"/>
      <c r="OLB54"/>
      <c r="OLC54"/>
      <c r="OLD54"/>
      <c r="OLE54"/>
      <c r="OLF54"/>
      <c r="OLG54"/>
      <c r="OLH54"/>
      <c r="OLI54"/>
      <c r="OLJ54"/>
      <c r="OLK54"/>
      <c r="OLL54"/>
      <c r="OLM54"/>
      <c r="OLN54"/>
      <c r="OLO54"/>
      <c r="OLP54"/>
      <c r="OLQ54"/>
      <c r="OLR54"/>
      <c r="OLS54"/>
      <c r="OLT54"/>
      <c r="OLU54"/>
      <c r="OLV54"/>
      <c r="OLW54"/>
      <c r="OLX54"/>
      <c r="OLY54"/>
      <c r="OLZ54"/>
      <c r="OMA54"/>
      <c r="OMB54"/>
      <c r="OMC54"/>
      <c r="OMD54"/>
      <c r="OME54"/>
      <c r="OMF54"/>
      <c r="OMG54"/>
      <c r="OMH54"/>
      <c r="OMI54"/>
      <c r="OMJ54"/>
      <c r="OMK54"/>
      <c r="OML54"/>
      <c r="OMM54"/>
      <c r="OMN54"/>
      <c r="OMO54"/>
      <c r="OMP54"/>
      <c r="OMQ54"/>
      <c r="OMR54"/>
      <c r="OMS54"/>
      <c r="OMT54"/>
      <c r="OMU54"/>
      <c r="OMV54"/>
      <c r="OMW54"/>
      <c r="OMX54"/>
      <c r="OMY54"/>
      <c r="OMZ54"/>
      <c r="ONA54"/>
      <c r="ONB54"/>
      <c r="ONC54"/>
      <c r="OND54"/>
      <c r="ONE54"/>
      <c r="ONF54"/>
      <c r="ONG54"/>
      <c r="ONH54"/>
      <c r="ONI54"/>
      <c r="ONJ54"/>
      <c r="ONK54"/>
      <c r="ONL54"/>
      <c r="ONM54"/>
      <c r="ONN54"/>
      <c r="ONO54"/>
      <c r="ONP54"/>
      <c r="ONQ54"/>
      <c r="ONR54"/>
      <c r="ONS54"/>
      <c r="ONT54"/>
      <c r="ONU54"/>
      <c r="ONV54"/>
      <c r="ONW54"/>
      <c r="ONX54"/>
      <c r="ONY54"/>
      <c r="ONZ54"/>
      <c r="OOA54"/>
      <c r="OOB54"/>
      <c r="OOC54"/>
      <c r="OOD54"/>
      <c r="OOE54"/>
      <c r="OOF54"/>
      <c r="OOG54"/>
      <c r="OOH54"/>
      <c r="OOI54"/>
      <c r="OOJ54"/>
      <c r="OOK54"/>
      <c r="OOL54"/>
      <c r="OOM54"/>
      <c r="OON54"/>
      <c r="OOO54"/>
      <c r="OOP54"/>
      <c r="OOQ54"/>
      <c r="OOR54"/>
      <c r="OOS54"/>
      <c r="OOT54"/>
      <c r="OOU54"/>
      <c r="OOV54"/>
      <c r="OOW54"/>
      <c r="OOX54"/>
      <c r="OOY54"/>
      <c r="OOZ54"/>
      <c r="OPA54"/>
      <c r="OPB54"/>
      <c r="OPC54"/>
      <c r="OPD54"/>
      <c r="OPE54"/>
      <c r="OPF54"/>
      <c r="OPG54"/>
      <c r="OPH54"/>
      <c r="OPI54"/>
      <c r="OPJ54"/>
      <c r="OPK54"/>
      <c r="OPL54"/>
      <c r="OPM54"/>
      <c r="OPN54"/>
      <c r="OPO54"/>
      <c r="OPP54"/>
      <c r="OPQ54"/>
      <c r="OPR54"/>
      <c r="OPS54"/>
      <c r="OPT54"/>
      <c r="OPU54"/>
      <c r="OPV54"/>
      <c r="OPW54"/>
      <c r="OPX54"/>
      <c r="OPY54"/>
      <c r="OPZ54"/>
      <c r="OQA54"/>
      <c r="OQB54"/>
      <c r="OQC54"/>
      <c r="OQD54"/>
      <c r="OQE54"/>
      <c r="OQF54"/>
      <c r="OQG54"/>
      <c r="OQH54"/>
      <c r="OQI54"/>
      <c r="OQJ54"/>
      <c r="OQK54"/>
      <c r="OQL54"/>
      <c r="OQM54"/>
      <c r="OQN54"/>
      <c r="OQO54"/>
      <c r="OQP54"/>
      <c r="OQQ54"/>
      <c r="OQR54"/>
      <c r="OQS54"/>
      <c r="OQT54"/>
      <c r="OQU54"/>
      <c r="OQV54"/>
      <c r="OQW54"/>
      <c r="OQX54"/>
      <c r="OQY54"/>
      <c r="OQZ54"/>
      <c r="ORA54"/>
      <c r="ORB54"/>
      <c r="ORC54"/>
      <c r="ORD54"/>
      <c r="ORE54"/>
      <c r="ORF54"/>
      <c r="ORG54"/>
      <c r="ORH54"/>
      <c r="ORI54"/>
      <c r="ORJ54"/>
      <c r="ORK54"/>
      <c r="ORL54"/>
      <c r="ORM54"/>
      <c r="ORN54"/>
      <c r="ORO54"/>
      <c r="ORP54"/>
      <c r="ORQ54"/>
      <c r="ORR54"/>
      <c r="ORS54"/>
      <c r="ORT54"/>
      <c r="ORU54"/>
      <c r="ORV54"/>
      <c r="ORW54"/>
      <c r="ORX54"/>
      <c r="ORY54"/>
      <c r="ORZ54"/>
      <c r="OSA54"/>
      <c r="OSB54"/>
      <c r="OSC54"/>
      <c r="OSD54"/>
      <c r="OSE54"/>
      <c r="OSF54"/>
      <c r="OSG54"/>
      <c r="OSH54"/>
      <c r="OSI54"/>
      <c r="OSJ54"/>
      <c r="OSK54"/>
      <c r="OSL54"/>
      <c r="OSM54"/>
      <c r="OSN54"/>
      <c r="OSO54"/>
      <c r="OSP54"/>
      <c r="OSQ54"/>
      <c r="OSR54"/>
      <c r="OSS54"/>
      <c r="OST54"/>
      <c r="OSU54"/>
      <c r="OSV54"/>
      <c r="OSW54"/>
      <c r="OSX54"/>
      <c r="OSY54"/>
      <c r="OSZ54"/>
      <c r="OTA54"/>
      <c r="OTB54"/>
      <c r="OTC54"/>
      <c r="OTD54"/>
      <c r="OTE54"/>
      <c r="OTF54"/>
      <c r="OTG54"/>
      <c r="OTH54"/>
      <c r="OTI54"/>
      <c r="OTJ54"/>
      <c r="OTK54"/>
      <c r="OTL54"/>
      <c r="OTM54"/>
      <c r="OTN54"/>
      <c r="OTO54"/>
      <c r="OTP54"/>
      <c r="OTQ54"/>
      <c r="OTR54"/>
      <c r="OTS54"/>
      <c r="OTT54"/>
      <c r="OTU54"/>
      <c r="OTV54"/>
      <c r="OTW54"/>
      <c r="OTX54"/>
      <c r="OTY54"/>
      <c r="OTZ54"/>
      <c r="OUA54"/>
      <c r="OUB54"/>
      <c r="OUC54"/>
      <c r="OUD54"/>
      <c r="OUE54"/>
      <c r="OUF54"/>
      <c r="OUG54"/>
      <c r="OUH54"/>
      <c r="OUI54"/>
      <c r="OUJ54"/>
      <c r="OUK54"/>
      <c r="OUL54"/>
      <c r="OUM54"/>
      <c r="OUN54"/>
      <c r="OUO54"/>
      <c r="OUP54"/>
      <c r="OUQ54"/>
      <c r="OUR54"/>
      <c r="OUS54"/>
      <c r="OUT54"/>
      <c r="OUU54"/>
      <c r="OUV54"/>
      <c r="OUW54"/>
      <c r="OUX54"/>
      <c r="OUY54"/>
      <c r="OUZ54"/>
      <c r="OVA54"/>
      <c r="OVB54"/>
      <c r="OVC54"/>
      <c r="OVD54"/>
      <c r="OVE54"/>
      <c r="OVF54"/>
      <c r="OVG54"/>
      <c r="OVH54"/>
      <c r="OVI54"/>
      <c r="OVJ54"/>
      <c r="OVK54"/>
      <c r="OVL54"/>
      <c r="OVM54"/>
      <c r="OVN54"/>
      <c r="OVO54"/>
      <c r="OVP54"/>
      <c r="OVQ54"/>
      <c r="OVR54"/>
      <c r="OVS54"/>
      <c r="OVT54"/>
      <c r="OVU54"/>
      <c r="OVV54"/>
      <c r="OVW54"/>
      <c r="OVX54"/>
      <c r="OVY54"/>
      <c r="OVZ54"/>
      <c r="OWA54"/>
      <c r="OWB54"/>
      <c r="OWC54"/>
      <c r="OWD54"/>
      <c r="OWE54"/>
      <c r="OWF54"/>
      <c r="OWG54"/>
      <c r="OWH54"/>
      <c r="OWI54"/>
      <c r="OWJ54"/>
      <c r="OWK54"/>
      <c r="OWL54"/>
      <c r="OWM54"/>
      <c r="OWN54"/>
      <c r="OWO54"/>
      <c r="OWP54"/>
      <c r="OWQ54"/>
      <c r="OWR54"/>
      <c r="OWS54"/>
      <c r="OWT54"/>
      <c r="OWU54"/>
      <c r="OWV54"/>
      <c r="OWW54"/>
      <c r="OWX54"/>
      <c r="OWY54"/>
      <c r="OWZ54"/>
      <c r="OXA54"/>
      <c r="OXB54"/>
      <c r="OXC54"/>
      <c r="OXD54"/>
      <c r="OXE54"/>
      <c r="OXF54"/>
      <c r="OXG54"/>
      <c r="OXH54"/>
      <c r="OXI54"/>
      <c r="OXJ54"/>
      <c r="OXK54"/>
      <c r="OXL54"/>
      <c r="OXM54"/>
      <c r="OXN54"/>
      <c r="OXO54"/>
      <c r="OXP54"/>
      <c r="OXQ54"/>
      <c r="OXR54"/>
      <c r="OXS54"/>
      <c r="OXT54"/>
      <c r="OXU54"/>
      <c r="OXV54"/>
      <c r="OXW54"/>
      <c r="OXX54"/>
      <c r="OXY54"/>
      <c r="OXZ54"/>
      <c r="OYA54"/>
      <c r="OYB54"/>
      <c r="OYC54"/>
      <c r="OYD54"/>
      <c r="OYE54"/>
      <c r="OYF54"/>
      <c r="OYG54"/>
      <c r="OYH54"/>
      <c r="OYI54"/>
      <c r="OYJ54"/>
      <c r="OYK54"/>
      <c r="OYL54"/>
      <c r="OYM54"/>
      <c r="OYN54"/>
      <c r="OYO54"/>
      <c r="OYP54"/>
      <c r="OYQ54"/>
      <c r="OYR54"/>
      <c r="OYS54"/>
      <c r="OYT54"/>
      <c r="OYU54"/>
      <c r="OYV54"/>
      <c r="OYW54"/>
      <c r="OYX54"/>
      <c r="OYY54"/>
      <c r="OYZ54"/>
      <c r="OZA54"/>
      <c r="OZB54"/>
      <c r="OZC54"/>
      <c r="OZD54"/>
      <c r="OZE54"/>
      <c r="OZF54"/>
      <c r="OZG54"/>
      <c r="OZH54"/>
      <c r="OZI54"/>
      <c r="OZJ54"/>
      <c r="OZK54"/>
      <c r="OZL54"/>
      <c r="OZM54"/>
      <c r="OZN54"/>
      <c r="OZO54"/>
      <c r="OZP54"/>
      <c r="OZQ54"/>
      <c r="OZR54"/>
      <c r="OZS54"/>
      <c r="OZT54"/>
      <c r="OZU54"/>
      <c r="OZV54"/>
      <c r="OZW54"/>
      <c r="OZX54"/>
      <c r="OZY54"/>
      <c r="OZZ54"/>
      <c r="PAA54"/>
      <c r="PAB54"/>
      <c r="PAC54"/>
      <c r="PAD54"/>
      <c r="PAE54"/>
      <c r="PAF54"/>
      <c r="PAG54"/>
      <c r="PAH54"/>
      <c r="PAI54"/>
      <c r="PAJ54"/>
      <c r="PAK54"/>
      <c r="PAL54"/>
      <c r="PAM54"/>
      <c r="PAN54"/>
      <c r="PAO54"/>
      <c r="PAP54"/>
      <c r="PAQ54"/>
      <c r="PAR54"/>
      <c r="PAS54"/>
      <c r="PAT54"/>
      <c r="PAU54"/>
      <c r="PAV54"/>
      <c r="PAW54"/>
      <c r="PAX54"/>
      <c r="PAY54"/>
      <c r="PAZ54"/>
      <c r="PBA54"/>
      <c r="PBB54"/>
      <c r="PBC54"/>
      <c r="PBD54"/>
      <c r="PBE54"/>
      <c r="PBF54"/>
      <c r="PBG54"/>
      <c r="PBH54"/>
      <c r="PBI54"/>
      <c r="PBJ54"/>
      <c r="PBK54"/>
      <c r="PBL54"/>
      <c r="PBM54"/>
      <c r="PBN54"/>
      <c r="PBO54"/>
      <c r="PBP54"/>
      <c r="PBQ54"/>
      <c r="PBR54"/>
      <c r="PBS54"/>
      <c r="PBT54"/>
      <c r="PBU54"/>
      <c r="PBV54"/>
      <c r="PBW54"/>
      <c r="PBX54"/>
      <c r="PBY54"/>
      <c r="PBZ54"/>
      <c r="PCA54"/>
      <c r="PCB54"/>
      <c r="PCC54"/>
      <c r="PCD54"/>
      <c r="PCE54"/>
      <c r="PCF54"/>
      <c r="PCG54"/>
      <c r="PCH54"/>
      <c r="PCI54"/>
      <c r="PCJ54"/>
      <c r="PCK54"/>
      <c r="PCL54"/>
      <c r="PCM54"/>
      <c r="PCN54"/>
      <c r="PCO54"/>
      <c r="PCP54"/>
      <c r="PCQ54"/>
      <c r="PCR54"/>
      <c r="PCS54"/>
      <c r="PCT54"/>
      <c r="PCU54"/>
      <c r="PCV54"/>
      <c r="PCW54"/>
      <c r="PCX54"/>
      <c r="PCY54"/>
      <c r="PCZ54"/>
      <c r="PDA54"/>
      <c r="PDB54"/>
      <c r="PDC54"/>
      <c r="PDD54"/>
      <c r="PDE54"/>
      <c r="PDF54"/>
      <c r="PDG54"/>
      <c r="PDH54"/>
      <c r="PDI54"/>
      <c r="PDJ54"/>
      <c r="PDK54"/>
      <c r="PDL54"/>
      <c r="PDM54"/>
      <c r="PDN54"/>
      <c r="PDO54"/>
      <c r="PDP54"/>
      <c r="PDQ54"/>
      <c r="PDR54"/>
      <c r="PDS54"/>
      <c r="PDT54"/>
      <c r="PDU54"/>
      <c r="PDV54"/>
      <c r="PDW54"/>
      <c r="PDX54"/>
      <c r="PDY54"/>
      <c r="PDZ54"/>
      <c r="PEA54"/>
      <c r="PEB54"/>
      <c r="PEC54"/>
      <c r="PED54"/>
      <c r="PEE54"/>
      <c r="PEF54"/>
      <c r="PEG54"/>
      <c r="PEH54"/>
      <c r="PEI54"/>
      <c r="PEJ54"/>
      <c r="PEK54"/>
      <c r="PEL54"/>
      <c r="PEM54"/>
      <c r="PEN54"/>
      <c r="PEO54"/>
      <c r="PEP54"/>
      <c r="PEQ54"/>
      <c r="PER54"/>
      <c r="PES54"/>
      <c r="PET54"/>
      <c r="PEU54"/>
      <c r="PEV54"/>
      <c r="PEW54"/>
      <c r="PEX54"/>
      <c r="PEY54"/>
      <c r="PEZ54"/>
      <c r="PFA54"/>
      <c r="PFB54"/>
      <c r="PFC54"/>
      <c r="PFD54"/>
      <c r="PFE54"/>
      <c r="PFF54"/>
      <c r="PFG54"/>
      <c r="PFH54"/>
      <c r="PFI54"/>
      <c r="PFJ54"/>
      <c r="PFK54"/>
      <c r="PFL54"/>
      <c r="PFM54"/>
      <c r="PFN54"/>
      <c r="PFO54"/>
      <c r="PFP54"/>
      <c r="PFQ54"/>
      <c r="PFR54"/>
      <c r="PFS54"/>
      <c r="PFT54"/>
      <c r="PFU54"/>
      <c r="PFV54"/>
      <c r="PFW54"/>
      <c r="PFX54"/>
      <c r="PFY54"/>
      <c r="PFZ54"/>
      <c r="PGA54"/>
      <c r="PGB54"/>
      <c r="PGC54"/>
      <c r="PGD54"/>
      <c r="PGE54"/>
      <c r="PGF54"/>
      <c r="PGG54"/>
      <c r="PGH54"/>
      <c r="PGI54"/>
      <c r="PGJ54"/>
      <c r="PGK54"/>
      <c r="PGL54"/>
      <c r="PGM54"/>
      <c r="PGN54"/>
      <c r="PGO54"/>
      <c r="PGP54"/>
      <c r="PGQ54"/>
      <c r="PGR54"/>
      <c r="PGS54"/>
      <c r="PGT54"/>
      <c r="PGU54"/>
      <c r="PGV54"/>
      <c r="PGW54"/>
      <c r="PGX54"/>
      <c r="PGY54"/>
      <c r="PGZ54"/>
      <c r="PHA54"/>
      <c r="PHB54"/>
      <c r="PHC54"/>
      <c r="PHD54"/>
      <c r="PHE54"/>
      <c r="PHF54"/>
      <c r="PHG54"/>
      <c r="PHH54"/>
      <c r="PHI54"/>
      <c r="PHJ54"/>
      <c r="PHK54"/>
      <c r="PHL54"/>
      <c r="PHM54"/>
      <c r="PHN54"/>
      <c r="PHO54"/>
      <c r="PHP54"/>
      <c r="PHQ54"/>
      <c r="PHR54"/>
      <c r="PHS54"/>
      <c r="PHT54"/>
      <c r="PHU54"/>
      <c r="PHV54"/>
      <c r="PHW54"/>
      <c r="PHX54"/>
      <c r="PHY54"/>
      <c r="PHZ54"/>
      <c r="PIA54"/>
      <c r="PIB54"/>
      <c r="PIC54"/>
      <c r="PID54"/>
      <c r="PIE54"/>
      <c r="PIF54"/>
      <c r="PIG54"/>
      <c r="PIH54"/>
      <c r="PII54"/>
      <c r="PIJ54"/>
      <c r="PIK54"/>
      <c r="PIL54"/>
      <c r="PIM54"/>
      <c r="PIN54"/>
      <c r="PIO54"/>
      <c r="PIP54"/>
      <c r="PIQ54"/>
      <c r="PIR54"/>
      <c r="PIS54"/>
      <c r="PIT54"/>
      <c r="PIU54"/>
      <c r="PIV54"/>
      <c r="PIW54"/>
      <c r="PIX54"/>
      <c r="PIY54"/>
      <c r="PIZ54"/>
      <c r="PJA54"/>
      <c r="PJB54"/>
      <c r="PJC54"/>
      <c r="PJD54"/>
      <c r="PJE54"/>
      <c r="PJF54"/>
      <c r="PJG54"/>
      <c r="PJH54"/>
      <c r="PJI54"/>
      <c r="PJJ54"/>
      <c r="PJK54"/>
      <c r="PJL54"/>
      <c r="PJM54"/>
      <c r="PJN54"/>
      <c r="PJO54"/>
      <c r="PJP54"/>
      <c r="PJQ54"/>
      <c r="PJR54"/>
      <c r="PJS54"/>
      <c r="PJT54"/>
      <c r="PJU54"/>
      <c r="PJV54"/>
      <c r="PJW54"/>
      <c r="PJX54"/>
      <c r="PJY54"/>
      <c r="PJZ54"/>
      <c r="PKA54"/>
      <c r="PKB54"/>
      <c r="PKC54"/>
      <c r="PKD54"/>
      <c r="PKE54"/>
      <c r="PKF54"/>
      <c r="PKG54"/>
      <c r="PKH54"/>
      <c r="PKI54"/>
      <c r="PKJ54"/>
      <c r="PKK54"/>
      <c r="PKL54"/>
      <c r="PKM54"/>
      <c r="PKN54"/>
      <c r="PKO54"/>
      <c r="PKP54"/>
      <c r="PKQ54"/>
      <c r="PKR54"/>
      <c r="PKS54"/>
      <c r="PKT54"/>
      <c r="PKU54"/>
      <c r="PKV54"/>
      <c r="PKW54"/>
      <c r="PKX54"/>
      <c r="PKY54"/>
      <c r="PKZ54"/>
      <c r="PLA54"/>
      <c r="PLB54"/>
      <c r="PLC54"/>
      <c r="PLD54"/>
      <c r="PLE54"/>
      <c r="PLF54"/>
      <c r="PLG54"/>
      <c r="PLH54"/>
      <c r="PLI54"/>
      <c r="PLJ54"/>
      <c r="PLK54"/>
      <c r="PLL54"/>
      <c r="PLM54"/>
      <c r="PLN54"/>
      <c r="PLO54"/>
      <c r="PLP54"/>
      <c r="PLQ54"/>
      <c r="PLR54"/>
      <c r="PLS54"/>
      <c r="PLT54"/>
      <c r="PLU54"/>
      <c r="PLV54"/>
      <c r="PLW54"/>
      <c r="PLX54"/>
      <c r="PLY54"/>
      <c r="PLZ54"/>
      <c r="PMA54"/>
      <c r="PMB54"/>
      <c r="PMC54"/>
      <c r="PMD54"/>
      <c r="PME54"/>
      <c r="PMF54"/>
      <c r="PMG54"/>
      <c r="PMH54"/>
      <c r="PMI54"/>
      <c r="PMJ54"/>
      <c r="PMK54"/>
      <c r="PML54"/>
      <c r="PMM54"/>
      <c r="PMN54"/>
      <c r="PMO54"/>
      <c r="PMP54"/>
      <c r="PMQ54"/>
      <c r="PMR54"/>
      <c r="PMS54"/>
      <c r="PMT54"/>
      <c r="PMU54"/>
      <c r="PMV54"/>
      <c r="PMW54"/>
      <c r="PMX54"/>
      <c r="PMY54"/>
      <c r="PMZ54"/>
      <c r="PNA54"/>
      <c r="PNB54"/>
      <c r="PNC54"/>
      <c r="PND54"/>
      <c r="PNE54"/>
      <c r="PNF54"/>
      <c r="PNG54"/>
      <c r="PNH54"/>
      <c r="PNI54"/>
      <c r="PNJ54"/>
      <c r="PNK54"/>
      <c r="PNL54"/>
      <c r="PNM54"/>
      <c r="PNN54"/>
      <c r="PNO54"/>
      <c r="PNP54"/>
      <c r="PNQ54"/>
      <c r="PNR54"/>
      <c r="PNS54"/>
      <c r="PNT54"/>
      <c r="PNU54"/>
      <c r="PNV54"/>
      <c r="PNW54"/>
      <c r="PNX54"/>
      <c r="PNY54"/>
      <c r="PNZ54"/>
      <c r="POA54"/>
      <c r="POB54"/>
      <c r="POC54"/>
      <c r="POD54"/>
      <c r="POE54"/>
      <c r="POF54"/>
      <c r="POG54"/>
      <c r="POH54"/>
      <c r="POI54"/>
      <c r="POJ54"/>
      <c r="POK54"/>
      <c r="POL54"/>
      <c r="POM54"/>
      <c r="PON54"/>
      <c r="POO54"/>
      <c r="POP54"/>
      <c r="POQ54"/>
      <c r="POR54"/>
      <c r="POS54"/>
      <c r="POT54"/>
      <c r="POU54"/>
      <c r="POV54"/>
      <c r="POW54"/>
      <c r="POX54"/>
      <c r="POY54"/>
      <c r="POZ54"/>
      <c r="PPA54"/>
      <c r="PPB54"/>
      <c r="PPC54"/>
      <c r="PPD54"/>
      <c r="PPE54"/>
      <c r="PPF54"/>
      <c r="PPG54"/>
      <c r="PPH54"/>
      <c r="PPI54"/>
      <c r="PPJ54"/>
      <c r="PPK54"/>
      <c r="PPL54"/>
      <c r="PPM54"/>
      <c r="PPN54"/>
      <c r="PPO54"/>
      <c r="PPP54"/>
      <c r="PPQ54"/>
      <c r="PPR54"/>
      <c r="PPS54"/>
      <c r="PPT54"/>
      <c r="PPU54"/>
      <c r="PPV54"/>
      <c r="PPW54"/>
      <c r="PPX54"/>
      <c r="PPY54"/>
      <c r="PPZ54"/>
      <c r="PQA54"/>
      <c r="PQB54"/>
      <c r="PQC54"/>
      <c r="PQD54"/>
      <c r="PQE54"/>
      <c r="PQF54"/>
      <c r="PQG54"/>
      <c r="PQH54"/>
      <c r="PQI54"/>
      <c r="PQJ54"/>
      <c r="PQK54"/>
      <c r="PQL54"/>
      <c r="PQM54"/>
      <c r="PQN54"/>
      <c r="PQO54"/>
      <c r="PQP54"/>
      <c r="PQQ54"/>
      <c r="PQR54"/>
      <c r="PQS54"/>
      <c r="PQT54"/>
      <c r="PQU54"/>
      <c r="PQV54"/>
      <c r="PQW54"/>
      <c r="PQX54"/>
      <c r="PQY54"/>
      <c r="PQZ54"/>
      <c r="PRA54"/>
      <c r="PRB54"/>
      <c r="PRC54"/>
      <c r="PRD54"/>
      <c r="PRE54"/>
      <c r="PRF54"/>
      <c r="PRG54"/>
      <c r="PRH54"/>
      <c r="PRI54"/>
      <c r="PRJ54"/>
      <c r="PRK54"/>
      <c r="PRL54"/>
      <c r="PRM54"/>
      <c r="PRN54"/>
      <c r="PRO54"/>
      <c r="PRP54"/>
      <c r="PRQ54"/>
      <c r="PRR54"/>
      <c r="PRS54"/>
      <c r="PRT54"/>
      <c r="PRU54"/>
      <c r="PRV54"/>
      <c r="PRW54"/>
      <c r="PRX54"/>
      <c r="PRY54"/>
      <c r="PRZ54"/>
      <c r="PSA54"/>
      <c r="PSB54"/>
      <c r="PSC54"/>
      <c r="PSD54"/>
      <c r="PSE54"/>
      <c r="PSF54"/>
      <c r="PSG54"/>
      <c r="PSH54"/>
      <c r="PSI54"/>
      <c r="PSJ54"/>
      <c r="PSK54"/>
      <c r="PSL54"/>
      <c r="PSM54"/>
      <c r="PSN54"/>
      <c r="PSO54"/>
      <c r="PSP54"/>
      <c r="PSQ54"/>
      <c r="PSR54"/>
      <c r="PSS54"/>
      <c r="PST54"/>
      <c r="PSU54"/>
      <c r="PSV54"/>
      <c r="PSW54"/>
      <c r="PSX54"/>
      <c r="PSY54"/>
      <c r="PSZ54"/>
      <c r="PTA54"/>
      <c r="PTB54"/>
      <c r="PTC54"/>
      <c r="PTD54"/>
      <c r="PTE54"/>
      <c r="PTF54"/>
      <c r="PTG54"/>
      <c r="PTH54"/>
      <c r="PTI54"/>
      <c r="PTJ54"/>
      <c r="PTK54"/>
      <c r="PTL54"/>
      <c r="PTM54"/>
      <c r="PTN54"/>
      <c r="PTO54"/>
      <c r="PTP54"/>
      <c r="PTQ54"/>
      <c r="PTR54"/>
      <c r="PTS54"/>
      <c r="PTT54"/>
      <c r="PTU54"/>
      <c r="PTV54"/>
      <c r="PTW54"/>
      <c r="PTX54"/>
      <c r="PTY54"/>
      <c r="PTZ54"/>
      <c r="PUA54"/>
      <c r="PUB54"/>
      <c r="PUC54"/>
      <c r="PUD54"/>
      <c r="PUE54"/>
      <c r="PUF54"/>
      <c r="PUG54"/>
      <c r="PUH54"/>
      <c r="PUI54"/>
      <c r="PUJ54"/>
      <c r="PUK54"/>
      <c r="PUL54"/>
      <c r="PUM54"/>
      <c r="PUN54"/>
      <c r="PUO54"/>
      <c r="PUP54"/>
      <c r="PUQ54"/>
      <c r="PUR54"/>
      <c r="PUS54"/>
      <c r="PUT54"/>
      <c r="PUU54"/>
      <c r="PUV54"/>
      <c r="PUW54"/>
      <c r="PUX54"/>
      <c r="PUY54"/>
      <c r="PUZ54"/>
      <c r="PVA54"/>
      <c r="PVB54"/>
      <c r="PVC54"/>
      <c r="PVD54"/>
      <c r="PVE54"/>
      <c r="PVF54"/>
      <c r="PVG54"/>
      <c r="PVH54"/>
      <c r="PVI54"/>
      <c r="PVJ54"/>
      <c r="PVK54"/>
      <c r="PVL54"/>
      <c r="PVM54"/>
      <c r="PVN54"/>
      <c r="PVO54"/>
      <c r="PVP54"/>
      <c r="PVQ54"/>
      <c r="PVR54"/>
      <c r="PVS54"/>
      <c r="PVT54"/>
      <c r="PVU54"/>
      <c r="PVV54"/>
      <c r="PVW54"/>
      <c r="PVX54"/>
      <c r="PVY54"/>
      <c r="PVZ54"/>
      <c r="PWA54"/>
      <c r="PWB54"/>
      <c r="PWC54"/>
      <c r="PWD54"/>
      <c r="PWE54"/>
      <c r="PWF54"/>
      <c r="PWG54"/>
      <c r="PWH54"/>
      <c r="PWI54"/>
      <c r="PWJ54"/>
      <c r="PWK54"/>
      <c r="PWL54"/>
      <c r="PWM54"/>
      <c r="PWN54"/>
      <c r="PWO54"/>
      <c r="PWP54"/>
      <c r="PWQ54"/>
      <c r="PWR54"/>
      <c r="PWS54"/>
      <c r="PWT54"/>
      <c r="PWU54"/>
      <c r="PWV54"/>
      <c r="PWW54"/>
      <c r="PWX54"/>
      <c r="PWY54"/>
      <c r="PWZ54"/>
      <c r="PXA54"/>
      <c r="PXB54"/>
      <c r="PXC54"/>
      <c r="PXD54"/>
      <c r="PXE54"/>
      <c r="PXF54"/>
      <c r="PXG54"/>
      <c r="PXH54"/>
      <c r="PXI54"/>
      <c r="PXJ54"/>
      <c r="PXK54"/>
      <c r="PXL54"/>
      <c r="PXM54"/>
      <c r="PXN54"/>
      <c r="PXO54"/>
      <c r="PXP54"/>
      <c r="PXQ54"/>
      <c r="PXR54"/>
      <c r="PXS54"/>
      <c r="PXT54"/>
      <c r="PXU54"/>
      <c r="PXV54"/>
      <c r="PXW54"/>
      <c r="PXX54"/>
      <c r="PXY54"/>
      <c r="PXZ54"/>
      <c r="PYA54"/>
      <c r="PYB54"/>
      <c r="PYC54"/>
      <c r="PYD54"/>
      <c r="PYE54"/>
      <c r="PYF54"/>
      <c r="PYG54"/>
      <c r="PYH54"/>
      <c r="PYI54"/>
      <c r="PYJ54"/>
      <c r="PYK54"/>
      <c r="PYL54"/>
      <c r="PYM54"/>
      <c r="PYN54"/>
      <c r="PYO54"/>
      <c r="PYP54"/>
      <c r="PYQ54"/>
      <c r="PYR54"/>
      <c r="PYS54"/>
      <c r="PYT54"/>
      <c r="PYU54"/>
      <c r="PYV54"/>
      <c r="PYW54"/>
      <c r="PYX54"/>
      <c r="PYY54"/>
      <c r="PYZ54"/>
      <c r="PZA54"/>
      <c r="PZB54"/>
      <c r="PZC54"/>
      <c r="PZD54"/>
      <c r="PZE54"/>
      <c r="PZF54"/>
      <c r="PZG54"/>
      <c r="PZH54"/>
      <c r="PZI54"/>
      <c r="PZJ54"/>
      <c r="PZK54"/>
      <c r="PZL54"/>
      <c r="PZM54"/>
      <c r="PZN54"/>
      <c r="PZO54"/>
      <c r="PZP54"/>
      <c r="PZQ54"/>
      <c r="PZR54"/>
      <c r="PZS54"/>
      <c r="PZT54"/>
      <c r="PZU54"/>
      <c r="PZV54"/>
      <c r="PZW54"/>
      <c r="PZX54"/>
      <c r="PZY54"/>
      <c r="PZZ54"/>
      <c r="QAA54"/>
      <c r="QAB54"/>
      <c r="QAC54"/>
      <c r="QAD54"/>
      <c r="QAE54"/>
      <c r="QAF54"/>
      <c r="QAG54"/>
      <c r="QAH54"/>
      <c r="QAI54"/>
      <c r="QAJ54"/>
      <c r="QAK54"/>
      <c r="QAL54"/>
      <c r="QAM54"/>
      <c r="QAN54"/>
      <c r="QAO54"/>
      <c r="QAP54"/>
      <c r="QAQ54"/>
      <c r="QAR54"/>
      <c r="QAS54"/>
      <c r="QAT54"/>
      <c r="QAU54"/>
      <c r="QAV54"/>
      <c r="QAW54"/>
      <c r="QAX54"/>
      <c r="QAY54"/>
      <c r="QAZ54"/>
      <c r="QBA54"/>
      <c r="QBB54"/>
      <c r="QBC54"/>
      <c r="QBD54"/>
      <c r="QBE54"/>
      <c r="QBF54"/>
      <c r="QBG54"/>
      <c r="QBH54"/>
      <c r="QBI54"/>
      <c r="QBJ54"/>
      <c r="QBK54"/>
      <c r="QBL54"/>
      <c r="QBM54"/>
      <c r="QBN54"/>
      <c r="QBO54"/>
      <c r="QBP54"/>
      <c r="QBQ54"/>
      <c r="QBR54"/>
      <c r="QBS54"/>
      <c r="QBT54"/>
      <c r="QBU54"/>
      <c r="QBV54"/>
      <c r="QBW54"/>
      <c r="QBX54"/>
      <c r="QBY54"/>
      <c r="QBZ54"/>
      <c r="QCA54"/>
      <c r="QCB54"/>
      <c r="QCC54"/>
      <c r="QCD54"/>
      <c r="QCE54"/>
      <c r="QCF54"/>
      <c r="QCG54"/>
      <c r="QCH54"/>
      <c r="QCI54"/>
      <c r="QCJ54"/>
      <c r="QCK54"/>
      <c r="QCL54"/>
      <c r="QCM54"/>
      <c r="QCN54"/>
      <c r="QCO54"/>
      <c r="QCP54"/>
      <c r="QCQ54"/>
      <c r="QCR54"/>
      <c r="QCS54"/>
      <c r="QCT54"/>
      <c r="QCU54"/>
      <c r="QCV54"/>
      <c r="QCW54"/>
      <c r="QCX54"/>
      <c r="QCY54"/>
      <c r="QCZ54"/>
      <c r="QDA54"/>
      <c r="QDB54"/>
      <c r="QDC54"/>
      <c r="QDD54"/>
      <c r="QDE54"/>
      <c r="QDF54"/>
      <c r="QDG54"/>
      <c r="QDH54"/>
      <c r="QDI54"/>
      <c r="QDJ54"/>
      <c r="QDK54"/>
      <c r="QDL54"/>
      <c r="QDM54"/>
      <c r="QDN54"/>
      <c r="QDO54"/>
      <c r="QDP54"/>
      <c r="QDQ54"/>
      <c r="QDR54"/>
      <c r="QDS54"/>
      <c r="QDT54"/>
      <c r="QDU54"/>
      <c r="QDV54"/>
      <c r="QDW54"/>
      <c r="QDX54"/>
      <c r="QDY54"/>
      <c r="QDZ54"/>
      <c r="QEA54"/>
      <c r="QEB54"/>
      <c r="QEC54"/>
      <c r="QED54"/>
      <c r="QEE54"/>
      <c r="QEF54"/>
      <c r="QEG54"/>
      <c r="QEH54"/>
      <c r="QEI54"/>
      <c r="QEJ54"/>
      <c r="QEK54"/>
      <c r="QEL54"/>
      <c r="QEM54"/>
      <c r="QEN54"/>
      <c r="QEO54"/>
      <c r="QEP54"/>
      <c r="QEQ54"/>
      <c r="QER54"/>
      <c r="QES54"/>
      <c r="QET54"/>
      <c r="QEU54"/>
      <c r="QEV54"/>
      <c r="QEW54"/>
      <c r="QEX54"/>
      <c r="QEY54"/>
      <c r="QEZ54"/>
      <c r="QFA54"/>
      <c r="QFB54"/>
      <c r="QFC54"/>
      <c r="QFD54"/>
      <c r="QFE54"/>
      <c r="QFF54"/>
      <c r="QFG54"/>
      <c r="QFH54"/>
      <c r="QFI54"/>
      <c r="QFJ54"/>
      <c r="QFK54"/>
      <c r="QFL54"/>
      <c r="QFM54"/>
      <c r="QFN54"/>
      <c r="QFO54"/>
      <c r="QFP54"/>
      <c r="QFQ54"/>
      <c r="QFR54"/>
      <c r="QFS54"/>
      <c r="QFT54"/>
      <c r="QFU54"/>
      <c r="QFV54"/>
      <c r="QFW54"/>
      <c r="QFX54"/>
      <c r="QFY54"/>
      <c r="QFZ54"/>
      <c r="QGA54"/>
      <c r="QGB54"/>
      <c r="QGC54"/>
      <c r="QGD54"/>
      <c r="QGE54"/>
      <c r="QGF54"/>
      <c r="QGG54"/>
      <c r="QGH54"/>
      <c r="QGI54"/>
      <c r="QGJ54"/>
      <c r="QGK54"/>
      <c r="QGL54"/>
      <c r="QGM54"/>
      <c r="QGN54"/>
      <c r="QGO54"/>
      <c r="QGP54"/>
      <c r="QGQ54"/>
      <c r="QGR54"/>
      <c r="QGS54"/>
      <c r="QGT54"/>
      <c r="QGU54"/>
      <c r="QGV54"/>
      <c r="QGW54"/>
      <c r="QGX54"/>
      <c r="QGY54"/>
      <c r="QGZ54"/>
      <c r="QHA54"/>
      <c r="QHB54"/>
      <c r="QHC54"/>
      <c r="QHD54"/>
      <c r="QHE54"/>
      <c r="QHF54"/>
      <c r="QHG54"/>
      <c r="QHH54"/>
      <c r="QHI54"/>
      <c r="QHJ54"/>
      <c r="QHK54"/>
      <c r="QHL54"/>
      <c r="QHM54"/>
      <c r="QHN54"/>
      <c r="QHO54"/>
      <c r="QHP54"/>
      <c r="QHQ54"/>
      <c r="QHR54"/>
      <c r="QHS54"/>
      <c r="QHT54"/>
      <c r="QHU54"/>
      <c r="QHV54"/>
      <c r="QHW54"/>
      <c r="QHX54"/>
      <c r="QHY54"/>
      <c r="QHZ54"/>
      <c r="QIA54"/>
      <c r="QIB54"/>
      <c r="QIC54"/>
      <c r="QID54"/>
      <c r="QIE54"/>
      <c r="QIF54"/>
      <c r="QIG54"/>
      <c r="QIH54"/>
      <c r="QII54"/>
      <c r="QIJ54"/>
      <c r="QIK54"/>
      <c r="QIL54"/>
      <c r="QIM54"/>
      <c r="QIN54"/>
      <c r="QIO54"/>
      <c r="QIP54"/>
      <c r="QIQ54"/>
      <c r="QIR54"/>
      <c r="QIS54"/>
      <c r="QIT54"/>
      <c r="QIU54"/>
      <c r="QIV54"/>
      <c r="QIW54"/>
      <c r="QIX54"/>
      <c r="QIY54"/>
      <c r="QIZ54"/>
      <c r="QJA54"/>
      <c r="QJB54"/>
      <c r="QJC54"/>
      <c r="QJD54"/>
      <c r="QJE54"/>
      <c r="QJF54"/>
      <c r="QJG54"/>
      <c r="QJH54"/>
      <c r="QJI54"/>
      <c r="QJJ54"/>
      <c r="QJK54"/>
      <c r="QJL54"/>
      <c r="QJM54"/>
      <c r="QJN54"/>
      <c r="QJO54"/>
      <c r="QJP54"/>
      <c r="QJQ54"/>
      <c r="QJR54"/>
      <c r="QJS54"/>
      <c r="QJT54"/>
      <c r="QJU54"/>
      <c r="QJV54"/>
      <c r="QJW54"/>
      <c r="QJX54"/>
      <c r="QJY54"/>
      <c r="QJZ54"/>
      <c r="QKA54"/>
      <c r="QKB54"/>
      <c r="QKC54"/>
      <c r="QKD54"/>
      <c r="QKE54"/>
      <c r="QKF54"/>
      <c r="QKG54"/>
      <c r="QKH54"/>
      <c r="QKI54"/>
      <c r="QKJ54"/>
      <c r="QKK54"/>
      <c r="QKL54"/>
      <c r="QKM54"/>
      <c r="QKN54"/>
      <c r="QKO54"/>
      <c r="QKP54"/>
      <c r="QKQ54"/>
      <c r="QKR54"/>
      <c r="QKS54"/>
      <c r="QKT54"/>
      <c r="QKU54"/>
      <c r="QKV54"/>
      <c r="QKW54"/>
      <c r="QKX54"/>
      <c r="QKY54"/>
      <c r="QKZ54"/>
      <c r="QLA54"/>
      <c r="QLB54"/>
      <c r="QLC54"/>
      <c r="QLD54"/>
      <c r="QLE54"/>
      <c r="QLF54"/>
      <c r="QLG54"/>
      <c r="QLH54"/>
      <c r="QLI54"/>
      <c r="QLJ54"/>
      <c r="QLK54"/>
      <c r="QLL54"/>
      <c r="QLM54"/>
      <c r="QLN54"/>
      <c r="QLO54"/>
      <c r="QLP54"/>
      <c r="QLQ54"/>
      <c r="QLR54"/>
      <c r="QLS54"/>
      <c r="QLT54"/>
      <c r="QLU54"/>
      <c r="QLV54"/>
      <c r="QLW54"/>
      <c r="QLX54"/>
      <c r="QLY54"/>
      <c r="QLZ54"/>
      <c r="QMA54"/>
      <c r="QMB54"/>
      <c r="QMC54"/>
      <c r="QMD54"/>
      <c r="QME54"/>
      <c r="QMF54"/>
      <c r="QMG54"/>
      <c r="QMH54"/>
      <c r="QMI54"/>
      <c r="QMJ54"/>
      <c r="QMK54"/>
      <c r="QML54"/>
      <c r="QMM54"/>
      <c r="QMN54"/>
      <c r="QMO54"/>
      <c r="QMP54"/>
      <c r="QMQ54"/>
      <c r="QMR54"/>
      <c r="QMS54"/>
      <c r="QMT54"/>
      <c r="QMU54"/>
      <c r="QMV54"/>
      <c r="QMW54"/>
      <c r="QMX54"/>
      <c r="QMY54"/>
      <c r="QMZ54"/>
      <c r="QNA54"/>
      <c r="QNB54"/>
      <c r="QNC54"/>
      <c r="QND54"/>
      <c r="QNE54"/>
      <c r="QNF54"/>
      <c r="QNG54"/>
      <c r="QNH54"/>
      <c r="QNI54"/>
      <c r="QNJ54"/>
      <c r="QNK54"/>
      <c r="QNL54"/>
      <c r="QNM54"/>
      <c r="QNN54"/>
      <c r="QNO54"/>
      <c r="QNP54"/>
      <c r="QNQ54"/>
      <c r="QNR54"/>
      <c r="QNS54"/>
      <c r="QNT54"/>
      <c r="QNU54"/>
      <c r="QNV54"/>
      <c r="QNW54"/>
      <c r="QNX54"/>
      <c r="QNY54"/>
      <c r="QNZ54"/>
      <c r="QOA54"/>
      <c r="QOB54"/>
      <c r="QOC54"/>
      <c r="QOD54"/>
      <c r="QOE54"/>
      <c r="QOF54"/>
      <c r="QOG54"/>
      <c r="QOH54"/>
      <c r="QOI54"/>
      <c r="QOJ54"/>
      <c r="QOK54"/>
      <c r="QOL54"/>
      <c r="QOM54"/>
      <c r="QON54"/>
      <c r="QOO54"/>
      <c r="QOP54"/>
      <c r="QOQ54"/>
      <c r="QOR54"/>
      <c r="QOS54"/>
      <c r="QOT54"/>
      <c r="QOU54"/>
      <c r="QOV54"/>
      <c r="QOW54"/>
      <c r="QOX54"/>
      <c r="QOY54"/>
      <c r="QOZ54"/>
      <c r="QPA54"/>
      <c r="QPB54"/>
      <c r="QPC54"/>
      <c r="QPD54"/>
      <c r="QPE54"/>
      <c r="QPF54"/>
      <c r="QPG54"/>
      <c r="QPH54"/>
      <c r="QPI54"/>
      <c r="QPJ54"/>
      <c r="QPK54"/>
      <c r="QPL54"/>
      <c r="QPM54"/>
      <c r="QPN54"/>
      <c r="QPO54"/>
      <c r="QPP54"/>
      <c r="QPQ54"/>
      <c r="QPR54"/>
      <c r="QPS54"/>
      <c r="QPT54"/>
      <c r="QPU54"/>
      <c r="QPV54"/>
      <c r="QPW54"/>
      <c r="QPX54"/>
      <c r="QPY54"/>
      <c r="QPZ54"/>
      <c r="QQA54"/>
      <c r="QQB54"/>
      <c r="QQC54"/>
      <c r="QQD54"/>
      <c r="QQE54"/>
      <c r="QQF54"/>
      <c r="QQG54"/>
      <c r="QQH54"/>
      <c r="QQI54"/>
      <c r="QQJ54"/>
      <c r="QQK54"/>
      <c r="QQL54"/>
      <c r="QQM54"/>
      <c r="QQN54"/>
      <c r="QQO54"/>
      <c r="QQP54"/>
      <c r="QQQ54"/>
      <c r="QQR54"/>
      <c r="QQS54"/>
      <c r="QQT54"/>
      <c r="QQU54"/>
      <c r="QQV54"/>
      <c r="QQW54"/>
      <c r="QQX54"/>
      <c r="QQY54"/>
      <c r="QQZ54"/>
      <c r="QRA54"/>
      <c r="QRB54"/>
      <c r="QRC54"/>
      <c r="QRD54"/>
      <c r="QRE54"/>
      <c r="QRF54"/>
      <c r="QRG54"/>
      <c r="QRH54"/>
      <c r="QRI54"/>
      <c r="QRJ54"/>
      <c r="QRK54"/>
      <c r="QRL54"/>
      <c r="QRM54"/>
      <c r="QRN54"/>
      <c r="QRO54"/>
      <c r="QRP54"/>
      <c r="QRQ54"/>
      <c r="QRR54"/>
      <c r="QRS54"/>
      <c r="QRT54"/>
      <c r="QRU54"/>
      <c r="QRV54"/>
      <c r="QRW54"/>
      <c r="QRX54"/>
      <c r="QRY54"/>
      <c r="QRZ54"/>
      <c r="QSA54"/>
      <c r="QSB54"/>
      <c r="QSC54"/>
      <c r="QSD54"/>
      <c r="QSE54"/>
      <c r="QSF54"/>
      <c r="QSG54"/>
      <c r="QSH54"/>
      <c r="QSI54"/>
      <c r="QSJ54"/>
      <c r="QSK54"/>
      <c r="QSL54"/>
      <c r="QSM54"/>
      <c r="QSN54"/>
      <c r="QSO54"/>
      <c r="QSP54"/>
      <c r="QSQ54"/>
      <c r="QSR54"/>
      <c r="QSS54"/>
      <c r="QST54"/>
      <c r="QSU54"/>
      <c r="QSV54"/>
      <c r="QSW54"/>
      <c r="QSX54"/>
      <c r="QSY54"/>
      <c r="QSZ54"/>
      <c r="QTA54"/>
      <c r="QTB54"/>
      <c r="QTC54"/>
      <c r="QTD54"/>
      <c r="QTE54"/>
      <c r="QTF54"/>
      <c r="QTG54"/>
      <c r="QTH54"/>
      <c r="QTI54"/>
      <c r="QTJ54"/>
      <c r="QTK54"/>
      <c r="QTL54"/>
      <c r="QTM54"/>
      <c r="QTN54"/>
      <c r="QTO54"/>
      <c r="QTP54"/>
      <c r="QTQ54"/>
      <c r="QTR54"/>
      <c r="QTS54"/>
      <c r="QTT54"/>
      <c r="QTU54"/>
      <c r="QTV54"/>
      <c r="QTW54"/>
      <c r="QTX54"/>
      <c r="QTY54"/>
      <c r="QTZ54"/>
      <c r="QUA54"/>
      <c r="QUB54"/>
      <c r="QUC54"/>
      <c r="QUD54"/>
      <c r="QUE54"/>
      <c r="QUF54"/>
      <c r="QUG54"/>
      <c r="QUH54"/>
      <c r="QUI54"/>
      <c r="QUJ54"/>
      <c r="QUK54"/>
      <c r="QUL54"/>
      <c r="QUM54"/>
      <c r="QUN54"/>
      <c r="QUO54"/>
      <c r="QUP54"/>
      <c r="QUQ54"/>
      <c r="QUR54"/>
      <c r="QUS54"/>
      <c r="QUT54"/>
      <c r="QUU54"/>
      <c r="QUV54"/>
      <c r="QUW54"/>
      <c r="QUX54"/>
      <c r="QUY54"/>
      <c r="QUZ54"/>
      <c r="QVA54"/>
      <c r="QVB54"/>
      <c r="QVC54"/>
      <c r="QVD54"/>
      <c r="QVE54"/>
      <c r="QVF54"/>
      <c r="QVG54"/>
      <c r="QVH54"/>
      <c r="QVI54"/>
      <c r="QVJ54"/>
      <c r="QVK54"/>
      <c r="QVL54"/>
      <c r="QVM54"/>
      <c r="QVN54"/>
      <c r="QVO54"/>
      <c r="QVP54"/>
      <c r="QVQ54"/>
      <c r="QVR54"/>
      <c r="QVS54"/>
      <c r="QVT54"/>
      <c r="QVU54"/>
      <c r="QVV54"/>
      <c r="QVW54"/>
      <c r="QVX54"/>
      <c r="QVY54"/>
      <c r="QVZ54"/>
      <c r="QWA54"/>
      <c r="QWB54"/>
      <c r="QWC54"/>
      <c r="QWD54"/>
      <c r="QWE54"/>
      <c r="QWF54"/>
      <c r="QWG54"/>
      <c r="QWH54"/>
      <c r="QWI54"/>
      <c r="QWJ54"/>
      <c r="QWK54"/>
      <c r="QWL54"/>
      <c r="QWM54"/>
      <c r="QWN54"/>
      <c r="QWO54"/>
      <c r="QWP54"/>
      <c r="QWQ54"/>
      <c r="QWR54"/>
      <c r="QWS54"/>
      <c r="QWT54"/>
      <c r="QWU54"/>
      <c r="QWV54"/>
      <c r="QWW54"/>
      <c r="QWX54"/>
      <c r="QWY54"/>
      <c r="QWZ54"/>
      <c r="QXA54"/>
      <c r="QXB54"/>
      <c r="QXC54"/>
      <c r="QXD54"/>
      <c r="QXE54"/>
      <c r="QXF54"/>
      <c r="QXG54"/>
      <c r="QXH54"/>
      <c r="QXI54"/>
      <c r="QXJ54"/>
      <c r="QXK54"/>
      <c r="QXL54"/>
      <c r="QXM54"/>
      <c r="QXN54"/>
      <c r="QXO54"/>
      <c r="QXP54"/>
      <c r="QXQ54"/>
      <c r="QXR54"/>
      <c r="QXS54"/>
      <c r="QXT54"/>
      <c r="QXU54"/>
      <c r="QXV54"/>
      <c r="QXW54"/>
      <c r="QXX54"/>
      <c r="QXY54"/>
      <c r="QXZ54"/>
      <c r="QYA54"/>
      <c r="QYB54"/>
      <c r="QYC54"/>
      <c r="QYD54"/>
      <c r="QYE54"/>
      <c r="QYF54"/>
      <c r="QYG54"/>
      <c r="QYH54"/>
      <c r="QYI54"/>
      <c r="QYJ54"/>
      <c r="QYK54"/>
      <c r="QYL54"/>
      <c r="QYM54"/>
      <c r="QYN54"/>
      <c r="QYO54"/>
      <c r="QYP54"/>
      <c r="QYQ54"/>
      <c r="QYR54"/>
      <c r="QYS54"/>
      <c r="QYT54"/>
      <c r="QYU54"/>
      <c r="QYV54"/>
      <c r="QYW54"/>
      <c r="QYX54"/>
      <c r="QYY54"/>
      <c r="QYZ54"/>
      <c r="QZA54"/>
      <c r="QZB54"/>
      <c r="QZC54"/>
      <c r="QZD54"/>
      <c r="QZE54"/>
      <c r="QZF54"/>
      <c r="QZG54"/>
      <c r="QZH54"/>
      <c r="QZI54"/>
      <c r="QZJ54"/>
      <c r="QZK54"/>
      <c r="QZL54"/>
      <c r="QZM54"/>
      <c r="QZN54"/>
      <c r="QZO54"/>
      <c r="QZP54"/>
      <c r="QZQ54"/>
      <c r="QZR54"/>
      <c r="QZS54"/>
      <c r="QZT54"/>
      <c r="QZU54"/>
      <c r="QZV54"/>
      <c r="QZW54"/>
      <c r="QZX54"/>
      <c r="QZY54"/>
      <c r="QZZ54"/>
      <c r="RAA54"/>
      <c r="RAB54"/>
      <c r="RAC54"/>
      <c r="RAD54"/>
      <c r="RAE54"/>
      <c r="RAF54"/>
      <c r="RAG54"/>
      <c r="RAH54"/>
      <c r="RAI54"/>
      <c r="RAJ54"/>
      <c r="RAK54"/>
      <c r="RAL54"/>
      <c r="RAM54"/>
      <c r="RAN54"/>
      <c r="RAO54"/>
      <c r="RAP54"/>
      <c r="RAQ54"/>
      <c r="RAR54"/>
      <c r="RAS54"/>
      <c r="RAT54"/>
      <c r="RAU54"/>
      <c r="RAV54"/>
      <c r="RAW54"/>
      <c r="RAX54"/>
      <c r="RAY54"/>
      <c r="RAZ54"/>
      <c r="RBA54"/>
      <c r="RBB54"/>
      <c r="RBC54"/>
      <c r="RBD54"/>
      <c r="RBE54"/>
      <c r="RBF54"/>
      <c r="RBG54"/>
      <c r="RBH54"/>
      <c r="RBI54"/>
      <c r="RBJ54"/>
      <c r="RBK54"/>
      <c r="RBL54"/>
      <c r="RBM54"/>
      <c r="RBN54"/>
      <c r="RBO54"/>
      <c r="RBP54"/>
      <c r="RBQ54"/>
      <c r="RBR54"/>
      <c r="RBS54"/>
      <c r="RBT54"/>
      <c r="RBU54"/>
      <c r="RBV54"/>
      <c r="RBW54"/>
      <c r="RBX54"/>
      <c r="RBY54"/>
      <c r="RBZ54"/>
      <c r="RCA54"/>
      <c r="RCB54"/>
      <c r="RCC54"/>
      <c r="RCD54"/>
      <c r="RCE54"/>
      <c r="RCF54"/>
      <c r="RCG54"/>
      <c r="RCH54"/>
      <c r="RCI54"/>
      <c r="RCJ54"/>
      <c r="RCK54"/>
      <c r="RCL54"/>
      <c r="RCM54"/>
      <c r="RCN54"/>
      <c r="RCO54"/>
      <c r="RCP54"/>
      <c r="RCQ54"/>
      <c r="RCR54"/>
      <c r="RCS54"/>
      <c r="RCT54"/>
      <c r="RCU54"/>
      <c r="RCV54"/>
      <c r="RCW54"/>
      <c r="RCX54"/>
      <c r="RCY54"/>
      <c r="RCZ54"/>
      <c r="RDA54"/>
      <c r="RDB54"/>
      <c r="RDC54"/>
      <c r="RDD54"/>
      <c r="RDE54"/>
      <c r="RDF54"/>
      <c r="RDG54"/>
      <c r="RDH54"/>
      <c r="RDI54"/>
      <c r="RDJ54"/>
      <c r="RDK54"/>
      <c r="RDL54"/>
      <c r="RDM54"/>
      <c r="RDN54"/>
      <c r="RDO54"/>
      <c r="RDP54"/>
      <c r="RDQ54"/>
      <c r="RDR54"/>
      <c r="RDS54"/>
      <c r="RDT54"/>
      <c r="RDU54"/>
      <c r="RDV54"/>
      <c r="RDW54"/>
      <c r="RDX54"/>
      <c r="RDY54"/>
      <c r="RDZ54"/>
      <c r="REA54"/>
      <c r="REB54"/>
      <c r="REC54"/>
      <c r="RED54"/>
      <c r="REE54"/>
      <c r="REF54"/>
      <c r="REG54"/>
      <c r="REH54"/>
      <c r="REI54"/>
      <c r="REJ54"/>
      <c r="REK54"/>
      <c r="REL54"/>
      <c r="REM54"/>
      <c r="REN54"/>
      <c r="REO54"/>
      <c r="REP54"/>
      <c r="REQ54"/>
      <c r="RER54"/>
      <c r="RES54"/>
      <c r="RET54"/>
      <c r="REU54"/>
      <c r="REV54"/>
      <c r="REW54"/>
      <c r="REX54"/>
      <c r="REY54"/>
      <c r="REZ54"/>
      <c r="RFA54"/>
      <c r="RFB54"/>
      <c r="RFC54"/>
      <c r="RFD54"/>
      <c r="RFE54"/>
      <c r="RFF54"/>
      <c r="RFG54"/>
      <c r="RFH54"/>
      <c r="RFI54"/>
      <c r="RFJ54"/>
      <c r="RFK54"/>
      <c r="RFL54"/>
      <c r="RFM54"/>
      <c r="RFN54"/>
      <c r="RFO54"/>
      <c r="RFP54"/>
      <c r="RFQ54"/>
      <c r="RFR54"/>
      <c r="RFS54"/>
      <c r="RFT54"/>
      <c r="RFU54"/>
      <c r="RFV54"/>
      <c r="RFW54"/>
      <c r="RFX54"/>
      <c r="RFY54"/>
      <c r="RFZ54"/>
      <c r="RGA54"/>
      <c r="RGB54"/>
      <c r="RGC54"/>
      <c r="RGD54"/>
      <c r="RGE54"/>
      <c r="RGF54"/>
      <c r="RGG54"/>
      <c r="RGH54"/>
      <c r="RGI54"/>
      <c r="RGJ54"/>
      <c r="RGK54"/>
      <c r="RGL54"/>
      <c r="RGM54"/>
      <c r="RGN54"/>
      <c r="RGO54"/>
      <c r="RGP54"/>
      <c r="RGQ54"/>
      <c r="RGR54"/>
      <c r="RGS54"/>
      <c r="RGT54"/>
      <c r="RGU54"/>
      <c r="RGV54"/>
      <c r="RGW54"/>
      <c r="RGX54"/>
      <c r="RGY54"/>
      <c r="RGZ54"/>
      <c r="RHA54"/>
      <c r="RHB54"/>
      <c r="RHC54"/>
      <c r="RHD54"/>
      <c r="RHE54"/>
      <c r="RHF54"/>
      <c r="RHG54"/>
      <c r="RHH54"/>
      <c r="RHI54"/>
      <c r="RHJ54"/>
      <c r="RHK54"/>
      <c r="RHL54"/>
      <c r="RHM54"/>
      <c r="RHN54"/>
      <c r="RHO54"/>
      <c r="RHP54"/>
      <c r="RHQ54"/>
      <c r="RHR54"/>
      <c r="RHS54"/>
      <c r="RHT54"/>
      <c r="RHU54"/>
      <c r="RHV54"/>
      <c r="RHW54"/>
      <c r="RHX54"/>
      <c r="RHY54"/>
      <c r="RHZ54"/>
      <c r="RIA54"/>
      <c r="RIB54"/>
      <c r="RIC54"/>
      <c r="RID54"/>
      <c r="RIE54"/>
      <c r="RIF54"/>
      <c r="RIG54"/>
      <c r="RIH54"/>
      <c r="RII54"/>
      <c r="RIJ54"/>
      <c r="RIK54"/>
      <c r="RIL54"/>
      <c r="RIM54"/>
      <c r="RIN54"/>
      <c r="RIO54"/>
      <c r="RIP54"/>
      <c r="RIQ54"/>
      <c r="RIR54"/>
      <c r="RIS54"/>
      <c r="RIT54"/>
      <c r="RIU54"/>
      <c r="RIV54"/>
      <c r="RIW54"/>
      <c r="RIX54"/>
      <c r="RIY54"/>
      <c r="RIZ54"/>
      <c r="RJA54"/>
      <c r="RJB54"/>
      <c r="RJC54"/>
      <c r="RJD54"/>
      <c r="RJE54"/>
      <c r="RJF54"/>
      <c r="RJG54"/>
      <c r="RJH54"/>
      <c r="RJI54"/>
      <c r="RJJ54"/>
      <c r="RJK54"/>
      <c r="RJL54"/>
      <c r="RJM54"/>
      <c r="RJN54"/>
      <c r="RJO54"/>
      <c r="RJP54"/>
      <c r="RJQ54"/>
      <c r="RJR54"/>
      <c r="RJS54"/>
      <c r="RJT54"/>
      <c r="RJU54"/>
      <c r="RJV54"/>
      <c r="RJW54"/>
      <c r="RJX54"/>
      <c r="RJY54"/>
      <c r="RJZ54"/>
      <c r="RKA54"/>
      <c r="RKB54"/>
      <c r="RKC54"/>
      <c r="RKD54"/>
      <c r="RKE54"/>
      <c r="RKF54"/>
      <c r="RKG54"/>
      <c r="RKH54"/>
      <c r="RKI54"/>
      <c r="RKJ54"/>
      <c r="RKK54"/>
      <c r="RKL54"/>
      <c r="RKM54"/>
      <c r="RKN54"/>
      <c r="RKO54"/>
      <c r="RKP54"/>
      <c r="RKQ54"/>
      <c r="RKR54"/>
      <c r="RKS54"/>
      <c r="RKT54"/>
      <c r="RKU54"/>
      <c r="RKV54"/>
      <c r="RKW54"/>
      <c r="RKX54"/>
      <c r="RKY54"/>
      <c r="RKZ54"/>
      <c r="RLA54"/>
      <c r="RLB54"/>
      <c r="RLC54"/>
      <c r="RLD54"/>
      <c r="RLE54"/>
      <c r="RLF54"/>
      <c r="RLG54"/>
      <c r="RLH54"/>
      <c r="RLI54"/>
      <c r="RLJ54"/>
      <c r="RLK54"/>
      <c r="RLL54"/>
      <c r="RLM54"/>
      <c r="RLN54"/>
      <c r="RLO54"/>
      <c r="RLP54"/>
      <c r="RLQ54"/>
      <c r="RLR54"/>
      <c r="RLS54"/>
      <c r="RLT54"/>
      <c r="RLU54"/>
      <c r="RLV54"/>
      <c r="RLW54"/>
      <c r="RLX54"/>
      <c r="RLY54"/>
      <c r="RLZ54"/>
      <c r="RMA54"/>
      <c r="RMB54"/>
      <c r="RMC54"/>
      <c r="RMD54"/>
      <c r="RME54"/>
      <c r="RMF54"/>
      <c r="RMG54"/>
      <c r="RMH54"/>
      <c r="RMI54"/>
      <c r="RMJ54"/>
      <c r="RMK54"/>
      <c r="RML54"/>
      <c r="RMM54"/>
      <c r="RMN54"/>
      <c r="RMO54"/>
      <c r="RMP54"/>
      <c r="RMQ54"/>
      <c r="RMR54"/>
      <c r="RMS54"/>
      <c r="RMT54"/>
      <c r="RMU54"/>
      <c r="RMV54"/>
      <c r="RMW54"/>
      <c r="RMX54"/>
      <c r="RMY54"/>
      <c r="RMZ54"/>
      <c r="RNA54"/>
      <c r="RNB54"/>
      <c r="RNC54"/>
      <c r="RND54"/>
      <c r="RNE54"/>
      <c r="RNF54"/>
      <c r="RNG54"/>
      <c r="RNH54"/>
      <c r="RNI54"/>
      <c r="RNJ54"/>
      <c r="RNK54"/>
      <c r="RNL54"/>
      <c r="RNM54"/>
      <c r="RNN54"/>
      <c r="RNO54"/>
      <c r="RNP54"/>
      <c r="RNQ54"/>
      <c r="RNR54"/>
      <c r="RNS54"/>
      <c r="RNT54"/>
      <c r="RNU54"/>
      <c r="RNV54"/>
      <c r="RNW54"/>
      <c r="RNX54"/>
      <c r="RNY54"/>
      <c r="RNZ54"/>
      <c r="ROA54"/>
      <c r="ROB54"/>
      <c r="ROC54"/>
      <c r="ROD54"/>
      <c r="ROE54"/>
      <c r="ROF54"/>
      <c r="ROG54"/>
      <c r="ROH54"/>
      <c r="ROI54"/>
      <c r="ROJ54"/>
      <c r="ROK54"/>
      <c r="ROL54"/>
      <c r="ROM54"/>
      <c r="RON54"/>
      <c r="ROO54"/>
      <c r="ROP54"/>
      <c r="ROQ54"/>
      <c r="ROR54"/>
      <c r="ROS54"/>
      <c r="ROT54"/>
      <c r="ROU54"/>
      <c r="ROV54"/>
      <c r="ROW54"/>
      <c r="ROX54"/>
      <c r="ROY54"/>
      <c r="ROZ54"/>
      <c r="RPA54"/>
      <c r="RPB54"/>
      <c r="RPC54"/>
      <c r="RPD54"/>
      <c r="RPE54"/>
      <c r="RPF54"/>
      <c r="RPG54"/>
      <c r="RPH54"/>
      <c r="RPI54"/>
      <c r="RPJ54"/>
      <c r="RPK54"/>
      <c r="RPL54"/>
      <c r="RPM54"/>
      <c r="RPN54"/>
      <c r="RPO54"/>
      <c r="RPP54"/>
      <c r="RPQ54"/>
      <c r="RPR54"/>
      <c r="RPS54"/>
      <c r="RPT54"/>
      <c r="RPU54"/>
      <c r="RPV54"/>
      <c r="RPW54"/>
      <c r="RPX54"/>
      <c r="RPY54"/>
      <c r="RPZ54"/>
      <c r="RQA54"/>
      <c r="RQB54"/>
      <c r="RQC54"/>
      <c r="RQD54"/>
      <c r="RQE54"/>
      <c r="RQF54"/>
      <c r="RQG54"/>
      <c r="RQH54"/>
      <c r="RQI54"/>
      <c r="RQJ54"/>
      <c r="RQK54"/>
      <c r="RQL54"/>
      <c r="RQM54"/>
      <c r="RQN54"/>
      <c r="RQO54"/>
      <c r="RQP54"/>
      <c r="RQQ54"/>
      <c r="RQR54"/>
      <c r="RQS54"/>
      <c r="RQT54"/>
      <c r="RQU54"/>
      <c r="RQV54"/>
      <c r="RQW54"/>
      <c r="RQX54"/>
      <c r="RQY54"/>
      <c r="RQZ54"/>
      <c r="RRA54"/>
      <c r="RRB54"/>
      <c r="RRC54"/>
      <c r="RRD54"/>
      <c r="RRE54"/>
      <c r="RRF54"/>
      <c r="RRG54"/>
      <c r="RRH54"/>
      <c r="RRI54"/>
      <c r="RRJ54"/>
      <c r="RRK54"/>
      <c r="RRL54"/>
      <c r="RRM54"/>
      <c r="RRN54"/>
      <c r="RRO54"/>
      <c r="RRP54"/>
      <c r="RRQ54"/>
      <c r="RRR54"/>
      <c r="RRS54"/>
      <c r="RRT54"/>
      <c r="RRU54"/>
      <c r="RRV54"/>
      <c r="RRW54"/>
      <c r="RRX54"/>
      <c r="RRY54"/>
      <c r="RRZ54"/>
      <c r="RSA54"/>
      <c r="RSB54"/>
      <c r="RSC54"/>
      <c r="RSD54"/>
      <c r="RSE54"/>
      <c r="RSF54"/>
      <c r="RSG54"/>
      <c r="RSH54"/>
      <c r="RSI54"/>
      <c r="RSJ54"/>
      <c r="RSK54"/>
      <c r="RSL54"/>
      <c r="RSM54"/>
      <c r="RSN54"/>
      <c r="RSO54"/>
      <c r="RSP54"/>
      <c r="RSQ54"/>
      <c r="RSR54"/>
      <c r="RSS54"/>
      <c r="RST54"/>
      <c r="RSU54"/>
      <c r="RSV54"/>
      <c r="RSW54"/>
      <c r="RSX54"/>
      <c r="RSY54"/>
      <c r="RSZ54"/>
      <c r="RTA54"/>
      <c r="RTB54"/>
      <c r="RTC54"/>
      <c r="RTD54"/>
      <c r="RTE54"/>
      <c r="RTF54"/>
      <c r="RTG54"/>
      <c r="RTH54"/>
      <c r="RTI54"/>
      <c r="RTJ54"/>
      <c r="RTK54"/>
      <c r="RTL54"/>
      <c r="RTM54"/>
      <c r="RTN54"/>
      <c r="RTO54"/>
      <c r="RTP54"/>
      <c r="RTQ54"/>
      <c r="RTR54"/>
      <c r="RTS54"/>
      <c r="RTT54"/>
      <c r="RTU54"/>
      <c r="RTV54"/>
      <c r="RTW54"/>
      <c r="RTX54"/>
      <c r="RTY54"/>
      <c r="RTZ54"/>
      <c r="RUA54"/>
      <c r="RUB54"/>
      <c r="RUC54"/>
      <c r="RUD54"/>
      <c r="RUE54"/>
      <c r="RUF54"/>
      <c r="RUG54"/>
      <c r="RUH54"/>
      <c r="RUI54"/>
      <c r="RUJ54"/>
      <c r="RUK54"/>
      <c r="RUL54"/>
      <c r="RUM54"/>
      <c r="RUN54"/>
      <c r="RUO54"/>
      <c r="RUP54"/>
      <c r="RUQ54"/>
      <c r="RUR54"/>
      <c r="RUS54"/>
      <c r="RUT54"/>
      <c r="RUU54"/>
      <c r="RUV54"/>
      <c r="RUW54"/>
      <c r="RUX54"/>
      <c r="RUY54"/>
      <c r="RUZ54"/>
      <c r="RVA54"/>
      <c r="RVB54"/>
      <c r="RVC54"/>
      <c r="RVD54"/>
      <c r="RVE54"/>
      <c r="RVF54"/>
      <c r="RVG54"/>
      <c r="RVH54"/>
      <c r="RVI54"/>
      <c r="RVJ54"/>
      <c r="RVK54"/>
      <c r="RVL54"/>
      <c r="RVM54"/>
      <c r="RVN54"/>
      <c r="RVO54"/>
      <c r="RVP54"/>
      <c r="RVQ54"/>
      <c r="RVR54"/>
      <c r="RVS54"/>
      <c r="RVT54"/>
      <c r="RVU54"/>
      <c r="RVV54"/>
      <c r="RVW54"/>
      <c r="RVX54"/>
      <c r="RVY54"/>
      <c r="RVZ54"/>
      <c r="RWA54"/>
      <c r="RWB54"/>
      <c r="RWC54"/>
      <c r="RWD54"/>
      <c r="RWE54"/>
      <c r="RWF54"/>
      <c r="RWG54"/>
      <c r="RWH54"/>
      <c r="RWI54"/>
      <c r="RWJ54"/>
      <c r="RWK54"/>
      <c r="RWL54"/>
      <c r="RWM54"/>
      <c r="RWN54"/>
      <c r="RWO54"/>
      <c r="RWP54"/>
      <c r="RWQ54"/>
      <c r="RWR54"/>
      <c r="RWS54"/>
      <c r="RWT54"/>
      <c r="RWU54"/>
      <c r="RWV54"/>
      <c r="RWW54"/>
      <c r="RWX54"/>
      <c r="RWY54"/>
      <c r="RWZ54"/>
      <c r="RXA54"/>
      <c r="RXB54"/>
      <c r="RXC54"/>
      <c r="RXD54"/>
      <c r="RXE54"/>
      <c r="RXF54"/>
      <c r="RXG54"/>
      <c r="RXH54"/>
      <c r="RXI54"/>
      <c r="RXJ54"/>
      <c r="RXK54"/>
      <c r="RXL54"/>
      <c r="RXM54"/>
      <c r="RXN54"/>
      <c r="RXO54"/>
      <c r="RXP54"/>
      <c r="RXQ54"/>
      <c r="RXR54"/>
      <c r="RXS54"/>
      <c r="RXT54"/>
      <c r="RXU54"/>
      <c r="RXV54"/>
      <c r="RXW54"/>
      <c r="RXX54"/>
      <c r="RXY54"/>
      <c r="RXZ54"/>
      <c r="RYA54"/>
      <c r="RYB54"/>
      <c r="RYC54"/>
      <c r="RYD54"/>
      <c r="RYE54"/>
      <c r="RYF54"/>
      <c r="RYG54"/>
      <c r="RYH54"/>
      <c r="RYI54"/>
      <c r="RYJ54"/>
      <c r="RYK54"/>
      <c r="RYL54"/>
      <c r="RYM54"/>
      <c r="RYN54"/>
      <c r="RYO54"/>
      <c r="RYP54"/>
      <c r="RYQ54"/>
      <c r="RYR54"/>
      <c r="RYS54"/>
      <c r="RYT54"/>
      <c r="RYU54"/>
      <c r="RYV54"/>
      <c r="RYW54"/>
      <c r="RYX54"/>
      <c r="RYY54"/>
      <c r="RYZ54"/>
      <c r="RZA54"/>
      <c r="RZB54"/>
      <c r="RZC54"/>
      <c r="RZD54"/>
      <c r="RZE54"/>
      <c r="RZF54"/>
      <c r="RZG54"/>
      <c r="RZH54"/>
      <c r="RZI54"/>
      <c r="RZJ54"/>
      <c r="RZK54"/>
      <c r="RZL54"/>
      <c r="RZM54"/>
      <c r="RZN54"/>
      <c r="RZO54"/>
      <c r="RZP54"/>
      <c r="RZQ54"/>
      <c r="RZR54"/>
      <c r="RZS54"/>
      <c r="RZT54"/>
      <c r="RZU54"/>
      <c r="RZV54"/>
      <c r="RZW54"/>
      <c r="RZX54"/>
      <c r="RZY54"/>
      <c r="RZZ54"/>
      <c r="SAA54"/>
      <c r="SAB54"/>
      <c r="SAC54"/>
      <c r="SAD54"/>
      <c r="SAE54"/>
      <c r="SAF54"/>
      <c r="SAG54"/>
      <c r="SAH54"/>
      <c r="SAI54"/>
      <c r="SAJ54"/>
      <c r="SAK54"/>
      <c r="SAL54"/>
      <c r="SAM54"/>
      <c r="SAN54"/>
      <c r="SAO54"/>
      <c r="SAP54"/>
      <c r="SAQ54"/>
      <c r="SAR54"/>
      <c r="SAS54"/>
      <c r="SAT54"/>
      <c r="SAU54"/>
      <c r="SAV54"/>
      <c r="SAW54"/>
      <c r="SAX54"/>
      <c r="SAY54"/>
      <c r="SAZ54"/>
      <c r="SBA54"/>
      <c r="SBB54"/>
      <c r="SBC54"/>
      <c r="SBD54"/>
      <c r="SBE54"/>
      <c r="SBF54"/>
      <c r="SBG54"/>
      <c r="SBH54"/>
      <c r="SBI54"/>
      <c r="SBJ54"/>
      <c r="SBK54"/>
      <c r="SBL54"/>
      <c r="SBM54"/>
      <c r="SBN54"/>
      <c r="SBO54"/>
      <c r="SBP54"/>
      <c r="SBQ54"/>
      <c r="SBR54"/>
      <c r="SBS54"/>
      <c r="SBT54"/>
      <c r="SBU54"/>
      <c r="SBV54"/>
      <c r="SBW54"/>
      <c r="SBX54"/>
      <c r="SBY54"/>
      <c r="SBZ54"/>
      <c r="SCA54"/>
      <c r="SCB54"/>
      <c r="SCC54"/>
      <c r="SCD54"/>
      <c r="SCE54"/>
      <c r="SCF54"/>
      <c r="SCG54"/>
      <c r="SCH54"/>
      <c r="SCI54"/>
      <c r="SCJ54"/>
      <c r="SCK54"/>
      <c r="SCL54"/>
      <c r="SCM54"/>
      <c r="SCN54"/>
      <c r="SCO54"/>
      <c r="SCP54"/>
      <c r="SCQ54"/>
      <c r="SCR54"/>
      <c r="SCS54"/>
      <c r="SCT54"/>
      <c r="SCU54"/>
      <c r="SCV54"/>
      <c r="SCW54"/>
      <c r="SCX54"/>
      <c r="SCY54"/>
      <c r="SCZ54"/>
      <c r="SDA54"/>
      <c r="SDB54"/>
      <c r="SDC54"/>
      <c r="SDD54"/>
      <c r="SDE54"/>
      <c r="SDF54"/>
      <c r="SDG54"/>
      <c r="SDH54"/>
      <c r="SDI54"/>
      <c r="SDJ54"/>
      <c r="SDK54"/>
      <c r="SDL54"/>
      <c r="SDM54"/>
      <c r="SDN54"/>
      <c r="SDO54"/>
      <c r="SDP54"/>
      <c r="SDQ54"/>
      <c r="SDR54"/>
      <c r="SDS54"/>
      <c r="SDT54"/>
      <c r="SDU54"/>
      <c r="SDV54"/>
      <c r="SDW54"/>
      <c r="SDX54"/>
      <c r="SDY54"/>
      <c r="SDZ54"/>
      <c r="SEA54"/>
      <c r="SEB54"/>
      <c r="SEC54"/>
      <c r="SED54"/>
      <c r="SEE54"/>
      <c r="SEF54"/>
      <c r="SEG54"/>
      <c r="SEH54"/>
      <c r="SEI54"/>
      <c r="SEJ54"/>
      <c r="SEK54"/>
      <c r="SEL54"/>
      <c r="SEM54"/>
      <c r="SEN54"/>
      <c r="SEO54"/>
      <c r="SEP54"/>
      <c r="SEQ54"/>
      <c r="SER54"/>
      <c r="SES54"/>
      <c r="SET54"/>
      <c r="SEU54"/>
      <c r="SEV54"/>
      <c r="SEW54"/>
      <c r="SEX54"/>
      <c r="SEY54"/>
      <c r="SEZ54"/>
      <c r="SFA54"/>
      <c r="SFB54"/>
      <c r="SFC54"/>
      <c r="SFD54"/>
      <c r="SFE54"/>
      <c r="SFF54"/>
      <c r="SFG54"/>
      <c r="SFH54"/>
      <c r="SFI54"/>
      <c r="SFJ54"/>
      <c r="SFK54"/>
      <c r="SFL54"/>
      <c r="SFM54"/>
      <c r="SFN54"/>
      <c r="SFO54"/>
      <c r="SFP54"/>
      <c r="SFQ54"/>
      <c r="SFR54"/>
      <c r="SFS54"/>
      <c r="SFT54"/>
      <c r="SFU54"/>
      <c r="SFV54"/>
      <c r="SFW54"/>
      <c r="SFX54"/>
      <c r="SFY54"/>
      <c r="SFZ54"/>
      <c r="SGA54"/>
      <c r="SGB54"/>
      <c r="SGC54"/>
      <c r="SGD54"/>
      <c r="SGE54"/>
      <c r="SGF54"/>
      <c r="SGG54"/>
      <c r="SGH54"/>
      <c r="SGI54"/>
      <c r="SGJ54"/>
      <c r="SGK54"/>
      <c r="SGL54"/>
      <c r="SGM54"/>
      <c r="SGN54"/>
      <c r="SGO54"/>
      <c r="SGP54"/>
      <c r="SGQ54"/>
      <c r="SGR54"/>
      <c r="SGS54"/>
      <c r="SGT54"/>
      <c r="SGU54"/>
      <c r="SGV54"/>
      <c r="SGW54"/>
      <c r="SGX54"/>
      <c r="SGY54"/>
      <c r="SGZ54"/>
      <c r="SHA54"/>
      <c r="SHB54"/>
      <c r="SHC54"/>
      <c r="SHD54"/>
      <c r="SHE54"/>
      <c r="SHF54"/>
      <c r="SHG54"/>
      <c r="SHH54"/>
      <c r="SHI54"/>
      <c r="SHJ54"/>
      <c r="SHK54"/>
      <c r="SHL54"/>
      <c r="SHM54"/>
      <c r="SHN54"/>
      <c r="SHO54"/>
      <c r="SHP54"/>
      <c r="SHQ54"/>
      <c r="SHR54"/>
      <c r="SHS54"/>
      <c r="SHT54"/>
      <c r="SHU54"/>
      <c r="SHV54"/>
      <c r="SHW54"/>
      <c r="SHX54"/>
      <c r="SHY54"/>
      <c r="SHZ54"/>
      <c r="SIA54"/>
      <c r="SIB54"/>
      <c r="SIC54"/>
      <c r="SID54"/>
      <c r="SIE54"/>
      <c r="SIF54"/>
      <c r="SIG54"/>
      <c r="SIH54"/>
      <c r="SII54"/>
      <c r="SIJ54"/>
      <c r="SIK54"/>
      <c r="SIL54"/>
      <c r="SIM54"/>
      <c r="SIN54"/>
      <c r="SIO54"/>
      <c r="SIP54"/>
      <c r="SIQ54"/>
      <c r="SIR54"/>
      <c r="SIS54"/>
      <c r="SIT54"/>
      <c r="SIU54"/>
      <c r="SIV54"/>
      <c r="SIW54"/>
      <c r="SIX54"/>
      <c r="SIY54"/>
      <c r="SIZ54"/>
      <c r="SJA54"/>
      <c r="SJB54"/>
      <c r="SJC54"/>
      <c r="SJD54"/>
      <c r="SJE54"/>
      <c r="SJF54"/>
      <c r="SJG54"/>
      <c r="SJH54"/>
      <c r="SJI54"/>
      <c r="SJJ54"/>
      <c r="SJK54"/>
      <c r="SJL54"/>
      <c r="SJM54"/>
      <c r="SJN54"/>
      <c r="SJO54"/>
      <c r="SJP54"/>
      <c r="SJQ54"/>
      <c r="SJR54"/>
      <c r="SJS54"/>
      <c r="SJT54"/>
      <c r="SJU54"/>
      <c r="SJV54"/>
      <c r="SJW54"/>
      <c r="SJX54"/>
      <c r="SJY54"/>
      <c r="SJZ54"/>
      <c r="SKA54"/>
      <c r="SKB54"/>
      <c r="SKC54"/>
      <c r="SKD54"/>
      <c r="SKE54"/>
      <c r="SKF54"/>
      <c r="SKG54"/>
      <c r="SKH54"/>
      <c r="SKI54"/>
      <c r="SKJ54"/>
      <c r="SKK54"/>
      <c r="SKL54"/>
      <c r="SKM54"/>
      <c r="SKN54"/>
      <c r="SKO54"/>
      <c r="SKP54"/>
      <c r="SKQ54"/>
      <c r="SKR54"/>
      <c r="SKS54"/>
      <c r="SKT54"/>
      <c r="SKU54"/>
      <c r="SKV54"/>
      <c r="SKW54"/>
      <c r="SKX54"/>
      <c r="SKY54"/>
      <c r="SKZ54"/>
      <c r="SLA54"/>
      <c r="SLB54"/>
      <c r="SLC54"/>
      <c r="SLD54"/>
      <c r="SLE54"/>
      <c r="SLF54"/>
      <c r="SLG54"/>
      <c r="SLH54"/>
      <c r="SLI54"/>
      <c r="SLJ54"/>
      <c r="SLK54"/>
      <c r="SLL54"/>
      <c r="SLM54"/>
      <c r="SLN54"/>
      <c r="SLO54"/>
      <c r="SLP54"/>
      <c r="SLQ54"/>
      <c r="SLR54"/>
      <c r="SLS54"/>
      <c r="SLT54"/>
      <c r="SLU54"/>
      <c r="SLV54"/>
      <c r="SLW54"/>
      <c r="SLX54"/>
      <c r="SLY54"/>
      <c r="SLZ54"/>
      <c r="SMA54"/>
      <c r="SMB54"/>
      <c r="SMC54"/>
      <c r="SMD54"/>
      <c r="SME54"/>
      <c r="SMF54"/>
      <c r="SMG54"/>
      <c r="SMH54"/>
      <c r="SMI54"/>
      <c r="SMJ54"/>
      <c r="SMK54"/>
      <c r="SML54"/>
      <c r="SMM54"/>
      <c r="SMN54"/>
      <c r="SMO54"/>
      <c r="SMP54"/>
      <c r="SMQ54"/>
      <c r="SMR54"/>
      <c r="SMS54"/>
      <c r="SMT54"/>
      <c r="SMU54"/>
      <c r="SMV54"/>
      <c r="SMW54"/>
      <c r="SMX54"/>
      <c r="SMY54"/>
      <c r="SMZ54"/>
      <c r="SNA54"/>
      <c r="SNB54"/>
      <c r="SNC54"/>
      <c r="SND54"/>
      <c r="SNE54"/>
      <c r="SNF54"/>
      <c r="SNG54"/>
      <c r="SNH54"/>
      <c r="SNI54"/>
      <c r="SNJ54"/>
      <c r="SNK54"/>
      <c r="SNL54"/>
      <c r="SNM54"/>
      <c r="SNN54"/>
      <c r="SNO54"/>
      <c r="SNP54"/>
      <c r="SNQ54"/>
      <c r="SNR54"/>
      <c r="SNS54"/>
      <c r="SNT54"/>
      <c r="SNU54"/>
      <c r="SNV54"/>
      <c r="SNW54"/>
      <c r="SNX54"/>
      <c r="SNY54"/>
      <c r="SNZ54"/>
      <c r="SOA54"/>
      <c r="SOB54"/>
      <c r="SOC54"/>
      <c r="SOD54"/>
      <c r="SOE54"/>
      <c r="SOF54"/>
      <c r="SOG54"/>
      <c r="SOH54"/>
      <c r="SOI54"/>
      <c r="SOJ54"/>
      <c r="SOK54"/>
      <c r="SOL54"/>
      <c r="SOM54"/>
      <c r="SON54"/>
      <c r="SOO54"/>
      <c r="SOP54"/>
      <c r="SOQ54"/>
      <c r="SOR54"/>
      <c r="SOS54"/>
      <c r="SOT54"/>
      <c r="SOU54"/>
      <c r="SOV54"/>
      <c r="SOW54"/>
      <c r="SOX54"/>
      <c r="SOY54"/>
      <c r="SOZ54"/>
      <c r="SPA54"/>
      <c r="SPB54"/>
      <c r="SPC54"/>
      <c r="SPD54"/>
      <c r="SPE54"/>
      <c r="SPF54"/>
      <c r="SPG54"/>
      <c r="SPH54"/>
      <c r="SPI54"/>
      <c r="SPJ54"/>
      <c r="SPK54"/>
      <c r="SPL54"/>
      <c r="SPM54"/>
      <c r="SPN54"/>
      <c r="SPO54"/>
      <c r="SPP54"/>
      <c r="SPQ54"/>
      <c r="SPR54"/>
      <c r="SPS54"/>
      <c r="SPT54"/>
      <c r="SPU54"/>
      <c r="SPV54"/>
      <c r="SPW54"/>
      <c r="SPX54"/>
      <c r="SPY54"/>
      <c r="SPZ54"/>
      <c r="SQA54"/>
      <c r="SQB54"/>
      <c r="SQC54"/>
      <c r="SQD54"/>
      <c r="SQE54"/>
      <c r="SQF54"/>
      <c r="SQG54"/>
      <c r="SQH54"/>
      <c r="SQI54"/>
      <c r="SQJ54"/>
      <c r="SQK54"/>
      <c r="SQL54"/>
      <c r="SQM54"/>
      <c r="SQN54"/>
      <c r="SQO54"/>
      <c r="SQP54"/>
      <c r="SQQ54"/>
      <c r="SQR54"/>
      <c r="SQS54"/>
      <c r="SQT54"/>
      <c r="SQU54"/>
      <c r="SQV54"/>
      <c r="SQW54"/>
      <c r="SQX54"/>
      <c r="SQY54"/>
      <c r="SQZ54"/>
      <c r="SRA54"/>
      <c r="SRB54"/>
      <c r="SRC54"/>
      <c r="SRD54"/>
      <c r="SRE54"/>
      <c r="SRF54"/>
      <c r="SRG54"/>
      <c r="SRH54"/>
      <c r="SRI54"/>
      <c r="SRJ54"/>
      <c r="SRK54"/>
      <c r="SRL54"/>
      <c r="SRM54"/>
      <c r="SRN54"/>
      <c r="SRO54"/>
      <c r="SRP54"/>
      <c r="SRQ54"/>
      <c r="SRR54"/>
      <c r="SRS54"/>
      <c r="SRT54"/>
      <c r="SRU54"/>
      <c r="SRV54"/>
      <c r="SRW54"/>
      <c r="SRX54"/>
      <c r="SRY54"/>
      <c r="SRZ54"/>
      <c r="SSA54"/>
      <c r="SSB54"/>
      <c r="SSC54"/>
      <c r="SSD54"/>
      <c r="SSE54"/>
      <c r="SSF54"/>
      <c r="SSG54"/>
      <c r="SSH54"/>
      <c r="SSI54"/>
      <c r="SSJ54"/>
      <c r="SSK54"/>
      <c r="SSL54"/>
      <c r="SSM54"/>
      <c r="SSN54"/>
      <c r="SSO54"/>
      <c r="SSP54"/>
      <c r="SSQ54"/>
      <c r="SSR54"/>
      <c r="SSS54"/>
      <c r="SST54"/>
      <c r="SSU54"/>
      <c r="SSV54"/>
      <c r="SSW54"/>
      <c r="SSX54"/>
      <c r="SSY54"/>
      <c r="SSZ54"/>
      <c r="STA54"/>
      <c r="STB54"/>
      <c r="STC54"/>
      <c r="STD54"/>
      <c r="STE54"/>
      <c r="STF54"/>
      <c r="STG54"/>
      <c r="STH54"/>
      <c r="STI54"/>
      <c r="STJ54"/>
      <c r="STK54"/>
      <c r="STL54"/>
      <c r="STM54"/>
      <c r="STN54"/>
      <c r="STO54"/>
      <c r="STP54"/>
      <c r="STQ54"/>
      <c r="STR54"/>
      <c r="STS54"/>
      <c r="STT54"/>
      <c r="STU54"/>
      <c r="STV54"/>
      <c r="STW54"/>
      <c r="STX54"/>
      <c r="STY54"/>
      <c r="STZ54"/>
      <c r="SUA54"/>
      <c r="SUB54"/>
      <c r="SUC54"/>
      <c r="SUD54"/>
      <c r="SUE54"/>
      <c r="SUF54"/>
      <c r="SUG54"/>
      <c r="SUH54"/>
      <c r="SUI54"/>
      <c r="SUJ54"/>
      <c r="SUK54"/>
      <c r="SUL54"/>
      <c r="SUM54"/>
      <c r="SUN54"/>
      <c r="SUO54"/>
      <c r="SUP54"/>
      <c r="SUQ54"/>
      <c r="SUR54"/>
      <c r="SUS54"/>
      <c r="SUT54"/>
      <c r="SUU54"/>
      <c r="SUV54"/>
      <c r="SUW54"/>
      <c r="SUX54"/>
      <c r="SUY54"/>
      <c r="SUZ54"/>
      <c r="SVA54"/>
      <c r="SVB54"/>
      <c r="SVC54"/>
      <c r="SVD54"/>
      <c r="SVE54"/>
      <c r="SVF54"/>
      <c r="SVG54"/>
      <c r="SVH54"/>
      <c r="SVI54"/>
      <c r="SVJ54"/>
      <c r="SVK54"/>
      <c r="SVL54"/>
      <c r="SVM54"/>
      <c r="SVN54"/>
      <c r="SVO54"/>
      <c r="SVP54"/>
      <c r="SVQ54"/>
      <c r="SVR54"/>
      <c r="SVS54"/>
      <c r="SVT54"/>
      <c r="SVU54"/>
      <c r="SVV54"/>
      <c r="SVW54"/>
      <c r="SVX54"/>
      <c r="SVY54"/>
      <c r="SVZ54"/>
      <c r="SWA54"/>
      <c r="SWB54"/>
      <c r="SWC54"/>
      <c r="SWD54"/>
      <c r="SWE54"/>
      <c r="SWF54"/>
      <c r="SWG54"/>
      <c r="SWH54"/>
      <c r="SWI54"/>
      <c r="SWJ54"/>
      <c r="SWK54"/>
      <c r="SWL54"/>
      <c r="SWM54"/>
      <c r="SWN54"/>
      <c r="SWO54"/>
      <c r="SWP54"/>
      <c r="SWQ54"/>
      <c r="SWR54"/>
      <c r="SWS54"/>
      <c r="SWT54"/>
      <c r="SWU54"/>
      <c r="SWV54"/>
      <c r="SWW54"/>
      <c r="SWX54"/>
      <c r="SWY54"/>
      <c r="SWZ54"/>
      <c r="SXA54"/>
      <c r="SXB54"/>
      <c r="SXC54"/>
      <c r="SXD54"/>
      <c r="SXE54"/>
      <c r="SXF54"/>
      <c r="SXG54"/>
      <c r="SXH54"/>
      <c r="SXI54"/>
      <c r="SXJ54"/>
      <c r="SXK54"/>
      <c r="SXL54"/>
      <c r="SXM54"/>
      <c r="SXN54"/>
      <c r="SXO54"/>
      <c r="SXP54"/>
      <c r="SXQ54"/>
      <c r="SXR54"/>
      <c r="SXS54"/>
      <c r="SXT54"/>
      <c r="SXU54"/>
      <c r="SXV54"/>
      <c r="SXW54"/>
      <c r="SXX54"/>
      <c r="SXY54"/>
      <c r="SXZ54"/>
      <c r="SYA54"/>
      <c r="SYB54"/>
      <c r="SYC54"/>
      <c r="SYD54"/>
      <c r="SYE54"/>
      <c r="SYF54"/>
      <c r="SYG54"/>
      <c r="SYH54"/>
      <c r="SYI54"/>
      <c r="SYJ54"/>
      <c r="SYK54"/>
      <c r="SYL54"/>
      <c r="SYM54"/>
      <c r="SYN54"/>
      <c r="SYO54"/>
      <c r="SYP54"/>
      <c r="SYQ54"/>
      <c r="SYR54"/>
      <c r="SYS54"/>
      <c r="SYT54"/>
      <c r="SYU54"/>
      <c r="SYV54"/>
      <c r="SYW54"/>
      <c r="SYX54"/>
      <c r="SYY54"/>
      <c r="SYZ54"/>
      <c r="SZA54"/>
      <c r="SZB54"/>
      <c r="SZC54"/>
      <c r="SZD54"/>
      <c r="SZE54"/>
      <c r="SZF54"/>
      <c r="SZG54"/>
      <c r="SZH54"/>
      <c r="SZI54"/>
      <c r="SZJ54"/>
      <c r="SZK54"/>
      <c r="SZL54"/>
      <c r="SZM54"/>
      <c r="SZN54"/>
      <c r="SZO54"/>
      <c r="SZP54"/>
      <c r="SZQ54"/>
      <c r="SZR54"/>
      <c r="SZS54"/>
      <c r="SZT54"/>
      <c r="SZU54"/>
      <c r="SZV54"/>
      <c r="SZW54"/>
      <c r="SZX54"/>
      <c r="SZY54"/>
      <c r="SZZ54"/>
      <c r="TAA54"/>
      <c r="TAB54"/>
      <c r="TAC54"/>
      <c r="TAD54"/>
      <c r="TAE54"/>
      <c r="TAF54"/>
      <c r="TAG54"/>
      <c r="TAH54"/>
      <c r="TAI54"/>
      <c r="TAJ54"/>
      <c r="TAK54"/>
      <c r="TAL54"/>
      <c r="TAM54"/>
      <c r="TAN54"/>
      <c r="TAO54"/>
      <c r="TAP54"/>
      <c r="TAQ54"/>
      <c r="TAR54"/>
      <c r="TAS54"/>
      <c r="TAT54"/>
      <c r="TAU54"/>
      <c r="TAV54"/>
      <c r="TAW54"/>
      <c r="TAX54"/>
      <c r="TAY54"/>
      <c r="TAZ54"/>
      <c r="TBA54"/>
      <c r="TBB54"/>
      <c r="TBC54"/>
      <c r="TBD54"/>
      <c r="TBE54"/>
      <c r="TBF54"/>
      <c r="TBG54"/>
      <c r="TBH54"/>
      <c r="TBI54"/>
      <c r="TBJ54"/>
      <c r="TBK54"/>
      <c r="TBL54"/>
      <c r="TBM54"/>
      <c r="TBN54"/>
      <c r="TBO54"/>
      <c r="TBP54"/>
      <c r="TBQ54"/>
      <c r="TBR54"/>
      <c r="TBS54"/>
      <c r="TBT54"/>
      <c r="TBU54"/>
      <c r="TBV54"/>
      <c r="TBW54"/>
      <c r="TBX54"/>
      <c r="TBY54"/>
      <c r="TBZ54"/>
      <c r="TCA54"/>
      <c r="TCB54"/>
      <c r="TCC54"/>
      <c r="TCD54"/>
      <c r="TCE54"/>
      <c r="TCF54"/>
      <c r="TCG54"/>
      <c r="TCH54"/>
      <c r="TCI54"/>
      <c r="TCJ54"/>
      <c r="TCK54"/>
      <c r="TCL54"/>
      <c r="TCM54"/>
      <c r="TCN54"/>
      <c r="TCO54"/>
      <c r="TCP54"/>
      <c r="TCQ54"/>
      <c r="TCR54"/>
      <c r="TCS54"/>
      <c r="TCT54"/>
      <c r="TCU54"/>
      <c r="TCV54"/>
      <c r="TCW54"/>
      <c r="TCX54"/>
      <c r="TCY54"/>
      <c r="TCZ54"/>
      <c r="TDA54"/>
      <c r="TDB54"/>
      <c r="TDC54"/>
      <c r="TDD54"/>
      <c r="TDE54"/>
      <c r="TDF54"/>
      <c r="TDG54"/>
      <c r="TDH54"/>
      <c r="TDI54"/>
      <c r="TDJ54"/>
      <c r="TDK54"/>
      <c r="TDL54"/>
      <c r="TDM54"/>
      <c r="TDN54"/>
      <c r="TDO54"/>
      <c r="TDP54"/>
      <c r="TDQ54"/>
      <c r="TDR54"/>
      <c r="TDS54"/>
      <c r="TDT54"/>
      <c r="TDU54"/>
      <c r="TDV54"/>
      <c r="TDW54"/>
      <c r="TDX54"/>
      <c r="TDY54"/>
      <c r="TDZ54"/>
      <c r="TEA54"/>
      <c r="TEB54"/>
      <c r="TEC54"/>
      <c r="TED54"/>
      <c r="TEE54"/>
      <c r="TEF54"/>
      <c r="TEG54"/>
      <c r="TEH54"/>
      <c r="TEI54"/>
      <c r="TEJ54"/>
      <c r="TEK54"/>
      <c r="TEL54"/>
      <c r="TEM54"/>
      <c r="TEN54"/>
      <c r="TEO54"/>
      <c r="TEP54"/>
      <c r="TEQ54"/>
      <c r="TER54"/>
      <c r="TES54"/>
      <c r="TET54"/>
      <c r="TEU54"/>
      <c r="TEV54"/>
      <c r="TEW54"/>
      <c r="TEX54"/>
      <c r="TEY54"/>
      <c r="TEZ54"/>
      <c r="TFA54"/>
      <c r="TFB54"/>
      <c r="TFC54"/>
      <c r="TFD54"/>
      <c r="TFE54"/>
      <c r="TFF54"/>
      <c r="TFG54"/>
      <c r="TFH54"/>
      <c r="TFI54"/>
      <c r="TFJ54"/>
      <c r="TFK54"/>
      <c r="TFL54"/>
      <c r="TFM54"/>
      <c r="TFN54"/>
      <c r="TFO54"/>
      <c r="TFP54"/>
      <c r="TFQ54"/>
      <c r="TFR54"/>
      <c r="TFS54"/>
      <c r="TFT54"/>
      <c r="TFU54"/>
      <c r="TFV54"/>
      <c r="TFW54"/>
      <c r="TFX54"/>
      <c r="TFY54"/>
      <c r="TFZ54"/>
      <c r="TGA54"/>
      <c r="TGB54"/>
      <c r="TGC54"/>
      <c r="TGD54"/>
      <c r="TGE54"/>
      <c r="TGF54"/>
      <c r="TGG54"/>
      <c r="TGH54"/>
      <c r="TGI54"/>
      <c r="TGJ54"/>
      <c r="TGK54"/>
      <c r="TGL54"/>
      <c r="TGM54"/>
      <c r="TGN54"/>
      <c r="TGO54"/>
      <c r="TGP54"/>
      <c r="TGQ54"/>
      <c r="TGR54"/>
      <c r="TGS54"/>
      <c r="TGT54"/>
      <c r="TGU54"/>
      <c r="TGV54"/>
      <c r="TGW54"/>
      <c r="TGX54"/>
      <c r="TGY54"/>
      <c r="TGZ54"/>
      <c r="THA54"/>
      <c r="THB54"/>
      <c r="THC54"/>
      <c r="THD54"/>
      <c r="THE54"/>
      <c r="THF54"/>
      <c r="THG54"/>
      <c r="THH54"/>
      <c r="THI54"/>
      <c r="THJ54"/>
      <c r="THK54"/>
      <c r="THL54"/>
      <c r="THM54"/>
      <c r="THN54"/>
      <c r="THO54"/>
      <c r="THP54"/>
      <c r="THQ54"/>
      <c r="THR54"/>
      <c r="THS54"/>
      <c r="THT54"/>
      <c r="THU54"/>
      <c r="THV54"/>
      <c r="THW54"/>
      <c r="THX54"/>
      <c r="THY54"/>
      <c r="THZ54"/>
      <c r="TIA54"/>
      <c r="TIB54"/>
      <c r="TIC54"/>
      <c r="TID54"/>
      <c r="TIE54"/>
      <c r="TIF54"/>
      <c r="TIG54"/>
      <c r="TIH54"/>
      <c r="TII54"/>
      <c r="TIJ54"/>
      <c r="TIK54"/>
      <c r="TIL54"/>
      <c r="TIM54"/>
      <c r="TIN54"/>
      <c r="TIO54"/>
      <c r="TIP54"/>
      <c r="TIQ54"/>
      <c r="TIR54"/>
      <c r="TIS54"/>
      <c r="TIT54"/>
      <c r="TIU54"/>
      <c r="TIV54"/>
      <c r="TIW54"/>
      <c r="TIX54"/>
      <c r="TIY54"/>
      <c r="TIZ54"/>
      <c r="TJA54"/>
      <c r="TJB54"/>
      <c r="TJC54"/>
      <c r="TJD54"/>
      <c r="TJE54"/>
      <c r="TJF54"/>
      <c r="TJG54"/>
      <c r="TJH54"/>
      <c r="TJI54"/>
      <c r="TJJ54"/>
      <c r="TJK54"/>
      <c r="TJL54"/>
      <c r="TJM54"/>
      <c r="TJN54"/>
      <c r="TJO54"/>
      <c r="TJP54"/>
      <c r="TJQ54"/>
      <c r="TJR54"/>
      <c r="TJS54"/>
      <c r="TJT54"/>
      <c r="TJU54"/>
      <c r="TJV54"/>
      <c r="TJW54"/>
      <c r="TJX54"/>
      <c r="TJY54"/>
      <c r="TJZ54"/>
      <c r="TKA54"/>
      <c r="TKB54"/>
      <c r="TKC54"/>
      <c r="TKD54"/>
      <c r="TKE54"/>
      <c r="TKF54"/>
      <c r="TKG54"/>
      <c r="TKH54"/>
      <c r="TKI54"/>
      <c r="TKJ54"/>
      <c r="TKK54"/>
      <c r="TKL54"/>
      <c r="TKM54"/>
      <c r="TKN54"/>
      <c r="TKO54"/>
      <c r="TKP54"/>
      <c r="TKQ54"/>
      <c r="TKR54"/>
      <c r="TKS54"/>
      <c r="TKT54"/>
      <c r="TKU54"/>
      <c r="TKV54"/>
      <c r="TKW54"/>
      <c r="TKX54"/>
      <c r="TKY54"/>
      <c r="TKZ54"/>
      <c r="TLA54"/>
      <c r="TLB54"/>
      <c r="TLC54"/>
      <c r="TLD54"/>
      <c r="TLE54"/>
      <c r="TLF54"/>
      <c r="TLG54"/>
      <c r="TLH54"/>
      <c r="TLI54"/>
      <c r="TLJ54"/>
      <c r="TLK54"/>
      <c r="TLL54"/>
      <c r="TLM54"/>
      <c r="TLN54"/>
      <c r="TLO54"/>
      <c r="TLP54"/>
      <c r="TLQ54"/>
      <c r="TLR54"/>
      <c r="TLS54"/>
      <c r="TLT54"/>
      <c r="TLU54"/>
      <c r="TLV54"/>
      <c r="TLW54"/>
      <c r="TLX54"/>
      <c r="TLY54"/>
      <c r="TLZ54"/>
      <c r="TMA54"/>
      <c r="TMB54"/>
      <c r="TMC54"/>
      <c r="TMD54"/>
      <c r="TME54"/>
      <c r="TMF54"/>
      <c r="TMG54"/>
      <c r="TMH54"/>
      <c r="TMI54"/>
      <c r="TMJ54"/>
      <c r="TMK54"/>
      <c r="TML54"/>
      <c r="TMM54"/>
      <c r="TMN54"/>
      <c r="TMO54"/>
      <c r="TMP54"/>
      <c r="TMQ54"/>
      <c r="TMR54"/>
      <c r="TMS54"/>
      <c r="TMT54"/>
      <c r="TMU54"/>
      <c r="TMV54"/>
      <c r="TMW54"/>
      <c r="TMX54"/>
      <c r="TMY54"/>
      <c r="TMZ54"/>
      <c r="TNA54"/>
      <c r="TNB54"/>
      <c r="TNC54"/>
      <c r="TND54"/>
      <c r="TNE54"/>
      <c r="TNF54"/>
      <c r="TNG54"/>
      <c r="TNH54"/>
      <c r="TNI54"/>
      <c r="TNJ54"/>
      <c r="TNK54"/>
      <c r="TNL54"/>
      <c r="TNM54"/>
      <c r="TNN54"/>
      <c r="TNO54"/>
      <c r="TNP54"/>
      <c r="TNQ54"/>
      <c r="TNR54"/>
      <c r="TNS54"/>
      <c r="TNT54"/>
      <c r="TNU54"/>
      <c r="TNV54"/>
      <c r="TNW54"/>
      <c r="TNX54"/>
      <c r="TNY54"/>
      <c r="TNZ54"/>
      <c r="TOA54"/>
      <c r="TOB54"/>
      <c r="TOC54"/>
      <c r="TOD54"/>
      <c r="TOE54"/>
      <c r="TOF54"/>
      <c r="TOG54"/>
      <c r="TOH54"/>
      <c r="TOI54"/>
      <c r="TOJ54"/>
      <c r="TOK54"/>
      <c r="TOL54"/>
      <c r="TOM54"/>
      <c r="TON54"/>
      <c r="TOO54"/>
      <c r="TOP54"/>
      <c r="TOQ54"/>
      <c r="TOR54"/>
      <c r="TOS54"/>
      <c r="TOT54"/>
      <c r="TOU54"/>
      <c r="TOV54"/>
      <c r="TOW54"/>
      <c r="TOX54"/>
      <c r="TOY54"/>
      <c r="TOZ54"/>
      <c r="TPA54"/>
      <c r="TPB54"/>
      <c r="TPC54"/>
      <c r="TPD54"/>
      <c r="TPE54"/>
      <c r="TPF54"/>
      <c r="TPG54"/>
      <c r="TPH54"/>
      <c r="TPI54"/>
      <c r="TPJ54"/>
      <c r="TPK54"/>
      <c r="TPL54"/>
      <c r="TPM54"/>
      <c r="TPN54"/>
      <c r="TPO54"/>
      <c r="TPP54"/>
      <c r="TPQ54"/>
      <c r="TPR54"/>
      <c r="TPS54"/>
      <c r="TPT54"/>
      <c r="TPU54"/>
      <c r="TPV54"/>
      <c r="TPW54"/>
      <c r="TPX54"/>
      <c r="TPY54"/>
      <c r="TPZ54"/>
      <c r="TQA54"/>
      <c r="TQB54"/>
      <c r="TQC54"/>
      <c r="TQD54"/>
      <c r="TQE54"/>
      <c r="TQF54"/>
      <c r="TQG54"/>
      <c r="TQH54"/>
      <c r="TQI54"/>
      <c r="TQJ54"/>
      <c r="TQK54"/>
      <c r="TQL54"/>
      <c r="TQM54"/>
      <c r="TQN54"/>
      <c r="TQO54"/>
      <c r="TQP54"/>
      <c r="TQQ54"/>
      <c r="TQR54"/>
      <c r="TQS54"/>
      <c r="TQT54"/>
      <c r="TQU54"/>
      <c r="TQV54"/>
      <c r="TQW54"/>
      <c r="TQX54"/>
      <c r="TQY54"/>
      <c r="TQZ54"/>
      <c r="TRA54"/>
      <c r="TRB54"/>
      <c r="TRC54"/>
      <c r="TRD54"/>
      <c r="TRE54"/>
      <c r="TRF54"/>
      <c r="TRG54"/>
      <c r="TRH54"/>
      <c r="TRI54"/>
      <c r="TRJ54"/>
      <c r="TRK54"/>
      <c r="TRL54"/>
      <c r="TRM54"/>
      <c r="TRN54"/>
      <c r="TRO54"/>
      <c r="TRP54"/>
      <c r="TRQ54"/>
      <c r="TRR54"/>
      <c r="TRS54"/>
      <c r="TRT54"/>
      <c r="TRU54"/>
      <c r="TRV54"/>
      <c r="TRW54"/>
      <c r="TRX54"/>
      <c r="TRY54"/>
      <c r="TRZ54"/>
      <c r="TSA54"/>
      <c r="TSB54"/>
      <c r="TSC54"/>
      <c r="TSD54"/>
      <c r="TSE54"/>
      <c r="TSF54"/>
      <c r="TSG54"/>
      <c r="TSH54"/>
      <c r="TSI54"/>
      <c r="TSJ54"/>
      <c r="TSK54"/>
      <c r="TSL54"/>
      <c r="TSM54"/>
      <c r="TSN54"/>
      <c r="TSO54"/>
      <c r="TSP54"/>
      <c r="TSQ54"/>
      <c r="TSR54"/>
      <c r="TSS54"/>
      <c r="TST54"/>
      <c r="TSU54"/>
      <c r="TSV54"/>
      <c r="TSW54"/>
      <c r="TSX54"/>
      <c r="TSY54"/>
      <c r="TSZ54"/>
      <c r="TTA54"/>
      <c r="TTB54"/>
      <c r="TTC54"/>
      <c r="TTD54"/>
      <c r="TTE54"/>
      <c r="TTF54"/>
      <c r="TTG54"/>
      <c r="TTH54"/>
      <c r="TTI54"/>
      <c r="TTJ54"/>
      <c r="TTK54"/>
      <c r="TTL54"/>
      <c r="TTM54"/>
      <c r="TTN54"/>
      <c r="TTO54"/>
      <c r="TTP54"/>
      <c r="TTQ54"/>
      <c r="TTR54"/>
      <c r="TTS54"/>
      <c r="TTT54"/>
      <c r="TTU54"/>
      <c r="TTV54"/>
      <c r="TTW54"/>
      <c r="TTX54"/>
      <c r="TTY54"/>
      <c r="TTZ54"/>
      <c r="TUA54"/>
      <c r="TUB54"/>
      <c r="TUC54"/>
      <c r="TUD54"/>
      <c r="TUE54"/>
      <c r="TUF54"/>
      <c r="TUG54"/>
      <c r="TUH54"/>
      <c r="TUI54"/>
      <c r="TUJ54"/>
      <c r="TUK54"/>
      <c r="TUL54"/>
      <c r="TUM54"/>
      <c r="TUN54"/>
      <c r="TUO54"/>
      <c r="TUP54"/>
      <c r="TUQ54"/>
      <c r="TUR54"/>
      <c r="TUS54"/>
      <c r="TUT54"/>
      <c r="TUU54"/>
      <c r="TUV54"/>
      <c r="TUW54"/>
      <c r="TUX54"/>
      <c r="TUY54"/>
      <c r="TUZ54"/>
      <c r="TVA54"/>
      <c r="TVB54"/>
      <c r="TVC54"/>
      <c r="TVD54"/>
      <c r="TVE54"/>
      <c r="TVF54"/>
      <c r="TVG54"/>
      <c r="TVH54"/>
      <c r="TVI54"/>
      <c r="TVJ54"/>
      <c r="TVK54"/>
      <c r="TVL54"/>
      <c r="TVM54"/>
      <c r="TVN54"/>
      <c r="TVO54"/>
      <c r="TVP54"/>
      <c r="TVQ54"/>
      <c r="TVR54"/>
      <c r="TVS54"/>
      <c r="TVT54"/>
      <c r="TVU54"/>
      <c r="TVV54"/>
      <c r="TVW54"/>
      <c r="TVX54"/>
      <c r="TVY54"/>
      <c r="TVZ54"/>
      <c r="TWA54"/>
      <c r="TWB54"/>
      <c r="TWC54"/>
      <c r="TWD54"/>
      <c r="TWE54"/>
      <c r="TWF54"/>
      <c r="TWG54"/>
      <c r="TWH54"/>
      <c r="TWI54"/>
      <c r="TWJ54"/>
      <c r="TWK54"/>
      <c r="TWL54"/>
      <c r="TWM54"/>
      <c r="TWN54"/>
      <c r="TWO54"/>
      <c r="TWP54"/>
      <c r="TWQ54"/>
      <c r="TWR54"/>
      <c r="TWS54"/>
      <c r="TWT54"/>
      <c r="TWU54"/>
      <c r="TWV54"/>
      <c r="TWW54"/>
      <c r="TWX54"/>
      <c r="TWY54"/>
      <c r="TWZ54"/>
      <c r="TXA54"/>
      <c r="TXB54"/>
      <c r="TXC54"/>
      <c r="TXD54"/>
      <c r="TXE54"/>
      <c r="TXF54"/>
      <c r="TXG54"/>
      <c r="TXH54"/>
      <c r="TXI54"/>
      <c r="TXJ54"/>
      <c r="TXK54"/>
      <c r="TXL54"/>
      <c r="TXM54"/>
      <c r="TXN54"/>
      <c r="TXO54"/>
      <c r="TXP54"/>
      <c r="TXQ54"/>
      <c r="TXR54"/>
      <c r="TXS54"/>
      <c r="TXT54"/>
      <c r="TXU54"/>
      <c r="TXV54"/>
      <c r="TXW54"/>
      <c r="TXX54"/>
      <c r="TXY54"/>
      <c r="TXZ54"/>
      <c r="TYA54"/>
      <c r="TYB54"/>
      <c r="TYC54"/>
      <c r="TYD54"/>
      <c r="TYE54"/>
      <c r="TYF54"/>
      <c r="TYG54"/>
      <c r="TYH54"/>
      <c r="TYI54"/>
      <c r="TYJ54"/>
      <c r="TYK54"/>
      <c r="TYL54"/>
      <c r="TYM54"/>
      <c r="TYN54"/>
      <c r="TYO54"/>
      <c r="TYP54"/>
      <c r="TYQ54"/>
      <c r="TYR54"/>
      <c r="TYS54"/>
      <c r="TYT54"/>
      <c r="TYU54"/>
      <c r="TYV54"/>
      <c r="TYW54"/>
      <c r="TYX54"/>
      <c r="TYY54"/>
      <c r="TYZ54"/>
      <c r="TZA54"/>
      <c r="TZB54"/>
      <c r="TZC54"/>
      <c r="TZD54"/>
      <c r="TZE54"/>
      <c r="TZF54"/>
      <c r="TZG54"/>
      <c r="TZH54"/>
      <c r="TZI54"/>
      <c r="TZJ54"/>
      <c r="TZK54"/>
      <c r="TZL54"/>
      <c r="TZM54"/>
      <c r="TZN54"/>
      <c r="TZO54"/>
      <c r="TZP54"/>
      <c r="TZQ54"/>
      <c r="TZR54"/>
      <c r="TZS54"/>
      <c r="TZT54"/>
      <c r="TZU54"/>
      <c r="TZV54"/>
      <c r="TZW54"/>
      <c r="TZX54"/>
      <c r="TZY54"/>
      <c r="TZZ54"/>
      <c r="UAA54"/>
      <c r="UAB54"/>
      <c r="UAC54"/>
      <c r="UAD54"/>
      <c r="UAE54"/>
      <c r="UAF54"/>
      <c r="UAG54"/>
      <c r="UAH54"/>
      <c r="UAI54"/>
      <c r="UAJ54"/>
      <c r="UAK54"/>
      <c r="UAL54"/>
      <c r="UAM54"/>
      <c r="UAN54"/>
      <c r="UAO54"/>
      <c r="UAP54"/>
      <c r="UAQ54"/>
      <c r="UAR54"/>
      <c r="UAS54"/>
      <c r="UAT54"/>
      <c r="UAU54"/>
      <c r="UAV54"/>
      <c r="UAW54"/>
      <c r="UAX54"/>
      <c r="UAY54"/>
      <c r="UAZ54"/>
      <c r="UBA54"/>
      <c r="UBB54"/>
      <c r="UBC54"/>
      <c r="UBD54"/>
      <c r="UBE54"/>
      <c r="UBF54"/>
      <c r="UBG54"/>
      <c r="UBH54"/>
      <c r="UBI54"/>
      <c r="UBJ54"/>
      <c r="UBK54"/>
      <c r="UBL54"/>
      <c r="UBM54"/>
      <c r="UBN54"/>
      <c r="UBO54"/>
      <c r="UBP54"/>
      <c r="UBQ54"/>
      <c r="UBR54"/>
      <c r="UBS54"/>
      <c r="UBT54"/>
      <c r="UBU54"/>
      <c r="UBV54"/>
      <c r="UBW54"/>
      <c r="UBX54"/>
      <c r="UBY54"/>
      <c r="UBZ54"/>
      <c r="UCA54"/>
      <c r="UCB54"/>
      <c r="UCC54"/>
      <c r="UCD54"/>
      <c r="UCE54"/>
      <c r="UCF54"/>
      <c r="UCG54"/>
      <c r="UCH54"/>
      <c r="UCI54"/>
      <c r="UCJ54"/>
      <c r="UCK54"/>
      <c r="UCL54"/>
      <c r="UCM54"/>
      <c r="UCN54"/>
      <c r="UCO54"/>
      <c r="UCP54"/>
      <c r="UCQ54"/>
      <c r="UCR54"/>
      <c r="UCS54"/>
      <c r="UCT54"/>
      <c r="UCU54"/>
      <c r="UCV54"/>
      <c r="UCW54"/>
      <c r="UCX54"/>
      <c r="UCY54"/>
      <c r="UCZ54"/>
      <c r="UDA54"/>
      <c r="UDB54"/>
      <c r="UDC54"/>
      <c r="UDD54"/>
      <c r="UDE54"/>
      <c r="UDF54"/>
      <c r="UDG54"/>
      <c r="UDH54"/>
      <c r="UDI54"/>
      <c r="UDJ54"/>
      <c r="UDK54"/>
      <c r="UDL54"/>
      <c r="UDM54"/>
      <c r="UDN54"/>
      <c r="UDO54"/>
      <c r="UDP54"/>
      <c r="UDQ54"/>
      <c r="UDR54"/>
      <c r="UDS54"/>
      <c r="UDT54"/>
      <c r="UDU54"/>
      <c r="UDV54"/>
      <c r="UDW54"/>
      <c r="UDX54"/>
      <c r="UDY54"/>
      <c r="UDZ54"/>
      <c r="UEA54"/>
      <c r="UEB54"/>
      <c r="UEC54"/>
      <c r="UED54"/>
      <c r="UEE54"/>
      <c r="UEF54"/>
      <c r="UEG54"/>
      <c r="UEH54"/>
      <c r="UEI54"/>
      <c r="UEJ54"/>
      <c r="UEK54"/>
      <c r="UEL54"/>
      <c r="UEM54"/>
      <c r="UEN54"/>
      <c r="UEO54"/>
      <c r="UEP54"/>
      <c r="UEQ54"/>
      <c r="UER54"/>
      <c r="UES54"/>
      <c r="UET54"/>
      <c r="UEU54"/>
      <c r="UEV54"/>
      <c r="UEW54"/>
      <c r="UEX54"/>
      <c r="UEY54"/>
      <c r="UEZ54"/>
      <c r="UFA54"/>
      <c r="UFB54"/>
      <c r="UFC54"/>
      <c r="UFD54"/>
      <c r="UFE54"/>
      <c r="UFF54"/>
      <c r="UFG54"/>
      <c r="UFH54"/>
      <c r="UFI54"/>
      <c r="UFJ54"/>
      <c r="UFK54"/>
      <c r="UFL54"/>
      <c r="UFM54"/>
      <c r="UFN54"/>
      <c r="UFO54"/>
      <c r="UFP54"/>
      <c r="UFQ54"/>
      <c r="UFR54"/>
      <c r="UFS54"/>
      <c r="UFT54"/>
      <c r="UFU54"/>
      <c r="UFV54"/>
      <c r="UFW54"/>
      <c r="UFX54"/>
      <c r="UFY54"/>
      <c r="UFZ54"/>
      <c r="UGA54"/>
      <c r="UGB54"/>
      <c r="UGC54"/>
      <c r="UGD54"/>
      <c r="UGE54"/>
      <c r="UGF54"/>
      <c r="UGG54"/>
      <c r="UGH54"/>
      <c r="UGI54"/>
      <c r="UGJ54"/>
      <c r="UGK54"/>
      <c r="UGL54"/>
      <c r="UGM54"/>
      <c r="UGN54"/>
      <c r="UGO54"/>
      <c r="UGP54"/>
      <c r="UGQ54"/>
      <c r="UGR54"/>
      <c r="UGS54"/>
      <c r="UGT54"/>
      <c r="UGU54"/>
      <c r="UGV54"/>
      <c r="UGW54"/>
      <c r="UGX54"/>
      <c r="UGY54"/>
      <c r="UGZ54"/>
      <c r="UHA54"/>
      <c r="UHB54"/>
      <c r="UHC54"/>
      <c r="UHD54"/>
      <c r="UHE54"/>
      <c r="UHF54"/>
      <c r="UHG54"/>
      <c r="UHH54"/>
      <c r="UHI54"/>
      <c r="UHJ54"/>
      <c r="UHK54"/>
      <c r="UHL54"/>
      <c r="UHM54"/>
      <c r="UHN54"/>
      <c r="UHO54"/>
      <c r="UHP54"/>
      <c r="UHQ54"/>
      <c r="UHR54"/>
      <c r="UHS54"/>
      <c r="UHT54"/>
      <c r="UHU54"/>
      <c r="UHV54"/>
      <c r="UHW54"/>
      <c r="UHX54"/>
      <c r="UHY54"/>
      <c r="UHZ54"/>
      <c r="UIA54"/>
      <c r="UIB54"/>
      <c r="UIC54"/>
      <c r="UID54"/>
      <c r="UIE54"/>
      <c r="UIF54"/>
      <c r="UIG54"/>
      <c r="UIH54"/>
      <c r="UII54"/>
      <c r="UIJ54"/>
      <c r="UIK54"/>
      <c r="UIL54"/>
      <c r="UIM54"/>
      <c r="UIN54"/>
      <c r="UIO54"/>
      <c r="UIP54"/>
      <c r="UIQ54"/>
      <c r="UIR54"/>
      <c r="UIS54"/>
      <c r="UIT54"/>
      <c r="UIU54"/>
      <c r="UIV54"/>
      <c r="UIW54"/>
      <c r="UIX54"/>
      <c r="UIY54"/>
      <c r="UIZ54"/>
      <c r="UJA54"/>
      <c r="UJB54"/>
      <c r="UJC54"/>
      <c r="UJD54"/>
      <c r="UJE54"/>
      <c r="UJF54"/>
      <c r="UJG54"/>
      <c r="UJH54"/>
      <c r="UJI54"/>
      <c r="UJJ54"/>
      <c r="UJK54"/>
      <c r="UJL54"/>
      <c r="UJM54"/>
      <c r="UJN54"/>
      <c r="UJO54"/>
      <c r="UJP54"/>
      <c r="UJQ54"/>
      <c r="UJR54"/>
      <c r="UJS54"/>
      <c r="UJT54"/>
      <c r="UJU54"/>
      <c r="UJV54"/>
      <c r="UJW54"/>
      <c r="UJX54"/>
      <c r="UJY54"/>
      <c r="UJZ54"/>
      <c r="UKA54"/>
      <c r="UKB54"/>
      <c r="UKC54"/>
      <c r="UKD54"/>
      <c r="UKE54"/>
      <c r="UKF54"/>
      <c r="UKG54"/>
      <c r="UKH54"/>
      <c r="UKI54"/>
      <c r="UKJ54"/>
      <c r="UKK54"/>
      <c r="UKL54"/>
      <c r="UKM54"/>
      <c r="UKN54"/>
      <c r="UKO54"/>
      <c r="UKP54"/>
      <c r="UKQ54"/>
      <c r="UKR54"/>
      <c r="UKS54"/>
      <c r="UKT54"/>
      <c r="UKU54"/>
      <c r="UKV54"/>
      <c r="UKW54"/>
      <c r="UKX54"/>
      <c r="UKY54"/>
      <c r="UKZ54"/>
      <c r="ULA54"/>
      <c r="ULB54"/>
      <c r="ULC54"/>
      <c r="ULD54"/>
      <c r="ULE54"/>
      <c r="ULF54"/>
      <c r="ULG54"/>
      <c r="ULH54"/>
      <c r="ULI54"/>
      <c r="ULJ54"/>
      <c r="ULK54"/>
      <c r="ULL54"/>
      <c r="ULM54"/>
      <c r="ULN54"/>
      <c r="ULO54"/>
      <c r="ULP54"/>
      <c r="ULQ54"/>
      <c r="ULR54"/>
      <c r="ULS54"/>
      <c r="ULT54"/>
      <c r="ULU54"/>
      <c r="ULV54"/>
      <c r="ULW54"/>
      <c r="ULX54"/>
      <c r="ULY54"/>
      <c r="ULZ54"/>
      <c r="UMA54"/>
      <c r="UMB54"/>
      <c r="UMC54"/>
      <c r="UMD54"/>
      <c r="UME54"/>
      <c r="UMF54"/>
      <c r="UMG54"/>
      <c r="UMH54"/>
      <c r="UMI54"/>
      <c r="UMJ54"/>
      <c r="UMK54"/>
      <c r="UML54"/>
      <c r="UMM54"/>
      <c r="UMN54"/>
      <c r="UMO54"/>
      <c r="UMP54"/>
      <c r="UMQ54"/>
      <c r="UMR54"/>
      <c r="UMS54"/>
      <c r="UMT54"/>
      <c r="UMU54"/>
      <c r="UMV54"/>
      <c r="UMW54"/>
      <c r="UMX54"/>
      <c r="UMY54"/>
      <c r="UMZ54"/>
      <c r="UNA54"/>
      <c r="UNB54"/>
      <c r="UNC54"/>
      <c r="UND54"/>
      <c r="UNE54"/>
      <c r="UNF54"/>
      <c r="UNG54"/>
      <c r="UNH54"/>
      <c r="UNI54"/>
      <c r="UNJ54"/>
      <c r="UNK54"/>
      <c r="UNL54"/>
      <c r="UNM54"/>
      <c r="UNN54"/>
      <c r="UNO54"/>
      <c r="UNP54"/>
      <c r="UNQ54"/>
      <c r="UNR54"/>
      <c r="UNS54"/>
      <c r="UNT54"/>
      <c r="UNU54"/>
      <c r="UNV54"/>
      <c r="UNW54"/>
      <c r="UNX54"/>
      <c r="UNY54"/>
      <c r="UNZ54"/>
      <c r="UOA54"/>
      <c r="UOB54"/>
      <c r="UOC54"/>
      <c r="UOD54"/>
      <c r="UOE54"/>
      <c r="UOF54"/>
      <c r="UOG54"/>
      <c r="UOH54"/>
      <c r="UOI54"/>
      <c r="UOJ54"/>
      <c r="UOK54"/>
      <c r="UOL54"/>
      <c r="UOM54"/>
      <c r="UON54"/>
      <c r="UOO54"/>
      <c r="UOP54"/>
      <c r="UOQ54"/>
      <c r="UOR54"/>
      <c r="UOS54"/>
      <c r="UOT54"/>
      <c r="UOU54"/>
      <c r="UOV54"/>
      <c r="UOW54"/>
      <c r="UOX54"/>
      <c r="UOY54"/>
      <c r="UOZ54"/>
      <c r="UPA54"/>
      <c r="UPB54"/>
      <c r="UPC54"/>
      <c r="UPD54"/>
      <c r="UPE54"/>
      <c r="UPF54"/>
      <c r="UPG54"/>
      <c r="UPH54"/>
      <c r="UPI54"/>
      <c r="UPJ54"/>
      <c r="UPK54"/>
      <c r="UPL54"/>
      <c r="UPM54"/>
      <c r="UPN54"/>
      <c r="UPO54"/>
      <c r="UPP54"/>
      <c r="UPQ54"/>
      <c r="UPR54"/>
      <c r="UPS54"/>
      <c r="UPT54"/>
      <c r="UPU54"/>
      <c r="UPV54"/>
      <c r="UPW54"/>
      <c r="UPX54"/>
      <c r="UPY54"/>
      <c r="UPZ54"/>
      <c r="UQA54"/>
      <c r="UQB54"/>
      <c r="UQC54"/>
      <c r="UQD54"/>
      <c r="UQE54"/>
      <c r="UQF54"/>
      <c r="UQG54"/>
      <c r="UQH54"/>
      <c r="UQI54"/>
      <c r="UQJ54"/>
      <c r="UQK54"/>
      <c r="UQL54"/>
      <c r="UQM54"/>
      <c r="UQN54"/>
      <c r="UQO54"/>
      <c r="UQP54"/>
      <c r="UQQ54"/>
      <c r="UQR54"/>
      <c r="UQS54"/>
      <c r="UQT54"/>
      <c r="UQU54"/>
      <c r="UQV54"/>
      <c r="UQW54"/>
      <c r="UQX54"/>
      <c r="UQY54"/>
      <c r="UQZ54"/>
      <c r="URA54"/>
      <c r="URB54"/>
      <c r="URC54"/>
      <c r="URD54"/>
      <c r="URE54"/>
      <c r="URF54"/>
      <c r="URG54"/>
      <c r="URH54"/>
      <c r="URI54"/>
      <c r="URJ54"/>
      <c r="URK54"/>
      <c r="URL54"/>
      <c r="URM54"/>
      <c r="URN54"/>
      <c r="URO54"/>
      <c r="URP54"/>
      <c r="URQ54"/>
      <c r="URR54"/>
      <c r="URS54"/>
      <c r="URT54"/>
      <c r="URU54"/>
      <c r="URV54"/>
      <c r="URW54"/>
      <c r="URX54"/>
      <c r="URY54"/>
      <c r="URZ54"/>
      <c r="USA54"/>
      <c r="USB54"/>
      <c r="USC54"/>
      <c r="USD54"/>
      <c r="USE54"/>
      <c r="USF54"/>
      <c r="USG54"/>
      <c r="USH54"/>
      <c r="USI54"/>
      <c r="USJ54"/>
      <c r="USK54"/>
      <c r="USL54"/>
      <c r="USM54"/>
      <c r="USN54"/>
      <c r="USO54"/>
      <c r="USP54"/>
      <c r="USQ54"/>
      <c r="USR54"/>
      <c r="USS54"/>
      <c r="UST54"/>
      <c r="USU54"/>
      <c r="USV54"/>
      <c r="USW54"/>
      <c r="USX54"/>
      <c r="USY54"/>
      <c r="USZ54"/>
      <c r="UTA54"/>
      <c r="UTB54"/>
      <c r="UTC54"/>
      <c r="UTD54"/>
      <c r="UTE54"/>
      <c r="UTF54"/>
      <c r="UTG54"/>
      <c r="UTH54"/>
      <c r="UTI54"/>
      <c r="UTJ54"/>
      <c r="UTK54"/>
      <c r="UTL54"/>
      <c r="UTM54"/>
      <c r="UTN54"/>
      <c r="UTO54"/>
      <c r="UTP54"/>
      <c r="UTQ54"/>
      <c r="UTR54"/>
      <c r="UTS54"/>
      <c r="UTT54"/>
      <c r="UTU54"/>
      <c r="UTV54"/>
      <c r="UTW54"/>
      <c r="UTX54"/>
      <c r="UTY54"/>
      <c r="UTZ54"/>
      <c r="UUA54"/>
      <c r="UUB54"/>
      <c r="UUC54"/>
      <c r="UUD54"/>
      <c r="UUE54"/>
      <c r="UUF54"/>
      <c r="UUG54"/>
      <c r="UUH54"/>
      <c r="UUI54"/>
      <c r="UUJ54"/>
      <c r="UUK54"/>
      <c r="UUL54"/>
      <c r="UUM54"/>
      <c r="UUN54"/>
      <c r="UUO54"/>
      <c r="UUP54"/>
      <c r="UUQ54"/>
      <c r="UUR54"/>
      <c r="UUS54"/>
      <c r="UUT54"/>
      <c r="UUU54"/>
      <c r="UUV54"/>
      <c r="UUW54"/>
      <c r="UUX54"/>
      <c r="UUY54"/>
      <c r="UUZ54"/>
      <c r="UVA54"/>
      <c r="UVB54"/>
      <c r="UVC54"/>
      <c r="UVD54"/>
      <c r="UVE54"/>
      <c r="UVF54"/>
      <c r="UVG54"/>
      <c r="UVH54"/>
      <c r="UVI54"/>
      <c r="UVJ54"/>
      <c r="UVK54"/>
      <c r="UVL54"/>
      <c r="UVM54"/>
      <c r="UVN54"/>
      <c r="UVO54"/>
      <c r="UVP54"/>
      <c r="UVQ54"/>
      <c r="UVR54"/>
      <c r="UVS54"/>
      <c r="UVT54"/>
      <c r="UVU54"/>
      <c r="UVV54"/>
      <c r="UVW54"/>
      <c r="UVX54"/>
      <c r="UVY54"/>
      <c r="UVZ54"/>
      <c r="UWA54"/>
      <c r="UWB54"/>
      <c r="UWC54"/>
      <c r="UWD54"/>
      <c r="UWE54"/>
      <c r="UWF54"/>
      <c r="UWG54"/>
      <c r="UWH54"/>
      <c r="UWI54"/>
      <c r="UWJ54"/>
      <c r="UWK54"/>
      <c r="UWL54"/>
      <c r="UWM54"/>
      <c r="UWN54"/>
      <c r="UWO54"/>
      <c r="UWP54"/>
      <c r="UWQ54"/>
      <c r="UWR54"/>
      <c r="UWS54"/>
      <c r="UWT54"/>
      <c r="UWU54"/>
      <c r="UWV54"/>
      <c r="UWW54"/>
      <c r="UWX54"/>
      <c r="UWY54"/>
      <c r="UWZ54"/>
      <c r="UXA54"/>
      <c r="UXB54"/>
      <c r="UXC54"/>
      <c r="UXD54"/>
      <c r="UXE54"/>
      <c r="UXF54"/>
      <c r="UXG54"/>
      <c r="UXH54"/>
      <c r="UXI54"/>
      <c r="UXJ54"/>
      <c r="UXK54"/>
      <c r="UXL54"/>
      <c r="UXM54"/>
      <c r="UXN54"/>
      <c r="UXO54"/>
      <c r="UXP54"/>
      <c r="UXQ54"/>
      <c r="UXR54"/>
      <c r="UXS54"/>
      <c r="UXT54"/>
      <c r="UXU54"/>
      <c r="UXV54"/>
      <c r="UXW54"/>
      <c r="UXX54"/>
      <c r="UXY54"/>
      <c r="UXZ54"/>
      <c r="UYA54"/>
      <c r="UYB54"/>
      <c r="UYC54"/>
      <c r="UYD54"/>
      <c r="UYE54"/>
      <c r="UYF54"/>
      <c r="UYG54"/>
      <c r="UYH54"/>
      <c r="UYI54"/>
      <c r="UYJ54"/>
      <c r="UYK54"/>
      <c r="UYL54"/>
      <c r="UYM54"/>
      <c r="UYN54"/>
      <c r="UYO54"/>
      <c r="UYP54"/>
      <c r="UYQ54"/>
      <c r="UYR54"/>
      <c r="UYS54"/>
      <c r="UYT54"/>
      <c r="UYU54"/>
      <c r="UYV54"/>
      <c r="UYW54"/>
      <c r="UYX54"/>
      <c r="UYY54"/>
      <c r="UYZ54"/>
      <c r="UZA54"/>
      <c r="UZB54"/>
      <c r="UZC54"/>
      <c r="UZD54"/>
      <c r="UZE54"/>
      <c r="UZF54"/>
      <c r="UZG54"/>
      <c r="UZH54"/>
      <c r="UZI54"/>
      <c r="UZJ54"/>
      <c r="UZK54"/>
      <c r="UZL54"/>
      <c r="UZM54"/>
      <c r="UZN54"/>
      <c r="UZO54"/>
      <c r="UZP54"/>
      <c r="UZQ54"/>
      <c r="UZR54"/>
      <c r="UZS54"/>
      <c r="UZT54"/>
      <c r="UZU54"/>
      <c r="UZV54"/>
      <c r="UZW54"/>
      <c r="UZX54"/>
      <c r="UZY54"/>
      <c r="UZZ54"/>
      <c r="VAA54"/>
      <c r="VAB54"/>
      <c r="VAC54"/>
      <c r="VAD54"/>
      <c r="VAE54"/>
      <c r="VAF54"/>
      <c r="VAG54"/>
      <c r="VAH54"/>
      <c r="VAI54"/>
      <c r="VAJ54"/>
      <c r="VAK54"/>
      <c r="VAL54"/>
      <c r="VAM54"/>
      <c r="VAN54"/>
      <c r="VAO54"/>
      <c r="VAP54"/>
      <c r="VAQ54"/>
      <c r="VAR54"/>
      <c r="VAS54"/>
      <c r="VAT54"/>
      <c r="VAU54"/>
      <c r="VAV54"/>
      <c r="VAW54"/>
      <c r="VAX54"/>
      <c r="VAY54"/>
      <c r="VAZ54"/>
      <c r="VBA54"/>
      <c r="VBB54"/>
      <c r="VBC54"/>
      <c r="VBD54"/>
      <c r="VBE54"/>
      <c r="VBF54"/>
      <c r="VBG54"/>
      <c r="VBH54"/>
      <c r="VBI54"/>
      <c r="VBJ54"/>
      <c r="VBK54"/>
      <c r="VBL54"/>
      <c r="VBM54"/>
      <c r="VBN54"/>
      <c r="VBO54"/>
      <c r="VBP54"/>
      <c r="VBQ54"/>
      <c r="VBR54"/>
      <c r="VBS54"/>
      <c r="VBT54"/>
      <c r="VBU54"/>
      <c r="VBV54"/>
      <c r="VBW54"/>
      <c r="VBX54"/>
      <c r="VBY54"/>
      <c r="VBZ54"/>
      <c r="VCA54"/>
      <c r="VCB54"/>
      <c r="VCC54"/>
      <c r="VCD54"/>
      <c r="VCE54"/>
      <c r="VCF54"/>
      <c r="VCG54"/>
      <c r="VCH54"/>
      <c r="VCI54"/>
      <c r="VCJ54"/>
      <c r="VCK54"/>
      <c r="VCL54"/>
      <c r="VCM54"/>
      <c r="VCN54"/>
      <c r="VCO54"/>
      <c r="VCP54"/>
      <c r="VCQ54"/>
      <c r="VCR54"/>
      <c r="VCS54"/>
      <c r="VCT54"/>
      <c r="VCU54"/>
      <c r="VCV54"/>
      <c r="VCW54"/>
      <c r="VCX54"/>
      <c r="VCY54"/>
      <c r="VCZ54"/>
      <c r="VDA54"/>
      <c r="VDB54"/>
      <c r="VDC54"/>
      <c r="VDD54"/>
      <c r="VDE54"/>
      <c r="VDF54"/>
      <c r="VDG54"/>
      <c r="VDH54"/>
      <c r="VDI54"/>
      <c r="VDJ54"/>
      <c r="VDK54"/>
      <c r="VDL54"/>
      <c r="VDM54"/>
      <c r="VDN54"/>
      <c r="VDO54"/>
      <c r="VDP54"/>
      <c r="VDQ54"/>
      <c r="VDR54"/>
      <c r="VDS54"/>
      <c r="VDT54"/>
      <c r="VDU54"/>
      <c r="VDV54"/>
      <c r="VDW54"/>
      <c r="VDX54"/>
      <c r="VDY54"/>
      <c r="VDZ54"/>
      <c r="VEA54"/>
      <c r="VEB54"/>
      <c r="VEC54"/>
      <c r="VED54"/>
      <c r="VEE54"/>
      <c r="VEF54"/>
      <c r="VEG54"/>
      <c r="VEH54"/>
      <c r="VEI54"/>
      <c r="VEJ54"/>
      <c r="VEK54"/>
      <c r="VEL54"/>
      <c r="VEM54"/>
      <c r="VEN54"/>
      <c r="VEO54"/>
      <c r="VEP54"/>
      <c r="VEQ54"/>
      <c r="VER54"/>
      <c r="VES54"/>
      <c r="VET54"/>
      <c r="VEU54"/>
      <c r="VEV54"/>
      <c r="VEW54"/>
      <c r="VEX54"/>
      <c r="VEY54"/>
      <c r="VEZ54"/>
      <c r="VFA54"/>
      <c r="VFB54"/>
      <c r="VFC54"/>
      <c r="VFD54"/>
      <c r="VFE54"/>
      <c r="VFF54"/>
      <c r="VFG54"/>
      <c r="VFH54"/>
      <c r="VFI54"/>
      <c r="VFJ54"/>
      <c r="VFK54"/>
      <c r="VFL54"/>
      <c r="VFM54"/>
      <c r="VFN54"/>
      <c r="VFO54"/>
      <c r="VFP54"/>
      <c r="VFQ54"/>
      <c r="VFR54"/>
      <c r="VFS54"/>
      <c r="VFT54"/>
      <c r="VFU54"/>
      <c r="VFV54"/>
      <c r="VFW54"/>
      <c r="VFX54"/>
      <c r="VFY54"/>
      <c r="VFZ54"/>
      <c r="VGA54"/>
      <c r="VGB54"/>
      <c r="VGC54"/>
      <c r="VGD54"/>
      <c r="VGE54"/>
      <c r="VGF54"/>
      <c r="VGG54"/>
      <c r="VGH54"/>
      <c r="VGI54"/>
      <c r="VGJ54"/>
      <c r="VGK54"/>
      <c r="VGL54"/>
      <c r="VGM54"/>
      <c r="VGN54"/>
      <c r="VGO54"/>
      <c r="VGP54"/>
      <c r="VGQ54"/>
      <c r="VGR54"/>
      <c r="VGS54"/>
      <c r="VGT54"/>
      <c r="VGU54"/>
      <c r="VGV54"/>
      <c r="VGW54"/>
      <c r="VGX54"/>
      <c r="VGY54"/>
      <c r="VGZ54"/>
      <c r="VHA54"/>
      <c r="VHB54"/>
      <c r="VHC54"/>
      <c r="VHD54"/>
      <c r="VHE54"/>
      <c r="VHF54"/>
      <c r="VHG54"/>
      <c r="VHH54"/>
      <c r="VHI54"/>
      <c r="VHJ54"/>
      <c r="VHK54"/>
      <c r="VHL54"/>
      <c r="VHM54"/>
      <c r="VHN54"/>
      <c r="VHO54"/>
      <c r="VHP54"/>
      <c r="VHQ54"/>
      <c r="VHR54"/>
      <c r="VHS54"/>
      <c r="VHT54"/>
      <c r="VHU54"/>
      <c r="VHV54"/>
      <c r="VHW54"/>
      <c r="VHX54"/>
      <c r="VHY54"/>
      <c r="VHZ54"/>
      <c r="VIA54"/>
      <c r="VIB54"/>
      <c r="VIC54"/>
      <c r="VID54"/>
      <c r="VIE54"/>
      <c r="VIF54"/>
      <c r="VIG54"/>
      <c r="VIH54"/>
      <c r="VII54"/>
      <c r="VIJ54"/>
      <c r="VIK54"/>
      <c r="VIL54"/>
      <c r="VIM54"/>
      <c r="VIN54"/>
      <c r="VIO54"/>
      <c r="VIP54"/>
      <c r="VIQ54"/>
      <c r="VIR54"/>
      <c r="VIS54"/>
      <c r="VIT54"/>
      <c r="VIU54"/>
      <c r="VIV54"/>
      <c r="VIW54"/>
      <c r="VIX54"/>
      <c r="VIY54"/>
      <c r="VIZ54"/>
      <c r="VJA54"/>
      <c r="VJB54"/>
      <c r="VJC54"/>
      <c r="VJD54"/>
      <c r="VJE54"/>
      <c r="VJF54"/>
      <c r="VJG54"/>
      <c r="VJH54"/>
      <c r="VJI54"/>
      <c r="VJJ54"/>
      <c r="VJK54"/>
      <c r="VJL54"/>
      <c r="VJM54"/>
      <c r="VJN54"/>
      <c r="VJO54"/>
      <c r="VJP54"/>
      <c r="VJQ54"/>
      <c r="VJR54"/>
      <c r="VJS54"/>
      <c r="VJT54"/>
      <c r="VJU54"/>
      <c r="VJV54"/>
      <c r="VJW54"/>
      <c r="VJX54"/>
      <c r="VJY54"/>
      <c r="VJZ54"/>
      <c r="VKA54"/>
      <c r="VKB54"/>
      <c r="VKC54"/>
      <c r="VKD54"/>
      <c r="VKE54"/>
      <c r="VKF54"/>
      <c r="VKG54"/>
      <c r="VKH54"/>
      <c r="VKI54"/>
      <c r="VKJ54"/>
      <c r="VKK54"/>
      <c r="VKL54"/>
      <c r="VKM54"/>
      <c r="VKN54"/>
      <c r="VKO54"/>
      <c r="VKP54"/>
      <c r="VKQ54"/>
      <c r="VKR54"/>
      <c r="VKS54"/>
      <c r="VKT54"/>
      <c r="VKU54"/>
      <c r="VKV54"/>
      <c r="VKW54"/>
      <c r="VKX54"/>
      <c r="VKY54"/>
      <c r="VKZ54"/>
      <c r="VLA54"/>
      <c r="VLB54"/>
      <c r="VLC54"/>
      <c r="VLD54"/>
      <c r="VLE54"/>
      <c r="VLF54"/>
      <c r="VLG54"/>
      <c r="VLH54"/>
      <c r="VLI54"/>
      <c r="VLJ54"/>
      <c r="VLK54"/>
      <c r="VLL54"/>
      <c r="VLM54"/>
      <c r="VLN54"/>
      <c r="VLO54"/>
      <c r="VLP54"/>
      <c r="VLQ54"/>
      <c r="VLR54"/>
      <c r="VLS54"/>
      <c r="VLT54"/>
      <c r="VLU54"/>
      <c r="VLV54"/>
      <c r="VLW54"/>
      <c r="VLX54"/>
      <c r="VLY54"/>
      <c r="VLZ54"/>
      <c r="VMA54"/>
      <c r="VMB54"/>
      <c r="VMC54"/>
      <c r="VMD54"/>
      <c r="VME54"/>
      <c r="VMF54"/>
      <c r="VMG54"/>
      <c r="VMH54"/>
      <c r="VMI54"/>
      <c r="VMJ54"/>
      <c r="VMK54"/>
      <c r="VML54"/>
      <c r="VMM54"/>
      <c r="VMN54"/>
      <c r="VMO54"/>
      <c r="VMP54"/>
      <c r="VMQ54"/>
      <c r="VMR54"/>
      <c r="VMS54"/>
      <c r="VMT54"/>
      <c r="VMU54"/>
      <c r="VMV54"/>
      <c r="VMW54"/>
      <c r="VMX54"/>
      <c r="VMY54"/>
      <c r="VMZ54"/>
      <c r="VNA54"/>
      <c r="VNB54"/>
      <c r="VNC54"/>
      <c r="VND54"/>
      <c r="VNE54"/>
      <c r="VNF54"/>
      <c r="VNG54"/>
      <c r="VNH54"/>
      <c r="VNI54"/>
      <c r="VNJ54"/>
      <c r="VNK54"/>
      <c r="VNL54"/>
      <c r="VNM54"/>
      <c r="VNN54"/>
      <c r="VNO54"/>
      <c r="VNP54"/>
      <c r="VNQ54"/>
      <c r="VNR54"/>
      <c r="VNS54"/>
      <c r="VNT54"/>
      <c r="VNU54"/>
      <c r="VNV54"/>
      <c r="VNW54"/>
      <c r="VNX54"/>
      <c r="VNY54"/>
      <c r="VNZ54"/>
      <c r="VOA54"/>
      <c r="VOB54"/>
      <c r="VOC54"/>
      <c r="VOD54"/>
      <c r="VOE54"/>
      <c r="VOF54"/>
      <c r="VOG54"/>
      <c r="VOH54"/>
      <c r="VOI54"/>
      <c r="VOJ54"/>
      <c r="VOK54"/>
      <c r="VOL54"/>
      <c r="VOM54"/>
      <c r="VON54"/>
      <c r="VOO54"/>
      <c r="VOP54"/>
      <c r="VOQ54"/>
      <c r="VOR54"/>
      <c r="VOS54"/>
      <c r="VOT54"/>
      <c r="VOU54"/>
      <c r="VOV54"/>
      <c r="VOW54"/>
      <c r="VOX54"/>
      <c r="VOY54"/>
      <c r="VOZ54"/>
      <c r="VPA54"/>
      <c r="VPB54"/>
      <c r="VPC54"/>
      <c r="VPD54"/>
      <c r="VPE54"/>
      <c r="VPF54"/>
      <c r="VPG54"/>
      <c r="VPH54"/>
      <c r="VPI54"/>
      <c r="VPJ54"/>
      <c r="VPK54"/>
      <c r="VPL54"/>
      <c r="VPM54"/>
      <c r="VPN54"/>
      <c r="VPO54"/>
      <c r="VPP54"/>
      <c r="VPQ54"/>
      <c r="VPR54"/>
      <c r="VPS54"/>
      <c r="VPT54"/>
      <c r="VPU54"/>
      <c r="VPV54"/>
      <c r="VPW54"/>
      <c r="VPX54"/>
      <c r="VPY54"/>
      <c r="VPZ54"/>
      <c r="VQA54"/>
      <c r="VQB54"/>
      <c r="VQC54"/>
      <c r="VQD54"/>
      <c r="VQE54"/>
      <c r="VQF54"/>
      <c r="VQG54"/>
      <c r="VQH54"/>
      <c r="VQI54"/>
      <c r="VQJ54"/>
      <c r="VQK54"/>
      <c r="VQL54"/>
      <c r="VQM54"/>
      <c r="VQN54"/>
      <c r="VQO54"/>
      <c r="VQP54"/>
      <c r="VQQ54"/>
      <c r="VQR54"/>
      <c r="VQS54"/>
      <c r="VQT54"/>
      <c r="VQU54"/>
      <c r="VQV54"/>
      <c r="VQW54"/>
      <c r="VQX54"/>
      <c r="VQY54"/>
      <c r="VQZ54"/>
      <c r="VRA54"/>
      <c r="VRB54"/>
      <c r="VRC54"/>
      <c r="VRD54"/>
      <c r="VRE54"/>
      <c r="VRF54"/>
      <c r="VRG54"/>
      <c r="VRH54"/>
      <c r="VRI54"/>
      <c r="VRJ54"/>
      <c r="VRK54"/>
      <c r="VRL54"/>
      <c r="VRM54"/>
      <c r="VRN54"/>
      <c r="VRO54"/>
      <c r="VRP54"/>
      <c r="VRQ54"/>
      <c r="VRR54"/>
      <c r="VRS54"/>
      <c r="VRT54"/>
      <c r="VRU54"/>
      <c r="VRV54"/>
      <c r="VRW54"/>
      <c r="VRX54"/>
      <c r="VRY54"/>
      <c r="VRZ54"/>
      <c r="VSA54"/>
      <c r="VSB54"/>
      <c r="VSC54"/>
      <c r="VSD54"/>
      <c r="VSE54"/>
      <c r="VSF54"/>
      <c r="VSG54"/>
      <c r="VSH54"/>
      <c r="VSI54"/>
      <c r="VSJ54"/>
      <c r="VSK54"/>
      <c r="VSL54"/>
      <c r="VSM54"/>
      <c r="VSN54"/>
      <c r="VSO54"/>
      <c r="VSP54"/>
      <c r="VSQ54"/>
      <c r="VSR54"/>
      <c r="VSS54"/>
      <c r="VST54"/>
      <c r="VSU54"/>
      <c r="VSV54"/>
      <c r="VSW54"/>
      <c r="VSX54"/>
      <c r="VSY54"/>
      <c r="VSZ54"/>
      <c r="VTA54"/>
      <c r="VTB54"/>
      <c r="VTC54"/>
      <c r="VTD54"/>
      <c r="VTE54"/>
      <c r="VTF54"/>
      <c r="VTG54"/>
      <c r="VTH54"/>
      <c r="VTI54"/>
      <c r="VTJ54"/>
      <c r="VTK54"/>
      <c r="VTL54"/>
      <c r="VTM54"/>
      <c r="VTN54"/>
      <c r="VTO54"/>
      <c r="VTP54"/>
      <c r="VTQ54"/>
      <c r="VTR54"/>
      <c r="VTS54"/>
      <c r="VTT54"/>
      <c r="VTU54"/>
      <c r="VTV54"/>
      <c r="VTW54"/>
      <c r="VTX54"/>
      <c r="VTY54"/>
      <c r="VTZ54"/>
      <c r="VUA54"/>
      <c r="VUB54"/>
      <c r="VUC54"/>
      <c r="VUD54"/>
      <c r="VUE54"/>
      <c r="VUF54"/>
      <c r="VUG54"/>
      <c r="VUH54"/>
      <c r="VUI54"/>
      <c r="VUJ54"/>
      <c r="VUK54"/>
      <c r="VUL54"/>
      <c r="VUM54"/>
      <c r="VUN54"/>
      <c r="VUO54"/>
      <c r="VUP54"/>
      <c r="VUQ54"/>
      <c r="VUR54"/>
      <c r="VUS54"/>
      <c r="VUT54"/>
      <c r="VUU54"/>
      <c r="VUV54"/>
      <c r="VUW54"/>
      <c r="VUX54"/>
      <c r="VUY54"/>
      <c r="VUZ54"/>
      <c r="VVA54"/>
      <c r="VVB54"/>
      <c r="VVC54"/>
      <c r="VVD54"/>
      <c r="VVE54"/>
      <c r="VVF54"/>
      <c r="VVG54"/>
      <c r="VVH54"/>
      <c r="VVI54"/>
      <c r="VVJ54"/>
      <c r="VVK54"/>
      <c r="VVL54"/>
      <c r="VVM54"/>
      <c r="VVN54"/>
      <c r="VVO54"/>
      <c r="VVP54"/>
      <c r="VVQ54"/>
      <c r="VVR54"/>
      <c r="VVS54"/>
      <c r="VVT54"/>
      <c r="VVU54"/>
      <c r="VVV54"/>
      <c r="VVW54"/>
      <c r="VVX54"/>
      <c r="VVY54"/>
      <c r="VVZ54"/>
      <c r="VWA54"/>
      <c r="VWB54"/>
      <c r="VWC54"/>
      <c r="VWD54"/>
      <c r="VWE54"/>
      <c r="VWF54"/>
      <c r="VWG54"/>
      <c r="VWH54"/>
      <c r="VWI54"/>
      <c r="VWJ54"/>
      <c r="VWK54"/>
      <c r="VWL54"/>
      <c r="VWM54"/>
      <c r="VWN54"/>
      <c r="VWO54"/>
      <c r="VWP54"/>
      <c r="VWQ54"/>
      <c r="VWR54"/>
      <c r="VWS54"/>
      <c r="VWT54"/>
      <c r="VWU54"/>
      <c r="VWV54"/>
      <c r="VWW54"/>
      <c r="VWX54"/>
      <c r="VWY54"/>
      <c r="VWZ54"/>
      <c r="VXA54"/>
      <c r="VXB54"/>
      <c r="VXC54"/>
      <c r="VXD54"/>
      <c r="VXE54"/>
      <c r="VXF54"/>
      <c r="VXG54"/>
      <c r="VXH54"/>
      <c r="VXI54"/>
      <c r="VXJ54"/>
      <c r="VXK54"/>
      <c r="VXL54"/>
      <c r="VXM54"/>
      <c r="VXN54"/>
      <c r="VXO54"/>
      <c r="VXP54"/>
      <c r="VXQ54"/>
      <c r="VXR54"/>
      <c r="VXS54"/>
      <c r="VXT54"/>
      <c r="VXU54"/>
      <c r="VXV54"/>
      <c r="VXW54"/>
      <c r="VXX54"/>
      <c r="VXY54"/>
      <c r="VXZ54"/>
      <c r="VYA54"/>
      <c r="VYB54"/>
      <c r="VYC54"/>
      <c r="VYD54"/>
      <c r="VYE54"/>
      <c r="VYF54"/>
      <c r="VYG54"/>
      <c r="VYH54"/>
      <c r="VYI54"/>
      <c r="VYJ54"/>
      <c r="VYK54"/>
      <c r="VYL54"/>
      <c r="VYM54"/>
      <c r="VYN54"/>
      <c r="VYO54"/>
      <c r="VYP54"/>
      <c r="VYQ54"/>
      <c r="VYR54"/>
      <c r="VYS54"/>
      <c r="VYT54"/>
      <c r="VYU54"/>
      <c r="VYV54"/>
      <c r="VYW54"/>
      <c r="VYX54"/>
      <c r="VYY54"/>
      <c r="VYZ54"/>
      <c r="VZA54"/>
      <c r="VZB54"/>
      <c r="VZC54"/>
      <c r="VZD54"/>
      <c r="VZE54"/>
      <c r="VZF54"/>
      <c r="VZG54"/>
      <c r="VZH54"/>
      <c r="VZI54"/>
      <c r="VZJ54"/>
      <c r="VZK54"/>
      <c r="VZL54"/>
      <c r="VZM54"/>
      <c r="VZN54"/>
      <c r="VZO54"/>
      <c r="VZP54"/>
      <c r="VZQ54"/>
      <c r="VZR54"/>
      <c r="VZS54"/>
      <c r="VZT54"/>
      <c r="VZU54"/>
      <c r="VZV54"/>
      <c r="VZW54"/>
      <c r="VZX54"/>
      <c r="VZY54"/>
      <c r="VZZ54"/>
      <c r="WAA54"/>
      <c r="WAB54"/>
      <c r="WAC54"/>
      <c r="WAD54"/>
      <c r="WAE54"/>
      <c r="WAF54"/>
      <c r="WAG54"/>
      <c r="WAH54"/>
      <c r="WAI54"/>
      <c r="WAJ54"/>
      <c r="WAK54"/>
      <c r="WAL54"/>
      <c r="WAM54"/>
      <c r="WAN54"/>
      <c r="WAO54"/>
      <c r="WAP54"/>
      <c r="WAQ54"/>
      <c r="WAR54"/>
      <c r="WAS54"/>
      <c r="WAT54"/>
      <c r="WAU54"/>
      <c r="WAV54"/>
      <c r="WAW54"/>
      <c r="WAX54"/>
      <c r="WAY54"/>
      <c r="WAZ54"/>
      <c r="WBA54"/>
      <c r="WBB54"/>
      <c r="WBC54"/>
      <c r="WBD54"/>
      <c r="WBE54"/>
      <c r="WBF54"/>
      <c r="WBG54"/>
      <c r="WBH54"/>
      <c r="WBI54"/>
      <c r="WBJ54"/>
      <c r="WBK54"/>
      <c r="WBL54"/>
      <c r="WBM54"/>
      <c r="WBN54"/>
      <c r="WBO54"/>
      <c r="WBP54"/>
      <c r="WBQ54"/>
      <c r="WBR54"/>
      <c r="WBS54"/>
      <c r="WBT54"/>
      <c r="WBU54"/>
      <c r="WBV54"/>
      <c r="WBW54"/>
      <c r="WBX54"/>
      <c r="WBY54"/>
      <c r="WBZ54"/>
      <c r="WCA54"/>
      <c r="WCB54"/>
      <c r="WCC54"/>
      <c r="WCD54"/>
      <c r="WCE54"/>
      <c r="WCF54"/>
      <c r="WCG54"/>
      <c r="WCH54"/>
      <c r="WCI54"/>
      <c r="WCJ54"/>
      <c r="WCK54"/>
      <c r="WCL54"/>
      <c r="WCM54"/>
      <c r="WCN54"/>
      <c r="WCO54"/>
      <c r="WCP54"/>
      <c r="WCQ54"/>
      <c r="WCR54"/>
      <c r="WCS54"/>
      <c r="WCT54"/>
      <c r="WCU54"/>
      <c r="WCV54"/>
      <c r="WCW54"/>
      <c r="WCX54"/>
      <c r="WCY54"/>
      <c r="WCZ54"/>
      <c r="WDA54"/>
      <c r="WDB54"/>
      <c r="WDC54"/>
      <c r="WDD54"/>
      <c r="WDE54"/>
      <c r="WDF54"/>
      <c r="WDG54"/>
      <c r="WDH54"/>
      <c r="WDI54"/>
      <c r="WDJ54"/>
      <c r="WDK54"/>
      <c r="WDL54"/>
      <c r="WDM54"/>
      <c r="WDN54"/>
      <c r="WDO54"/>
      <c r="WDP54"/>
      <c r="WDQ54"/>
      <c r="WDR54"/>
      <c r="WDS54"/>
      <c r="WDT54"/>
      <c r="WDU54"/>
      <c r="WDV54"/>
      <c r="WDW54"/>
      <c r="WDX54"/>
      <c r="WDY54"/>
      <c r="WDZ54"/>
      <c r="WEA54"/>
      <c r="WEB54"/>
      <c r="WEC54"/>
      <c r="WED54"/>
      <c r="WEE54"/>
      <c r="WEF54"/>
      <c r="WEG54"/>
      <c r="WEH54"/>
      <c r="WEI54"/>
      <c r="WEJ54"/>
      <c r="WEK54"/>
      <c r="WEL54"/>
      <c r="WEM54"/>
      <c r="WEN54"/>
      <c r="WEO54"/>
      <c r="WEP54"/>
      <c r="WEQ54"/>
      <c r="WER54"/>
      <c r="WES54"/>
      <c r="WET54"/>
      <c r="WEU54"/>
      <c r="WEV54"/>
      <c r="WEW54"/>
      <c r="WEX54"/>
      <c r="WEY54"/>
      <c r="WEZ54"/>
      <c r="WFA54"/>
      <c r="WFB54"/>
      <c r="WFC54"/>
      <c r="WFD54"/>
      <c r="WFE54"/>
      <c r="WFF54"/>
      <c r="WFG54"/>
      <c r="WFH54"/>
      <c r="WFI54"/>
      <c r="WFJ54"/>
      <c r="WFK54"/>
      <c r="WFL54"/>
      <c r="WFM54"/>
      <c r="WFN54"/>
      <c r="WFO54"/>
      <c r="WFP54"/>
      <c r="WFQ54"/>
      <c r="WFR54"/>
      <c r="WFS54"/>
      <c r="WFT54"/>
      <c r="WFU54"/>
      <c r="WFV54"/>
      <c r="WFW54"/>
      <c r="WFX54"/>
      <c r="WFY54"/>
      <c r="WFZ54"/>
      <c r="WGA54"/>
      <c r="WGB54"/>
      <c r="WGC54"/>
      <c r="WGD54"/>
      <c r="WGE54"/>
      <c r="WGF54"/>
      <c r="WGG54"/>
      <c r="WGH54"/>
      <c r="WGI54"/>
      <c r="WGJ54"/>
      <c r="WGK54"/>
      <c r="WGL54"/>
      <c r="WGM54"/>
      <c r="WGN54"/>
      <c r="WGO54"/>
      <c r="WGP54"/>
      <c r="WGQ54"/>
      <c r="WGR54"/>
      <c r="WGS54"/>
      <c r="WGT54"/>
      <c r="WGU54"/>
      <c r="WGV54"/>
      <c r="WGW54"/>
      <c r="WGX54"/>
      <c r="WGY54"/>
      <c r="WGZ54"/>
      <c r="WHA54"/>
      <c r="WHB54"/>
      <c r="WHC54"/>
      <c r="WHD54"/>
      <c r="WHE54"/>
      <c r="WHF54"/>
      <c r="WHG54"/>
      <c r="WHH54"/>
      <c r="WHI54"/>
      <c r="WHJ54"/>
      <c r="WHK54"/>
      <c r="WHL54"/>
      <c r="WHM54"/>
      <c r="WHN54"/>
      <c r="WHO54"/>
      <c r="WHP54"/>
      <c r="WHQ54"/>
      <c r="WHR54"/>
      <c r="WHS54"/>
      <c r="WHT54"/>
      <c r="WHU54"/>
      <c r="WHV54"/>
      <c r="WHW54"/>
      <c r="WHX54"/>
      <c r="WHY54"/>
      <c r="WHZ54"/>
      <c r="WIA54"/>
      <c r="WIB54"/>
      <c r="WIC54"/>
      <c r="WID54"/>
      <c r="WIE54"/>
      <c r="WIF54"/>
      <c r="WIG54"/>
      <c r="WIH54"/>
      <c r="WII54"/>
      <c r="WIJ54"/>
      <c r="WIK54"/>
      <c r="WIL54"/>
      <c r="WIM54"/>
      <c r="WIN54"/>
      <c r="WIO54"/>
      <c r="WIP54"/>
      <c r="WIQ54"/>
      <c r="WIR54"/>
      <c r="WIS54"/>
      <c r="WIT54"/>
      <c r="WIU54"/>
      <c r="WIV54"/>
      <c r="WIW54"/>
      <c r="WIX54"/>
      <c r="WIY54"/>
      <c r="WIZ54"/>
      <c r="WJA54"/>
      <c r="WJB54"/>
      <c r="WJC54"/>
      <c r="WJD54"/>
      <c r="WJE54"/>
      <c r="WJF54"/>
      <c r="WJG54"/>
      <c r="WJH54"/>
      <c r="WJI54"/>
      <c r="WJJ54"/>
      <c r="WJK54"/>
      <c r="WJL54"/>
      <c r="WJM54"/>
      <c r="WJN54"/>
      <c r="WJO54"/>
      <c r="WJP54"/>
      <c r="WJQ54"/>
      <c r="WJR54"/>
      <c r="WJS54"/>
      <c r="WJT54"/>
      <c r="WJU54"/>
      <c r="WJV54"/>
      <c r="WJW54"/>
      <c r="WJX54"/>
      <c r="WJY54"/>
      <c r="WJZ54"/>
      <c r="WKA54"/>
      <c r="WKB54"/>
      <c r="WKC54"/>
      <c r="WKD54"/>
      <c r="WKE54"/>
      <c r="WKF54"/>
      <c r="WKG54"/>
      <c r="WKH54"/>
      <c r="WKI54"/>
      <c r="WKJ54"/>
      <c r="WKK54"/>
      <c r="WKL54"/>
      <c r="WKM54"/>
      <c r="WKN54"/>
      <c r="WKO54"/>
      <c r="WKP54"/>
      <c r="WKQ54"/>
      <c r="WKR54"/>
      <c r="WKS54"/>
      <c r="WKT54"/>
      <c r="WKU54"/>
      <c r="WKV54"/>
      <c r="WKW54"/>
      <c r="WKX54"/>
      <c r="WKY54"/>
      <c r="WKZ54"/>
      <c r="WLA54"/>
      <c r="WLB54"/>
      <c r="WLC54"/>
      <c r="WLD54"/>
      <c r="WLE54"/>
      <c r="WLF54"/>
      <c r="WLG54"/>
      <c r="WLH54"/>
      <c r="WLI54"/>
      <c r="WLJ54"/>
      <c r="WLK54"/>
      <c r="WLL54"/>
      <c r="WLM54"/>
      <c r="WLN54"/>
      <c r="WLO54"/>
      <c r="WLP54"/>
      <c r="WLQ54"/>
      <c r="WLR54"/>
      <c r="WLS54"/>
      <c r="WLT54"/>
      <c r="WLU54"/>
      <c r="WLV54"/>
      <c r="WLW54"/>
      <c r="WLX54"/>
      <c r="WLY54"/>
      <c r="WLZ54"/>
      <c r="WMA54"/>
      <c r="WMB54"/>
      <c r="WMC54"/>
      <c r="WMD54"/>
      <c r="WME54"/>
      <c r="WMF54"/>
      <c r="WMG54"/>
      <c r="WMH54"/>
      <c r="WMI54"/>
      <c r="WMJ54"/>
      <c r="WMK54"/>
      <c r="WML54"/>
      <c r="WMM54"/>
      <c r="WMN54"/>
      <c r="WMO54"/>
      <c r="WMP54"/>
      <c r="WMQ54"/>
      <c r="WMR54"/>
      <c r="WMS54"/>
      <c r="WMT54"/>
      <c r="WMU54"/>
      <c r="WMV54"/>
      <c r="WMW54"/>
      <c r="WMX54"/>
      <c r="WMY54"/>
      <c r="WMZ54"/>
      <c r="WNA54"/>
      <c r="WNB54"/>
      <c r="WNC54"/>
      <c r="WND54"/>
      <c r="WNE54"/>
      <c r="WNF54"/>
      <c r="WNG54"/>
      <c r="WNH54"/>
      <c r="WNI54"/>
      <c r="WNJ54"/>
      <c r="WNK54"/>
      <c r="WNL54"/>
      <c r="WNM54"/>
      <c r="WNN54"/>
      <c r="WNO54"/>
      <c r="WNP54"/>
      <c r="WNQ54"/>
      <c r="WNR54"/>
      <c r="WNS54"/>
      <c r="WNT54"/>
      <c r="WNU54"/>
      <c r="WNV54"/>
      <c r="WNW54"/>
      <c r="WNX54"/>
      <c r="WNY54"/>
      <c r="WNZ54"/>
      <c r="WOA54"/>
      <c r="WOB54"/>
      <c r="WOC54"/>
      <c r="WOD54"/>
      <c r="WOE54"/>
      <c r="WOF54"/>
      <c r="WOG54"/>
      <c r="WOH54"/>
      <c r="WOI54"/>
      <c r="WOJ54"/>
      <c r="WOK54"/>
      <c r="WOL54"/>
      <c r="WOM54"/>
      <c r="WON54"/>
      <c r="WOO54"/>
      <c r="WOP54"/>
      <c r="WOQ54"/>
      <c r="WOR54"/>
      <c r="WOS54"/>
      <c r="WOT54"/>
      <c r="WOU54"/>
      <c r="WOV54"/>
      <c r="WOW54"/>
      <c r="WOX54"/>
      <c r="WOY54"/>
      <c r="WOZ54"/>
      <c r="WPA54"/>
      <c r="WPB54"/>
      <c r="WPC54"/>
      <c r="WPD54"/>
      <c r="WPE54"/>
      <c r="WPF54"/>
      <c r="WPG54"/>
      <c r="WPH54"/>
      <c r="WPI54"/>
      <c r="WPJ54"/>
      <c r="WPK54"/>
      <c r="WPL54"/>
      <c r="WPM54"/>
      <c r="WPN54"/>
      <c r="WPO54"/>
      <c r="WPP54"/>
      <c r="WPQ54"/>
      <c r="WPR54"/>
      <c r="WPS54"/>
      <c r="WPT54"/>
      <c r="WPU54"/>
      <c r="WPV54"/>
      <c r="WPW54"/>
      <c r="WPX54"/>
      <c r="WPY54"/>
      <c r="WPZ54"/>
      <c r="WQA54"/>
      <c r="WQB54"/>
      <c r="WQC54"/>
      <c r="WQD54"/>
      <c r="WQE54"/>
      <c r="WQF54"/>
      <c r="WQG54"/>
      <c r="WQH54"/>
      <c r="WQI54"/>
      <c r="WQJ54"/>
      <c r="WQK54"/>
      <c r="WQL54"/>
      <c r="WQM54"/>
      <c r="WQN54"/>
      <c r="WQO54"/>
      <c r="WQP54"/>
      <c r="WQQ54"/>
      <c r="WQR54"/>
      <c r="WQS54"/>
      <c r="WQT54"/>
      <c r="WQU54"/>
      <c r="WQV54"/>
      <c r="WQW54"/>
      <c r="WQX54"/>
      <c r="WQY54"/>
      <c r="WQZ54"/>
      <c r="WRA54"/>
      <c r="WRB54"/>
      <c r="WRC54"/>
      <c r="WRD54"/>
      <c r="WRE54"/>
      <c r="WRF54"/>
      <c r="WRG54"/>
      <c r="WRH54"/>
      <c r="WRI54"/>
      <c r="WRJ54"/>
      <c r="WRK54"/>
      <c r="WRL54"/>
      <c r="WRM54"/>
      <c r="WRN54"/>
      <c r="WRO54"/>
      <c r="WRP54"/>
      <c r="WRQ54"/>
      <c r="WRR54"/>
      <c r="WRS54"/>
      <c r="WRT54"/>
      <c r="WRU54"/>
      <c r="WRV54"/>
      <c r="WRW54"/>
      <c r="WRX54"/>
      <c r="WRY54"/>
      <c r="WRZ54"/>
      <c r="WSA54"/>
      <c r="WSB54"/>
      <c r="WSC54"/>
      <c r="WSD54"/>
      <c r="WSE54"/>
      <c r="WSF54"/>
      <c r="WSG54"/>
      <c r="WSH54"/>
      <c r="WSI54"/>
      <c r="WSJ54"/>
      <c r="WSK54"/>
      <c r="WSL54"/>
      <c r="WSM54"/>
      <c r="WSN54"/>
      <c r="WSO54"/>
      <c r="WSP54"/>
      <c r="WSQ54"/>
      <c r="WSR54"/>
      <c r="WSS54"/>
      <c r="WST54"/>
      <c r="WSU54"/>
      <c r="WSV54"/>
      <c r="WSW54"/>
      <c r="WSX54"/>
      <c r="WSY54"/>
      <c r="WSZ54"/>
      <c r="WTA54"/>
      <c r="WTB54"/>
      <c r="WTC54"/>
      <c r="WTD54"/>
      <c r="WTE54"/>
      <c r="WTF54"/>
      <c r="WTG54"/>
      <c r="WTH54"/>
      <c r="WTI54"/>
      <c r="WTJ54"/>
      <c r="WTK54"/>
      <c r="WTL54"/>
      <c r="WTM54"/>
      <c r="WTN54"/>
      <c r="WTO54"/>
      <c r="WTP54"/>
      <c r="WTQ54"/>
      <c r="WTR54"/>
      <c r="WTS54"/>
      <c r="WTT54"/>
      <c r="WTU54"/>
      <c r="WTV54"/>
      <c r="WTW54"/>
      <c r="WTX54"/>
      <c r="WTY54"/>
      <c r="WTZ54"/>
      <c r="WUA54"/>
      <c r="WUB54"/>
      <c r="WUC54"/>
      <c r="WUD54"/>
      <c r="WUE54"/>
      <c r="WUF54"/>
      <c r="WUG54"/>
      <c r="WUH54"/>
      <c r="WUI54"/>
      <c r="WUJ54"/>
      <c r="WUK54"/>
      <c r="WUL54"/>
      <c r="WUM54"/>
      <c r="WUN54"/>
      <c r="WUO54"/>
      <c r="WUP54"/>
      <c r="WUQ54"/>
      <c r="WUR54"/>
      <c r="WUS54"/>
      <c r="WUT54"/>
      <c r="WUU54"/>
      <c r="WUV54"/>
      <c r="WUW54"/>
      <c r="WUX54"/>
      <c r="WUY54"/>
      <c r="WUZ54"/>
      <c r="WVA54"/>
      <c r="WVB54"/>
      <c r="WVC54"/>
      <c r="WVD54"/>
      <c r="WVE54"/>
      <c r="WVF54"/>
      <c r="WVG54"/>
      <c r="WVH54"/>
      <c r="WVI54"/>
      <c r="WVJ54"/>
      <c r="WVK54"/>
      <c r="WVL54"/>
      <c r="WVM54"/>
      <c r="WVN54"/>
      <c r="WVO54"/>
      <c r="WVP54"/>
      <c r="WVQ54"/>
      <c r="WVR54"/>
      <c r="WVS54"/>
      <c r="WVT54"/>
      <c r="WVU54"/>
      <c r="WVV54"/>
      <c r="WVW54"/>
      <c r="WVX54"/>
      <c r="WVY54"/>
      <c r="WVZ54"/>
      <c r="WWA54"/>
      <c r="WWB54"/>
      <c r="WWC54"/>
      <c r="WWD54"/>
      <c r="WWE54"/>
      <c r="WWF54"/>
      <c r="WWG54"/>
      <c r="WWH54"/>
      <c r="WWI54"/>
      <c r="WWJ54"/>
      <c r="WWK54"/>
      <c r="WWL54"/>
      <c r="WWM54"/>
      <c r="WWN54"/>
      <c r="WWO54"/>
      <c r="WWP54"/>
      <c r="WWQ54"/>
      <c r="WWR54"/>
      <c r="WWS54"/>
      <c r="WWT54"/>
      <c r="WWU54"/>
      <c r="WWV54"/>
      <c r="WWW54"/>
      <c r="WWX54"/>
      <c r="WWY54"/>
      <c r="WWZ54"/>
      <c r="WXA54"/>
      <c r="WXB54"/>
      <c r="WXC54"/>
      <c r="WXD54"/>
      <c r="WXE54"/>
      <c r="WXF54"/>
      <c r="WXG54"/>
      <c r="WXH54"/>
      <c r="WXI54"/>
      <c r="WXJ54"/>
      <c r="WXK54"/>
      <c r="WXL54"/>
      <c r="WXM54"/>
      <c r="WXN54"/>
      <c r="WXO54"/>
      <c r="WXP54"/>
      <c r="WXQ54"/>
      <c r="WXR54"/>
      <c r="WXS54"/>
      <c r="WXT54"/>
      <c r="WXU54"/>
      <c r="WXV54"/>
      <c r="WXW54"/>
      <c r="WXX54"/>
      <c r="WXY54"/>
      <c r="WXZ54"/>
      <c r="WYA54"/>
      <c r="WYB54"/>
      <c r="WYC54"/>
      <c r="WYD54"/>
      <c r="WYE54"/>
      <c r="WYF54"/>
      <c r="WYG54"/>
      <c r="WYH54"/>
      <c r="WYI54"/>
      <c r="WYJ54"/>
      <c r="WYK54"/>
      <c r="WYL54"/>
      <c r="WYM54"/>
      <c r="WYN54"/>
      <c r="WYO54"/>
      <c r="WYP54"/>
      <c r="WYQ54"/>
      <c r="WYR54"/>
      <c r="WYS54"/>
      <c r="WYT54"/>
      <c r="WYU54"/>
      <c r="WYV54"/>
      <c r="WYW54"/>
      <c r="WYX54"/>
      <c r="WYY54"/>
      <c r="WYZ54"/>
      <c r="WZA54"/>
      <c r="WZB54"/>
      <c r="WZC54"/>
      <c r="WZD54"/>
      <c r="WZE54"/>
      <c r="WZF54"/>
      <c r="WZG54"/>
      <c r="WZH54"/>
      <c r="WZI54"/>
      <c r="WZJ54"/>
      <c r="WZK54"/>
      <c r="WZL54"/>
      <c r="WZM54"/>
      <c r="WZN54"/>
      <c r="WZO54"/>
      <c r="WZP54"/>
      <c r="WZQ54"/>
      <c r="WZR54"/>
      <c r="WZS54"/>
      <c r="WZT54"/>
      <c r="WZU54"/>
      <c r="WZV54"/>
      <c r="WZW54"/>
      <c r="WZX54"/>
      <c r="WZY54"/>
      <c r="WZZ54"/>
      <c r="XAA54"/>
      <c r="XAB54"/>
      <c r="XAC54"/>
      <c r="XAD54"/>
      <c r="XAE54"/>
      <c r="XAF54"/>
      <c r="XAG54"/>
      <c r="XAH54"/>
      <c r="XAI54"/>
      <c r="XAJ54"/>
      <c r="XAK54"/>
      <c r="XAL54"/>
      <c r="XAM54"/>
      <c r="XAN54"/>
      <c r="XAO54"/>
      <c r="XAP54"/>
      <c r="XAQ54"/>
      <c r="XAR54"/>
      <c r="XAS54"/>
      <c r="XAT54"/>
      <c r="XAU54"/>
      <c r="XAV54"/>
      <c r="XAW54"/>
      <c r="XAX54"/>
      <c r="XAY54"/>
      <c r="XAZ54"/>
      <c r="XBA54"/>
      <c r="XBB54"/>
      <c r="XBC54"/>
      <c r="XBD54"/>
      <c r="XBE54"/>
      <c r="XBF54"/>
      <c r="XBG54"/>
      <c r="XBH54"/>
      <c r="XBI54"/>
      <c r="XBJ54"/>
      <c r="XBK54"/>
      <c r="XBL54"/>
      <c r="XBM54"/>
      <c r="XBN54"/>
      <c r="XBO54"/>
      <c r="XBP54"/>
      <c r="XBQ54"/>
      <c r="XBR54"/>
      <c r="XBS54"/>
      <c r="XBT54"/>
      <c r="XBU54"/>
      <c r="XBV54"/>
      <c r="XBW54"/>
      <c r="XBX54"/>
      <c r="XBY54"/>
      <c r="XBZ54"/>
      <c r="XCA54"/>
      <c r="XCB54"/>
      <c r="XCC54"/>
      <c r="XCD54"/>
      <c r="XCE54"/>
      <c r="XCF54"/>
      <c r="XCG54"/>
      <c r="XCH54"/>
      <c r="XCI54"/>
      <c r="XCJ54"/>
      <c r="XCK54"/>
      <c r="XCL54"/>
      <c r="XCM54"/>
      <c r="XCN54"/>
      <c r="XCO54"/>
      <c r="XCP54"/>
      <c r="XCQ54"/>
      <c r="XCR54"/>
      <c r="XCS54"/>
      <c r="XCT54"/>
      <c r="XCU54"/>
      <c r="XCV54"/>
      <c r="XCW54"/>
      <c r="XCX54"/>
      <c r="XCY54"/>
      <c r="XCZ54"/>
      <c r="XDA54"/>
      <c r="XDB54"/>
      <c r="XDC54"/>
      <c r="XDD54"/>
      <c r="XDE54"/>
      <c r="XDF54"/>
      <c r="XDG54"/>
      <c r="XDH54"/>
      <c r="XDI54"/>
      <c r="XDJ54"/>
      <c r="XDK54"/>
      <c r="XDL54"/>
      <c r="XDM54"/>
      <c r="XDN54"/>
      <c r="XDO54"/>
      <c r="XDP54"/>
      <c r="XDQ54"/>
      <c r="XDR54"/>
      <c r="XDS54"/>
      <c r="XDT54"/>
      <c r="XDU54"/>
      <c r="XDV54"/>
      <c r="XDW54"/>
      <c r="XDX54"/>
      <c r="XDY54"/>
      <c r="XDZ54"/>
      <c r="XEA54"/>
      <c r="XEB54"/>
      <c r="XEC54"/>
      <c r="XED54"/>
      <c r="XEE54"/>
      <c r="XEF54"/>
      <c r="XEG54"/>
      <c r="XEH54"/>
      <c r="XEI54"/>
      <c r="XEJ54"/>
      <c r="XEK54"/>
      <c r="XEL54"/>
      <c r="XEM54"/>
      <c r="XEN54"/>
      <c r="XEO54"/>
      <c r="XEP54"/>
      <c r="XEQ54"/>
      <c r="XER54"/>
      <c r="XES54"/>
      <c r="XET54"/>
      <c r="XEU54"/>
      <c r="XEV54"/>
      <c r="XEW54"/>
      <c r="XEX54"/>
      <c r="XEY54"/>
      <c r="XEZ54"/>
      <c r="XFA54"/>
      <c r="XFB54"/>
      <c r="XFC54"/>
      <c r="XFD54"/>
    </row>
    <row r="55" spans="1:16384" ht="49.5" hidden="1">
      <c r="A55" s="136"/>
      <c r="B55" s="136" t="s">
        <v>120</v>
      </c>
      <c r="C55" s="61" t="s">
        <v>514</v>
      </c>
      <c r="D55" s="161" t="s">
        <v>139</v>
      </c>
      <c r="E55" s="180" t="s">
        <v>140</v>
      </c>
      <c r="F55" s="180">
        <v>13764947805</v>
      </c>
      <c r="G55" s="182" t="s">
        <v>151</v>
      </c>
      <c r="H55" s="162" t="s">
        <v>215</v>
      </c>
      <c r="I55" s="162" t="s">
        <v>463</v>
      </c>
      <c r="J55" s="162" t="s">
        <v>515</v>
      </c>
      <c r="K55" s="162" t="s">
        <v>516</v>
      </c>
      <c r="L55" s="162" t="s">
        <v>253</v>
      </c>
      <c r="M55" s="162">
        <v>16</v>
      </c>
      <c r="N55" s="162" t="s">
        <v>145</v>
      </c>
      <c r="O55" s="162" t="s">
        <v>472</v>
      </c>
      <c r="P55" s="162" t="s">
        <v>220</v>
      </c>
      <c r="Q55" s="162" t="s">
        <v>221</v>
      </c>
      <c r="R55" s="165">
        <v>43824</v>
      </c>
      <c r="S55" s="149">
        <v>500</v>
      </c>
      <c r="T55" s="136" t="s">
        <v>90</v>
      </c>
      <c r="U55" s="136">
        <v>2480</v>
      </c>
      <c r="V55" s="136">
        <v>1980</v>
      </c>
      <c r="W55" s="186" t="s">
        <v>517</v>
      </c>
      <c r="X55" s="164" t="s">
        <v>76</v>
      </c>
      <c r="Y55" s="164"/>
      <c r="Z55" s="164"/>
      <c r="AA55" s="164" t="s">
        <v>120</v>
      </c>
      <c r="AB55" s="164" t="s">
        <v>99</v>
      </c>
      <c r="AC55" s="91"/>
      <c r="AD55" s="91"/>
      <c r="AE55" s="91"/>
      <c r="AF55" s="91"/>
      <c r="AG55" s="91"/>
      <c r="AH55" s="91"/>
      <c r="AI55" s="91"/>
      <c r="AJ55" s="91"/>
      <c r="AK55" s="91"/>
      <c r="AL55" s="91"/>
      <c r="AM55" s="91"/>
      <c r="AN55" s="91"/>
      <c r="AO55" s="91"/>
      <c r="AP55" s="91"/>
      <c r="AQ55" s="114"/>
      <c r="AR55" s="91"/>
      <c r="AS55" s="114"/>
      <c r="AT55" s="91"/>
      <c r="AU55" s="91"/>
      <c r="AV55" s="91"/>
      <c r="AW55" s="91"/>
      <c r="AX55" s="115"/>
      <c r="AY55" s="101"/>
      <c r="AZ55" s="101"/>
      <c r="BA55" s="91"/>
      <c r="BB55" s="91"/>
      <c r="BC55" s="91"/>
      <c r="BD55" s="91"/>
      <c r="BE55" s="91"/>
      <c r="BF55" s="91"/>
      <c r="BG55" s="91"/>
      <c r="BH55" s="91"/>
      <c r="BI55" s="91"/>
      <c r="BJ55" s="91"/>
      <c r="BK55" s="91"/>
      <c r="BL55" s="91"/>
      <c r="BM55" s="91"/>
      <c r="BN55" s="91"/>
      <c r="BO55" s="91"/>
      <c r="BP55" s="91"/>
      <c r="BQ55" s="91"/>
      <c r="BR55" s="91"/>
      <c r="BS55" s="91"/>
      <c r="BT55" s="91"/>
      <c r="BU55" s="91"/>
      <c r="BV55" s="91"/>
      <c r="BW55" s="91"/>
      <c r="BX55" s="91"/>
      <c r="BY55" s="91"/>
      <c r="BZ55" s="91"/>
      <c r="CA55" s="91"/>
      <c r="CB55" s="91"/>
      <c r="CC55" s="91"/>
      <c r="CD55" s="91"/>
      <c r="CE55" s="91"/>
      <c r="CF55" s="91"/>
      <c r="CG55" s="91"/>
      <c r="CH55" s="91"/>
      <c r="CI55" s="91"/>
      <c r="CJ55" s="91"/>
      <c r="CK55" s="91"/>
      <c r="CL55" s="91"/>
      <c r="CM55" s="91"/>
      <c r="CN55" s="91"/>
      <c r="CO55" s="91"/>
      <c r="CP55" s="91"/>
      <c r="CQ55" s="91"/>
      <c r="CR55" s="91"/>
      <c r="CS55" s="91"/>
      <c r="CT55" s="91"/>
      <c r="CU55" s="91"/>
      <c r="CV55" s="91"/>
      <c r="CW55" s="91"/>
      <c r="CX55" s="91"/>
      <c r="CY55" s="91"/>
      <c r="CZ55" s="91"/>
      <c r="DA55" s="91"/>
      <c r="DB55" s="91"/>
      <c r="DC55" s="91"/>
      <c r="DD55" s="91"/>
      <c r="DE55" s="91"/>
      <c r="DF55" s="91"/>
      <c r="DG55" s="91"/>
      <c r="DH55" s="91"/>
      <c r="DI55" s="91"/>
      <c r="DJ55" s="91"/>
      <c r="DK55" s="91"/>
      <c r="DL55" s="91"/>
      <c r="DM55" s="91"/>
      <c r="DN55" s="91"/>
      <c r="DO55" s="91"/>
      <c r="DP55" s="91"/>
      <c r="DQ55" s="91"/>
      <c r="DR55" s="91"/>
      <c r="DS55" s="91"/>
      <c r="DT55" s="91"/>
      <c r="DU55" s="91"/>
      <c r="DV55" s="91"/>
      <c r="DW55" s="91"/>
      <c r="DX55" s="91"/>
      <c r="DY55" s="91"/>
      <c r="DZ55" s="91"/>
      <c r="EA55" s="91"/>
      <c r="EB55" s="91"/>
      <c r="EC55" s="91"/>
      <c r="ED55" s="91"/>
      <c r="EE55" s="91"/>
      <c r="EF55" s="91"/>
      <c r="EG55" s="91"/>
      <c r="EH55" s="91"/>
      <c r="EI55" s="91"/>
      <c r="EJ55" s="91"/>
      <c r="EK55" s="91"/>
      <c r="EL55" s="91"/>
      <c r="EM55" s="91"/>
      <c r="EN55" s="91"/>
      <c r="EO55" s="91"/>
      <c r="EP55" s="91"/>
      <c r="EQ55" s="91"/>
      <c r="ER55" s="91"/>
      <c r="ES55" s="91"/>
      <c r="ET55" s="91"/>
      <c r="EU55" s="91"/>
      <c r="EV55" s="91"/>
      <c r="EW55" s="91"/>
      <c r="EX55" s="91"/>
      <c r="EY55" s="91"/>
      <c r="EZ55" s="91"/>
      <c r="FA55" s="91"/>
      <c r="FB55" s="91"/>
      <c r="FC55" s="91"/>
      <c r="FD55" s="91"/>
      <c r="FE55" s="91"/>
      <c r="FF55" s="91"/>
      <c r="FG55" s="91"/>
      <c r="FH55" s="91"/>
      <c r="FI55" s="91"/>
      <c r="FJ55" s="91"/>
      <c r="FK55" s="91"/>
      <c r="FL55" s="91"/>
      <c r="FM55" s="91"/>
      <c r="FN55" s="91"/>
      <c r="FO55" s="91"/>
      <c r="FP55" s="91"/>
      <c r="FQ55" s="91"/>
      <c r="FR55" s="91"/>
      <c r="FS55" s="91"/>
      <c r="FT55" s="91"/>
      <c r="FU55" s="91"/>
      <c r="FV55" s="91"/>
      <c r="FW55" s="91"/>
      <c r="FX55" s="91"/>
      <c r="FY55" s="91"/>
      <c r="FZ55" s="91"/>
      <c r="GA55" s="91"/>
      <c r="GB55" s="91"/>
      <c r="GC55" s="91"/>
      <c r="GD55" s="91"/>
      <c r="GE55" s="91"/>
      <c r="GF55" s="91"/>
      <c r="GG55" s="91"/>
      <c r="GH55" s="91"/>
      <c r="GI55" s="91"/>
      <c r="GJ55" s="91"/>
      <c r="GK55" s="91"/>
      <c r="GL55" s="91"/>
      <c r="GM55" s="91"/>
      <c r="GN55" s="91"/>
      <c r="GO55" s="91"/>
      <c r="GP55" s="91"/>
      <c r="GQ55" s="91"/>
      <c r="GR55" s="91"/>
      <c r="GS55" s="91"/>
      <c r="GT55" s="91"/>
      <c r="GU55" s="91"/>
      <c r="GV55" s="91"/>
      <c r="GW55" s="91"/>
      <c r="GX55" s="91"/>
      <c r="GY55" s="91"/>
      <c r="GZ55" s="91"/>
      <c r="HA55" s="91"/>
      <c r="HB55" s="91"/>
      <c r="HC55" s="91"/>
      <c r="HD55" s="91"/>
      <c r="HE55" s="91"/>
      <c r="HF55" s="91"/>
      <c r="HG55" s="91"/>
      <c r="HH55" s="91"/>
      <c r="HI55" s="91"/>
      <c r="HJ55" s="91"/>
      <c r="HK55" s="91"/>
      <c r="HL55" s="91"/>
      <c r="HM55" s="91"/>
      <c r="HN55" s="91"/>
      <c r="HO55" s="91"/>
      <c r="HP55" s="91"/>
      <c r="HQ55" s="91"/>
      <c r="HR55" s="91"/>
      <c r="HS55" s="91"/>
      <c r="HT55" s="91"/>
      <c r="HU55" s="91"/>
      <c r="HV55" s="91"/>
      <c r="HW55" s="91"/>
      <c r="HX55" s="91"/>
      <c r="HY55" s="91"/>
      <c r="HZ55" s="91"/>
      <c r="IA55" s="91"/>
      <c r="IB55" s="91"/>
      <c r="IC55" s="91"/>
      <c r="ID55" s="91"/>
      <c r="IE55" s="91"/>
      <c r="IF55" s="91"/>
      <c r="IG55" s="91"/>
      <c r="IH55" s="91"/>
      <c r="II55" s="91"/>
      <c r="IJ55" s="91"/>
      <c r="IK55" s="91"/>
      <c r="IL55" s="91"/>
      <c r="IM55" s="91"/>
      <c r="IN55" s="91"/>
      <c r="IO55" s="91"/>
      <c r="IP55" s="91"/>
      <c r="IQ55" s="91"/>
      <c r="IR55" s="91"/>
      <c r="IS55" s="91"/>
      <c r="IT55" s="91"/>
      <c r="IU55" s="91"/>
      <c r="IV55" s="91"/>
      <c r="IW55" s="91"/>
    </row>
    <row r="56" spans="1:16384" ht="33" hidden="1">
      <c r="A56" s="136"/>
      <c r="B56" s="136" t="s">
        <v>120</v>
      </c>
      <c r="C56" s="61" t="s">
        <v>518</v>
      </c>
      <c r="D56" s="161" t="s">
        <v>127</v>
      </c>
      <c r="E56" s="183" t="s">
        <v>128</v>
      </c>
      <c r="F56" s="162">
        <v>13916594158</v>
      </c>
      <c r="G56" s="182">
        <v>43835.666666666701</v>
      </c>
      <c r="H56" s="162" t="s">
        <v>215</v>
      </c>
      <c r="I56" s="162" t="s">
        <v>187</v>
      </c>
      <c r="J56" s="162" t="s">
        <v>519</v>
      </c>
      <c r="K56" s="162" t="s">
        <v>516</v>
      </c>
      <c r="L56" s="162" t="s">
        <v>327</v>
      </c>
      <c r="M56" s="162">
        <v>18</v>
      </c>
      <c r="N56" s="162" t="s">
        <v>145</v>
      </c>
      <c r="O56" s="162" t="s">
        <v>240</v>
      </c>
      <c r="P56" s="162" t="s">
        <v>220</v>
      </c>
      <c r="Q56" s="162" t="s">
        <v>221</v>
      </c>
      <c r="R56" s="165">
        <v>43824</v>
      </c>
      <c r="S56" s="149">
        <v>500</v>
      </c>
      <c r="T56" s="136" t="s">
        <v>92</v>
      </c>
      <c r="U56" s="136">
        <v>3980</v>
      </c>
      <c r="V56" s="136">
        <v>3480</v>
      </c>
      <c r="W56" s="175" t="s">
        <v>520</v>
      </c>
      <c r="X56" s="164" t="s">
        <v>76</v>
      </c>
      <c r="Y56" s="164"/>
      <c r="Z56" s="164"/>
      <c r="AA56" s="164" t="s">
        <v>120</v>
      </c>
      <c r="AB56" s="164" t="s">
        <v>100</v>
      </c>
      <c r="AC56" s="91"/>
      <c r="AD56" s="91"/>
      <c r="AE56" s="91"/>
      <c r="AF56" s="91"/>
      <c r="AG56" s="91"/>
      <c r="AH56" s="91"/>
      <c r="AI56" s="91"/>
      <c r="AJ56" s="91"/>
      <c r="AK56" s="91"/>
      <c r="AL56" s="91"/>
      <c r="AM56" s="91"/>
      <c r="AN56" s="91"/>
      <c r="AO56" s="91"/>
      <c r="AP56" s="91"/>
      <c r="AQ56" s="114"/>
      <c r="AR56" s="91"/>
      <c r="AS56" s="114"/>
      <c r="AT56" s="91"/>
      <c r="AU56" s="91"/>
      <c r="AV56" s="91"/>
      <c r="AW56" s="91"/>
      <c r="AX56" s="115"/>
      <c r="AY56" s="101"/>
      <c r="AZ56" s="101"/>
      <c r="BA56" s="91"/>
      <c r="BB56" s="91"/>
      <c r="BC56" s="91"/>
      <c r="BD56" s="91"/>
      <c r="BE56" s="91"/>
      <c r="BF56" s="91"/>
      <c r="BG56" s="91"/>
      <c r="BH56" s="91"/>
      <c r="BI56" s="91"/>
      <c r="BJ56" s="91"/>
      <c r="BK56" s="91"/>
      <c r="BL56" s="91"/>
      <c r="BM56" s="91"/>
      <c r="BN56" s="91"/>
      <c r="BO56" s="91"/>
      <c r="BP56" s="91"/>
      <c r="BQ56" s="91"/>
      <c r="BR56" s="91"/>
      <c r="BS56" s="91"/>
      <c r="BT56" s="91"/>
      <c r="BU56" s="91"/>
      <c r="BV56" s="91"/>
      <c r="BW56" s="91"/>
      <c r="BX56" s="91"/>
      <c r="BY56" s="91"/>
      <c r="BZ56" s="91"/>
      <c r="CA56" s="91"/>
      <c r="CB56" s="91"/>
      <c r="CC56" s="91"/>
      <c r="CD56" s="91"/>
      <c r="CE56" s="91"/>
      <c r="CF56" s="91"/>
      <c r="CG56" s="91"/>
      <c r="CH56" s="91"/>
      <c r="CI56" s="91"/>
      <c r="CJ56" s="91"/>
      <c r="CK56" s="91"/>
      <c r="CL56" s="91"/>
      <c r="CM56" s="91"/>
      <c r="CN56" s="91"/>
      <c r="CO56" s="91"/>
      <c r="CP56" s="91"/>
      <c r="CQ56" s="91"/>
      <c r="CR56" s="91"/>
      <c r="CS56" s="91"/>
      <c r="CT56" s="91"/>
      <c r="CU56" s="91"/>
      <c r="CV56" s="91"/>
      <c r="CW56" s="91"/>
      <c r="CX56" s="91"/>
      <c r="CY56" s="91"/>
      <c r="CZ56" s="91"/>
      <c r="DA56" s="91"/>
      <c r="DB56" s="91"/>
      <c r="DC56" s="91"/>
      <c r="DD56" s="91"/>
      <c r="DE56" s="91"/>
      <c r="DF56" s="91"/>
      <c r="DG56" s="91"/>
      <c r="DH56" s="91"/>
      <c r="DI56" s="91"/>
      <c r="DJ56" s="91"/>
      <c r="DK56" s="91"/>
      <c r="DL56" s="91"/>
      <c r="DM56" s="91"/>
      <c r="DN56" s="91"/>
      <c r="DO56" s="91"/>
      <c r="DP56" s="91"/>
      <c r="DQ56" s="91"/>
      <c r="DR56" s="91"/>
      <c r="DS56" s="91"/>
      <c r="DT56" s="91"/>
      <c r="DU56" s="91"/>
      <c r="DV56" s="91"/>
      <c r="DW56" s="91"/>
      <c r="DX56" s="91"/>
      <c r="DY56" s="91"/>
      <c r="DZ56" s="91"/>
      <c r="EA56" s="91"/>
      <c r="EB56" s="91"/>
      <c r="EC56" s="91"/>
      <c r="ED56" s="91"/>
      <c r="EE56" s="91"/>
      <c r="EF56" s="91"/>
      <c r="EG56" s="91"/>
      <c r="EH56" s="91"/>
      <c r="EI56" s="91"/>
      <c r="EJ56" s="91"/>
      <c r="EK56" s="91"/>
      <c r="EL56" s="91"/>
      <c r="EM56" s="91"/>
      <c r="EN56" s="91"/>
      <c r="EO56" s="91"/>
      <c r="EP56" s="91"/>
      <c r="EQ56" s="91"/>
      <c r="ER56" s="91"/>
      <c r="ES56" s="91"/>
      <c r="ET56" s="91"/>
      <c r="EU56" s="91"/>
      <c r="EV56" s="91"/>
      <c r="EW56" s="91"/>
      <c r="EX56" s="91"/>
      <c r="EY56" s="91"/>
      <c r="EZ56" s="91"/>
      <c r="FA56" s="91"/>
      <c r="FB56" s="91"/>
      <c r="FC56" s="91"/>
      <c r="FD56" s="91"/>
      <c r="FE56" s="91"/>
      <c r="FF56" s="91"/>
      <c r="FG56" s="91"/>
      <c r="FH56" s="91"/>
      <c r="FI56" s="91"/>
      <c r="FJ56" s="91"/>
      <c r="FK56" s="91"/>
      <c r="FL56" s="91"/>
      <c r="FM56" s="91"/>
      <c r="FN56" s="91"/>
      <c r="FO56" s="91"/>
      <c r="FP56" s="91"/>
      <c r="FQ56" s="91"/>
      <c r="FR56" s="91"/>
      <c r="FS56" s="91"/>
      <c r="FT56" s="91"/>
      <c r="FU56" s="91"/>
      <c r="FV56" s="91"/>
      <c r="FW56" s="91"/>
      <c r="FX56" s="91"/>
      <c r="FY56" s="91"/>
      <c r="FZ56" s="91"/>
      <c r="GA56" s="91"/>
      <c r="GB56" s="91"/>
      <c r="GC56" s="91"/>
      <c r="GD56" s="91"/>
      <c r="GE56" s="91"/>
      <c r="GF56" s="91"/>
      <c r="GG56" s="91"/>
      <c r="GH56" s="91"/>
      <c r="GI56" s="91"/>
      <c r="GJ56" s="91"/>
      <c r="GK56" s="91"/>
      <c r="GL56" s="91"/>
      <c r="GM56" s="91"/>
      <c r="GN56" s="91"/>
      <c r="GO56" s="91"/>
      <c r="GP56" s="91"/>
      <c r="GQ56" s="91"/>
      <c r="GR56" s="91"/>
      <c r="GS56" s="91"/>
      <c r="GT56" s="91"/>
      <c r="GU56" s="91"/>
      <c r="GV56" s="91"/>
      <c r="GW56" s="91"/>
      <c r="GX56" s="91"/>
      <c r="GY56" s="91"/>
      <c r="GZ56" s="91"/>
      <c r="HA56" s="91"/>
      <c r="HB56" s="91"/>
      <c r="HC56" s="91"/>
      <c r="HD56" s="91"/>
      <c r="HE56" s="91"/>
      <c r="HF56" s="91"/>
      <c r="HG56" s="91"/>
      <c r="HH56" s="91"/>
      <c r="HI56" s="91"/>
      <c r="HJ56" s="91"/>
      <c r="HK56" s="91"/>
      <c r="HL56" s="91"/>
      <c r="HM56" s="91"/>
      <c r="HN56" s="91"/>
      <c r="HO56" s="91"/>
      <c r="HP56" s="91"/>
      <c r="HQ56" s="91"/>
      <c r="HR56" s="91"/>
      <c r="HS56" s="91"/>
      <c r="HT56" s="91"/>
      <c r="HU56" s="91"/>
      <c r="HV56" s="91"/>
      <c r="HW56" s="91"/>
      <c r="HX56" s="91"/>
      <c r="HY56" s="91"/>
      <c r="HZ56" s="91"/>
      <c r="IA56" s="91"/>
      <c r="IB56" s="91"/>
      <c r="IC56" s="91"/>
      <c r="ID56" s="91"/>
      <c r="IE56" s="91"/>
      <c r="IF56" s="91"/>
      <c r="IG56" s="91"/>
      <c r="IH56" s="91"/>
      <c r="II56" s="91"/>
      <c r="IJ56" s="91"/>
      <c r="IK56" s="91"/>
      <c r="IL56" s="91"/>
      <c r="IM56" s="91"/>
      <c r="IN56" s="91"/>
      <c r="IO56" s="91"/>
      <c r="IP56" s="91"/>
      <c r="IQ56" s="91"/>
      <c r="IR56" s="91"/>
      <c r="IS56" s="91"/>
      <c r="IT56" s="91"/>
      <c r="IU56" s="91"/>
      <c r="IV56" s="91"/>
      <c r="IW56" s="91"/>
    </row>
    <row r="57" spans="1:16384" ht="33" hidden="1">
      <c r="A57" s="136"/>
      <c r="B57" s="136" t="s">
        <v>120</v>
      </c>
      <c r="C57" s="61" t="s">
        <v>521</v>
      </c>
      <c r="D57" s="161" t="s">
        <v>522</v>
      </c>
      <c r="E57" s="183" t="s">
        <v>523</v>
      </c>
      <c r="F57" s="162">
        <v>13817207116</v>
      </c>
      <c r="G57" s="182">
        <v>43843.416666666701</v>
      </c>
      <c r="H57" s="162" t="s">
        <v>215</v>
      </c>
      <c r="I57" s="162" t="s">
        <v>463</v>
      </c>
      <c r="J57" s="162" t="s">
        <v>524</v>
      </c>
      <c r="K57" s="162" t="s">
        <v>465</v>
      </c>
      <c r="L57" s="162" t="s">
        <v>253</v>
      </c>
      <c r="M57" s="162" t="s">
        <v>254</v>
      </c>
      <c r="N57" s="162" t="s">
        <v>145</v>
      </c>
      <c r="O57" s="162" t="s">
        <v>255</v>
      </c>
      <c r="P57" s="162" t="s">
        <v>220</v>
      </c>
      <c r="Q57" s="162" t="s">
        <v>221</v>
      </c>
      <c r="R57" s="165">
        <v>43824</v>
      </c>
      <c r="S57" s="149">
        <v>2980</v>
      </c>
      <c r="T57" s="136" t="s">
        <v>242</v>
      </c>
      <c r="U57" s="136">
        <v>2980</v>
      </c>
      <c r="V57" s="136">
        <v>0</v>
      </c>
      <c r="W57" s="186" t="s">
        <v>467</v>
      </c>
      <c r="X57" s="164"/>
      <c r="Y57" s="164"/>
      <c r="Z57" s="164"/>
      <c r="AA57" s="164" t="s">
        <v>120</v>
      </c>
      <c r="AB57" s="164" t="s">
        <v>99</v>
      </c>
      <c r="AC57" s="91"/>
      <c r="AD57" s="91"/>
      <c r="AE57" s="91"/>
      <c r="AF57" s="91"/>
      <c r="AG57" s="91"/>
      <c r="AH57" s="91"/>
      <c r="AI57" s="91"/>
      <c r="AJ57" s="91"/>
      <c r="AK57" s="91"/>
      <c r="AL57" s="91"/>
      <c r="AM57" s="91"/>
      <c r="AN57" s="91"/>
      <c r="AO57" s="91"/>
      <c r="AP57" s="91"/>
      <c r="AQ57" s="114"/>
      <c r="AR57" s="91"/>
      <c r="AS57" s="114"/>
      <c r="AT57" s="91"/>
      <c r="AU57" s="91"/>
      <c r="AV57" s="91"/>
      <c r="AW57" s="91"/>
      <c r="AX57" s="115"/>
      <c r="AY57" s="101"/>
      <c r="AZ57" s="101"/>
      <c r="BA57" s="91"/>
      <c r="BB57" s="91"/>
      <c r="BC57" s="91"/>
      <c r="BD57" s="91"/>
      <c r="BE57" s="91"/>
      <c r="BF57" s="91"/>
      <c r="BG57" s="91"/>
      <c r="BH57" s="91"/>
      <c r="BI57" s="91"/>
      <c r="BJ57" s="91"/>
      <c r="BK57" s="91"/>
      <c r="BL57" s="91"/>
      <c r="BM57" s="91"/>
      <c r="BN57" s="91"/>
      <c r="BO57" s="91"/>
      <c r="BP57" s="91"/>
      <c r="BQ57" s="91"/>
      <c r="BR57" s="91"/>
      <c r="BS57" s="91"/>
      <c r="BT57" s="91"/>
      <c r="BU57" s="91"/>
      <c r="BV57" s="91"/>
      <c r="BW57" s="91"/>
      <c r="BX57" s="91"/>
      <c r="BY57" s="91"/>
      <c r="BZ57" s="91"/>
      <c r="CA57" s="91"/>
      <c r="CB57" s="91"/>
      <c r="CC57" s="91"/>
      <c r="CD57" s="91"/>
      <c r="CE57" s="91"/>
      <c r="CF57" s="91"/>
      <c r="CG57" s="91"/>
      <c r="CH57" s="91"/>
      <c r="CI57" s="91"/>
      <c r="CJ57" s="91"/>
      <c r="CK57" s="91"/>
      <c r="CL57" s="91"/>
      <c r="CM57" s="91"/>
      <c r="CN57" s="91"/>
      <c r="CO57" s="91"/>
      <c r="CP57" s="91"/>
      <c r="CQ57" s="91"/>
      <c r="CR57" s="91"/>
      <c r="CS57" s="91"/>
      <c r="CT57" s="91"/>
      <c r="CU57" s="91"/>
      <c r="CV57" s="91"/>
      <c r="CW57" s="91"/>
      <c r="CX57" s="91"/>
      <c r="CY57" s="91"/>
      <c r="CZ57" s="91"/>
      <c r="DA57" s="91"/>
      <c r="DB57" s="91"/>
      <c r="DC57" s="91"/>
      <c r="DD57" s="91"/>
      <c r="DE57" s="91"/>
      <c r="DF57" s="91"/>
      <c r="DG57" s="91"/>
      <c r="DH57" s="91"/>
      <c r="DI57" s="91"/>
      <c r="DJ57" s="91"/>
      <c r="DK57" s="91"/>
      <c r="DL57" s="91"/>
      <c r="DM57" s="91"/>
      <c r="DN57" s="91"/>
      <c r="DO57" s="91"/>
      <c r="DP57" s="91"/>
      <c r="DQ57" s="91"/>
      <c r="DR57" s="91"/>
      <c r="DS57" s="91"/>
      <c r="DT57" s="91"/>
      <c r="DU57" s="91"/>
      <c r="DV57" s="91"/>
      <c r="DW57" s="91"/>
      <c r="DX57" s="91"/>
      <c r="DY57" s="91"/>
      <c r="DZ57" s="91"/>
      <c r="EA57" s="91"/>
      <c r="EB57" s="91"/>
      <c r="EC57" s="91"/>
      <c r="ED57" s="91"/>
      <c r="EE57" s="91"/>
      <c r="EF57" s="91"/>
      <c r="EG57" s="91"/>
      <c r="EH57" s="91"/>
      <c r="EI57" s="91"/>
      <c r="EJ57" s="91"/>
      <c r="EK57" s="91"/>
      <c r="EL57" s="91"/>
      <c r="EM57" s="91"/>
      <c r="EN57" s="91"/>
      <c r="EO57" s="91"/>
      <c r="EP57" s="91"/>
      <c r="EQ57" s="91"/>
      <c r="ER57" s="91"/>
      <c r="ES57" s="91"/>
      <c r="ET57" s="91"/>
      <c r="EU57" s="91"/>
      <c r="EV57" s="91"/>
      <c r="EW57" s="91"/>
      <c r="EX57" s="91"/>
      <c r="EY57" s="91"/>
      <c r="EZ57" s="91"/>
      <c r="FA57" s="91"/>
      <c r="FB57" s="91"/>
      <c r="FC57" s="91"/>
      <c r="FD57" s="91"/>
      <c r="FE57" s="91"/>
      <c r="FF57" s="91"/>
      <c r="FG57" s="91"/>
      <c r="FH57" s="91"/>
      <c r="FI57" s="91"/>
      <c r="FJ57" s="91"/>
      <c r="FK57" s="91"/>
      <c r="FL57" s="91"/>
      <c r="FM57" s="91"/>
      <c r="FN57" s="91"/>
      <c r="FO57" s="91"/>
      <c r="FP57" s="91"/>
      <c r="FQ57" s="91"/>
      <c r="FR57" s="91"/>
      <c r="FS57" s="91"/>
      <c r="FT57" s="91"/>
      <c r="FU57" s="91"/>
      <c r="FV57" s="91"/>
      <c r="FW57" s="91"/>
      <c r="FX57" s="91"/>
      <c r="FY57" s="91"/>
      <c r="FZ57" s="91"/>
      <c r="GA57" s="91"/>
      <c r="GB57" s="91"/>
      <c r="GC57" s="91"/>
      <c r="GD57" s="91"/>
      <c r="GE57" s="91"/>
      <c r="GF57" s="91"/>
      <c r="GG57" s="91"/>
      <c r="GH57" s="91"/>
      <c r="GI57" s="91"/>
      <c r="GJ57" s="91"/>
      <c r="GK57" s="91"/>
      <c r="GL57" s="91"/>
      <c r="GM57" s="91"/>
      <c r="GN57" s="91"/>
      <c r="GO57" s="91"/>
      <c r="GP57" s="91"/>
      <c r="GQ57" s="91"/>
      <c r="GR57" s="91"/>
      <c r="GS57" s="91"/>
      <c r="GT57" s="91"/>
      <c r="GU57" s="91"/>
      <c r="GV57" s="91"/>
      <c r="GW57" s="91"/>
      <c r="GX57" s="91"/>
      <c r="GY57" s="91"/>
      <c r="GZ57" s="91"/>
      <c r="HA57" s="91"/>
      <c r="HB57" s="91"/>
      <c r="HC57" s="91"/>
      <c r="HD57" s="91"/>
      <c r="HE57" s="91"/>
      <c r="HF57" s="91"/>
      <c r="HG57" s="91"/>
      <c r="HH57" s="91"/>
      <c r="HI57" s="91"/>
      <c r="HJ57" s="91"/>
      <c r="HK57" s="91"/>
      <c r="HL57" s="91"/>
      <c r="HM57" s="91"/>
      <c r="HN57" s="91"/>
      <c r="HO57" s="91"/>
      <c r="HP57" s="91"/>
      <c r="HQ57" s="91"/>
      <c r="HR57" s="91"/>
      <c r="HS57" s="91"/>
      <c r="HT57" s="91"/>
      <c r="HU57" s="91"/>
      <c r="HV57" s="91"/>
      <c r="HW57" s="91"/>
      <c r="HX57" s="91"/>
      <c r="HY57" s="91"/>
      <c r="HZ57" s="91"/>
      <c r="IA57" s="91"/>
      <c r="IB57" s="91"/>
      <c r="IC57" s="91"/>
      <c r="ID57" s="91"/>
      <c r="IE57" s="91"/>
      <c r="IF57" s="91"/>
      <c r="IG57" s="91"/>
      <c r="IH57" s="91"/>
      <c r="II57" s="91"/>
      <c r="IJ57" s="91"/>
      <c r="IK57" s="91"/>
      <c r="IL57" s="91"/>
      <c r="IM57" s="91"/>
      <c r="IN57" s="91"/>
      <c r="IO57" s="91"/>
      <c r="IP57" s="91"/>
      <c r="IQ57" s="91"/>
      <c r="IR57" s="91"/>
      <c r="IS57" s="91"/>
      <c r="IT57" s="91"/>
      <c r="IU57" s="91"/>
      <c r="IV57" s="91"/>
      <c r="IW57" s="91"/>
    </row>
    <row r="58" spans="1:16384" ht="49.5" hidden="1">
      <c r="A58" s="136"/>
      <c r="B58" s="136" t="s">
        <v>120</v>
      </c>
      <c r="C58" s="61" t="s">
        <v>525</v>
      </c>
      <c r="D58" s="161" t="s">
        <v>162</v>
      </c>
      <c r="E58" s="183" t="s">
        <v>163</v>
      </c>
      <c r="F58" s="162">
        <v>18930838018</v>
      </c>
      <c r="G58" s="182" t="s">
        <v>526</v>
      </c>
      <c r="H58" s="162" t="s">
        <v>215</v>
      </c>
      <c r="I58" s="162" t="s">
        <v>101</v>
      </c>
      <c r="J58" s="162" t="s">
        <v>527</v>
      </c>
      <c r="K58" s="162" t="s">
        <v>227</v>
      </c>
      <c r="L58" s="162" t="s">
        <v>253</v>
      </c>
      <c r="M58" s="162">
        <v>12</v>
      </c>
      <c r="N58" s="162" t="s">
        <v>145</v>
      </c>
      <c r="O58" s="162" t="s">
        <v>255</v>
      </c>
      <c r="P58" s="162" t="s">
        <v>220</v>
      </c>
      <c r="Q58" s="162" t="s">
        <v>221</v>
      </c>
      <c r="R58" s="165">
        <v>43824</v>
      </c>
      <c r="S58" s="149">
        <v>2880</v>
      </c>
      <c r="T58" s="136" t="s">
        <v>90</v>
      </c>
      <c r="U58" s="136">
        <v>2880</v>
      </c>
      <c r="V58" s="136">
        <v>0</v>
      </c>
      <c r="W58" s="175" t="s">
        <v>528</v>
      </c>
      <c r="X58" s="164" t="s">
        <v>76</v>
      </c>
      <c r="Y58" s="164"/>
      <c r="Z58" s="164"/>
      <c r="AA58" s="164" t="s">
        <v>120</v>
      </c>
      <c r="AB58" s="164" t="s">
        <v>100</v>
      </c>
      <c r="AC58" s="142"/>
      <c r="AD58" s="142"/>
      <c r="AE58" s="142"/>
      <c r="AF58" s="142"/>
      <c r="AG58" s="142"/>
      <c r="AH58" s="142"/>
      <c r="AI58" s="142"/>
      <c r="AJ58" s="142"/>
      <c r="AK58" s="142"/>
      <c r="AL58" s="142"/>
      <c r="AM58" s="142"/>
      <c r="AN58" s="110"/>
      <c r="AO58" s="114"/>
      <c r="AP58" s="114"/>
      <c r="AQ58" s="139"/>
      <c r="AR58" s="114"/>
      <c r="AS58" s="139"/>
      <c r="AT58" s="114"/>
      <c r="AU58" s="110"/>
      <c r="AV58" s="91"/>
      <c r="AW58" s="114"/>
      <c r="AX58" s="188"/>
      <c r="AY58" s="101"/>
      <c r="AZ58" s="101"/>
      <c r="BA58" s="121"/>
      <c r="BB58" s="121"/>
      <c r="BC58" s="137"/>
      <c r="BD58" s="121"/>
      <c r="BE58" s="121"/>
      <c r="BF58" s="141"/>
      <c r="BG58" s="133"/>
      <c r="BH58" s="142"/>
      <c r="BI58" s="142"/>
      <c r="BJ58" s="128"/>
      <c r="BK58" s="205"/>
      <c r="BL58" s="129"/>
      <c r="BM58" s="129"/>
      <c r="BN58" s="142"/>
      <c r="BO58" s="142"/>
      <c r="BP58" s="142"/>
      <c r="BQ58" s="142"/>
      <c r="BR58" s="142"/>
      <c r="BS58" s="142"/>
      <c r="BT58" s="142"/>
      <c r="BU58" s="142"/>
      <c r="BV58" s="142"/>
      <c r="BW58" s="142"/>
      <c r="BX58" s="142"/>
      <c r="BY58" s="142"/>
      <c r="BZ58" s="142"/>
      <c r="CA58" s="142"/>
      <c r="CB58" s="142"/>
      <c r="CC58" s="142"/>
      <c r="CD58" s="142"/>
      <c r="CE58" s="142"/>
      <c r="CF58" s="142"/>
      <c r="CG58" s="142"/>
      <c r="CH58" s="142"/>
      <c r="CI58" s="142"/>
      <c r="CJ58" s="142"/>
      <c r="CK58" s="142"/>
      <c r="CL58" s="142"/>
      <c r="CM58" s="142"/>
      <c r="CN58" s="142"/>
      <c r="CO58" s="142"/>
      <c r="CP58" s="142"/>
      <c r="CQ58" s="142"/>
      <c r="CR58" s="142"/>
      <c r="CS58" s="142"/>
      <c r="CT58" s="142"/>
      <c r="CU58" s="142"/>
      <c r="CV58" s="142"/>
      <c r="CW58" s="142"/>
      <c r="CX58" s="142"/>
      <c r="CY58" s="142"/>
      <c r="CZ58" s="142"/>
      <c r="DA58" s="142"/>
      <c r="DB58" s="142"/>
      <c r="DC58" s="142"/>
      <c r="DD58" s="142"/>
      <c r="DE58" s="142"/>
      <c r="DF58" s="142"/>
      <c r="DG58" s="142"/>
      <c r="DH58" s="142"/>
      <c r="DI58" s="142"/>
      <c r="DJ58" s="142"/>
      <c r="DK58" s="142"/>
      <c r="DL58" s="142"/>
      <c r="DM58" s="142"/>
      <c r="DN58" s="142"/>
      <c r="DO58" s="142"/>
      <c r="DP58" s="142"/>
      <c r="DQ58" s="142"/>
      <c r="DR58" s="142"/>
      <c r="DS58" s="142"/>
      <c r="DT58" s="142"/>
      <c r="DU58" s="142"/>
      <c r="DV58" s="142"/>
      <c r="DW58" s="142"/>
      <c r="DX58" s="142"/>
      <c r="DY58" s="142"/>
      <c r="DZ58" s="142"/>
      <c r="EA58" s="142"/>
      <c r="EB58" s="142"/>
      <c r="EC58" s="142"/>
      <c r="ED58" s="142"/>
      <c r="EE58" s="142"/>
      <c r="EF58" s="142"/>
      <c r="EG58" s="142"/>
      <c r="EH58" s="142"/>
      <c r="EI58" s="142"/>
      <c r="EJ58" s="142"/>
      <c r="EK58" s="142"/>
      <c r="EL58" s="142"/>
      <c r="EM58" s="142"/>
      <c r="EN58" s="142"/>
      <c r="EO58" s="142"/>
      <c r="EP58" s="142"/>
      <c r="EQ58" s="142"/>
      <c r="ER58" s="142"/>
      <c r="ES58" s="142"/>
      <c r="ET58" s="142"/>
      <c r="EU58" s="142"/>
      <c r="EV58" s="142"/>
      <c r="EW58" s="142"/>
      <c r="EX58" s="142"/>
      <c r="EY58" s="142"/>
      <c r="EZ58" s="142"/>
      <c r="FA58" s="142"/>
      <c r="FB58" s="142"/>
      <c r="FC58" s="142"/>
      <c r="FD58" s="142"/>
      <c r="FE58" s="142"/>
      <c r="FF58" s="142"/>
      <c r="FG58" s="142"/>
      <c r="FH58" s="142"/>
      <c r="FI58" s="142"/>
      <c r="FJ58" s="142"/>
      <c r="FK58" s="142"/>
      <c r="FL58" s="142"/>
      <c r="FM58" s="142"/>
      <c r="FN58" s="142"/>
      <c r="FO58" s="142"/>
      <c r="FP58" s="142"/>
      <c r="FQ58" s="142"/>
      <c r="FR58" s="142"/>
      <c r="FS58" s="142"/>
      <c r="FT58" s="142"/>
      <c r="FU58" s="142"/>
      <c r="FV58" s="142"/>
      <c r="FW58" s="142"/>
      <c r="FX58" s="142"/>
      <c r="FY58" s="142"/>
      <c r="FZ58" s="142"/>
      <c r="GA58" s="142"/>
      <c r="GB58" s="142"/>
      <c r="GC58" s="142"/>
      <c r="GD58" s="142"/>
      <c r="GE58" s="142"/>
      <c r="GF58" s="142"/>
      <c r="GG58" s="142"/>
      <c r="GH58" s="142"/>
      <c r="GI58" s="142"/>
      <c r="GJ58" s="142"/>
      <c r="GK58" s="142"/>
      <c r="GL58" s="142"/>
      <c r="GM58" s="142"/>
      <c r="GN58" s="142"/>
      <c r="GO58" s="142"/>
      <c r="GP58" s="142"/>
      <c r="GQ58" s="142"/>
      <c r="GR58" s="142"/>
      <c r="GS58" s="142"/>
      <c r="GT58" s="142"/>
      <c r="GU58" s="142"/>
      <c r="GV58" s="142"/>
      <c r="GW58" s="142"/>
      <c r="GX58" s="142"/>
      <c r="GY58" s="142"/>
      <c r="GZ58" s="142"/>
      <c r="HA58" s="142"/>
      <c r="HB58" s="142"/>
      <c r="HC58" s="142"/>
      <c r="HD58" s="142"/>
      <c r="HE58" s="142"/>
      <c r="HF58" s="142"/>
      <c r="HG58" s="142"/>
      <c r="HH58" s="142"/>
      <c r="HI58" s="142"/>
      <c r="HJ58" s="142"/>
      <c r="HK58" s="142"/>
      <c r="HL58" s="142"/>
      <c r="HM58" s="142"/>
      <c r="HN58" s="142"/>
      <c r="HO58" s="142"/>
      <c r="HP58" s="142"/>
      <c r="HQ58" s="142"/>
      <c r="HR58" s="142"/>
      <c r="HS58" s="142"/>
      <c r="HT58" s="142"/>
      <c r="HU58" s="142"/>
      <c r="HV58" s="142"/>
      <c r="HW58" s="142"/>
      <c r="HX58" s="142"/>
      <c r="HY58" s="142"/>
      <c r="HZ58" s="142"/>
      <c r="IA58" s="142"/>
      <c r="IB58" s="142"/>
      <c r="IC58" s="142"/>
      <c r="ID58" s="142"/>
      <c r="IE58" s="142"/>
      <c r="IF58" s="142"/>
      <c r="IG58" s="142"/>
      <c r="IH58" s="142"/>
      <c r="II58" s="142"/>
      <c r="IJ58" s="142"/>
      <c r="IK58" s="142"/>
      <c r="IL58" s="142"/>
      <c r="IM58" s="142"/>
      <c r="IN58" s="142"/>
      <c r="IO58" s="142"/>
      <c r="IP58" s="142"/>
      <c r="IQ58" s="142"/>
      <c r="IR58" s="142"/>
      <c r="IS58" s="142"/>
      <c r="IT58" s="142"/>
      <c r="IU58" s="142"/>
      <c r="IV58" s="142"/>
      <c r="IW58" s="142"/>
    </row>
    <row r="59" spans="1:16384" ht="66" hidden="1">
      <c r="A59" s="136"/>
      <c r="B59" s="136" t="s">
        <v>120</v>
      </c>
      <c r="C59" s="61" t="s">
        <v>529</v>
      </c>
      <c r="D59" s="161" t="s">
        <v>64</v>
      </c>
      <c r="E59" s="162" t="s">
        <v>234</v>
      </c>
      <c r="F59" s="162">
        <v>13524455895</v>
      </c>
      <c r="G59" s="182" t="s">
        <v>530</v>
      </c>
      <c r="H59" s="162" t="s">
        <v>215</v>
      </c>
      <c r="I59" s="162" t="s">
        <v>122</v>
      </c>
      <c r="J59" s="162" t="s">
        <v>531</v>
      </c>
      <c r="K59" s="162" t="s">
        <v>516</v>
      </c>
      <c r="L59" s="162" t="s">
        <v>253</v>
      </c>
      <c r="M59" s="162">
        <v>16</v>
      </c>
      <c r="N59" s="162" t="s">
        <v>145</v>
      </c>
      <c r="O59" s="162" t="s">
        <v>255</v>
      </c>
      <c r="P59" s="162" t="s">
        <v>220</v>
      </c>
      <c r="Q59" s="162" t="s">
        <v>221</v>
      </c>
      <c r="R59" s="165">
        <v>43825</v>
      </c>
      <c r="S59" s="149">
        <v>1500</v>
      </c>
      <c r="T59" s="136" t="s">
        <v>98</v>
      </c>
      <c r="U59" s="136">
        <v>2980</v>
      </c>
      <c r="V59" s="136">
        <v>1480</v>
      </c>
      <c r="W59" s="186" t="s">
        <v>532</v>
      </c>
      <c r="X59" s="164" t="s">
        <v>76</v>
      </c>
      <c r="Y59" s="164" t="s">
        <v>131</v>
      </c>
      <c r="Z59" s="164"/>
      <c r="AA59" s="164" t="s">
        <v>120</v>
      </c>
      <c r="AB59" s="164" t="s">
        <v>100</v>
      </c>
      <c r="AC59" s="91"/>
      <c r="AD59" s="91"/>
      <c r="AE59" s="91"/>
      <c r="AF59" s="91"/>
      <c r="AG59" s="91"/>
      <c r="AH59" s="91"/>
      <c r="AI59" s="91"/>
      <c r="AJ59" s="91"/>
      <c r="AK59" s="91"/>
      <c r="AL59" s="91"/>
      <c r="AM59" s="91"/>
      <c r="AN59" s="91"/>
      <c r="AO59" s="91"/>
      <c r="AP59" s="91"/>
      <c r="AQ59" s="114"/>
      <c r="AR59" s="91"/>
      <c r="AS59" s="114"/>
      <c r="AT59" s="91"/>
      <c r="AU59" s="91"/>
      <c r="AV59" s="91"/>
      <c r="AW59" s="91"/>
      <c r="AX59" s="115"/>
      <c r="AY59" s="101"/>
      <c r="AZ59" s="101"/>
      <c r="BA59" s="91"/>
      <c r="BB59" s="91"/>
      <c r="BC59" s="91"/>
      <c r="BD59" s="91"/>
      <c r="BE59" s="91"/>
      <c r="BF59" s="91"/>
      <c r="BG59" s="91"/>
      <c r="BH59" s="91"/>
      <c r="BI59" s="91"/>
      <c r="BJ59" s="91"/>
      <c r="BK59" s="91"/>
      <c r="BL59" s="91"/>
      <c r="BM59" s="91"/>
      <c r="BN59" s="91"/>
      <c r="BO59" s="91"/>
      <c r="BP59" s="91"/>
      <c r="BQ59" s="91"/>
      <c r="BR59" s="91"/>
      <c r="BS59" s="91"/>
      <c r="BT59" s="91"/>
      <c r="BU59" s="91"/>
      <c r="BV59" s="91"/>
      <c r="BW59" s="91"/>
      <c r="BX59" s="91"/>
      <c r="BY59" s="91"/>
      <c r="BZ59" s="91"/>
      <c r="CA59" s="91"/>
      <c r="CB59" s="91"/>
      <c r="CC59" s="91"/>
      <c r="CD59" s="91"/>
      <c r="CE59" s="91"/>
      <c r="CF59" s="91"/>
      <c r="CG59" s="91"/>
      <c r="CH59" s="91"/>
      <c r="CI59" s="91"/>
      <c r="CJ59" s="91"/>
      <c r="CK59" s="91"/>
      <c r="CL59" s="91"/>
      <c r="CM59" s="91"/>
      <c r="CN59" s="91"/>
      <c r="CO59" s="91"/>
      <c r="CP59" s="91"/>
      <c r="CQ59" s="91"/>
      <c r="CR59" s="91"/>
      <c r="CS59" s="91"/>
      <c r="CT59" s="91"/>
      <c r="CU59" s="91"/>
      <c r="CV59" s="91"/>
      <c r="CW59" s="91"/>
      <c r="CX59" s="91"/>
      <c r="CY59" s="91"/>
      <c r="CZ59" s="91"/>
      <c r="DA59" s="91"/>
      <c r="DB59" s="91"/>
      <c r="DC59" s="91"/>
      <c r="DD59" s="91"/>
      <c r="DE59" s="91"/>
      <c r="DF59" s="91"/>
      <c r="DG59" s="91"/>
      <c r="DH59" s="91"/>
      <c r="DI59" s="91"/>
      <c r="DJ59" s="91"/>
      <c r="DK59" s="91"/>
      <c r="DL59" s="91"/>
      <c r="DM59" s="91"/>
      <c r="DN59" s="91"/>
      <c r="DO59" s="91"/>
      <c r="DP59" s="91"/>
      <c r="DQ59" s="91"/>
      <c r="DR59" s="91"/>
      <c r="DS59" s="91"/>
      <c r="DT59" s="91"/>
      <c r="DU59" s="91"/>
      <c r="DV59" s="91"/>
      <c r="DW59" s="91"/>
      <c r="DX59" s="91"/>
      <c r="DY59" s="91"/>
      <c r="DZ59" s="91"/>
      <c r="EA59" s="91"/>
      <c r="EB59" s="91"/>
      <c r="EC59" s="91"/>
      <c r="ED59" s="91"/>
      <c r="EE59" s="91"/>
      <c r="EF59" s="91"/>
      <c r="EG59" s="91"/>
      <c r="EH59" s="91"/>
      <c r="EI59" s="91"/>
      <c r="EJ59" s="91"/>
      <c r="EK59" s="91"/>
      <c r="EL59" s="91"/>
      <c r="EM59" s="91"/>
      <c r="EN59" s="91"/>
      <c r="EO59" s="91"/>
      <c r="EP59" s="91"/>
      <c r="EQ59" s="91"/>
      <c r="ER59" s="91"/>
      <c r="ES59" s="91"/>
      <c r="ET59" s="91"/>
      <c r="EU59" s="91"/>
      <c r="EV59" s="91"/>
      <c r="EW59" s="91"/>
      <c r="EX59" s="91"/>
      <c r="EY59" s="91"/>
      <c r="EZ59" s="91"/>
      <c r="FA59" s="91"/>
      <c r="FB59" s="91"/>
      <c r="FC59" s="91"/>
      <c r="FD59" s="91"/>
      <c r="FE59" s="91"/>
      <c r="FF59" s="91"/>
      <c r="FG59" s="91"/>
      <c r="FH59" s="91"/>
      <c r="FI59" s="91"/>
      <c r="FJ59" s="91"/>
      <c r="FK59" s="91"/>
      <c r="FL59" s="91"/>
      <c r="FM59" s="91"/>
      <c r="FN59" s="91"/>
      <c r="FO59" s="91"/>
      <c r="FP59" s="91"/>
      <c r="FQ59" s="91"/>
      <c r="FR59" s="91"/>
      <c r="FS59" s="91"/>
      <c r="FT59" s="91"/>
      <c r="FU59" s="91"/>
      <c r="FV59" s="91"/>
      <c r="FW59" s="91"/>
      <c r="FX59" s="91"/>
      <c r="FY59" s="91"/>
      <c r="FZ59" s="91"/>
      <c r="GA59" s="91"/>
      <c r="GB59" s="91"/>
      <c r="GC59" s="91"/>
      <c r="GD59" s="91"/>
      <c r="GE59" s="91"/>
      <c r="GF59" s="91"/>
      <c r="GG59" s="91"/>
      <c r="GH59" s="91"/>
      <c r="GI59" s="91"/>
      <c r="GJ59" s="91"/>
      <c r="GK59" s="91"/>
      <c r="GL59" s="91"/>
      <c r="GM59" s="91"/>
      <c r="GN59" s="91"/>
      <c r="GO59" s="91"/>
      <c r="GP59" s="91"/>
      <c r="GQ59" s="91"/>
      <c r="GR59" s="91"/>
      <c r="GS59" s="91"/>
      <c r="GT59" s="91"/>
      <c r="GU59" s="91"/>
      <c r="GV59" s="91"/>
      <c r="GW59" s="91"/>
      <c r="GX59" s="91"/>
      <c r="GY59" s="91"/>
      <c r="GZ59" s="91"/>
      <c r="HA59" s="91"/>
      <c r="HB59" s="91"/>
      <c r="HC59" s="91"/>
      <c r="HD59" s="91"/>
      <c r="HE59" s="91"/>
      <c r="HF59" s="91"/>
      <c r="HG59" s="91"/>
      <c r="HH59" s="91"/>
      <c r="HI59" s="91"/>
      <c r="HJ59" s="91"/>
      <c r="HK59" s="91"/>
      <c r="HL59" s="91"/>
      <c r="HM59" s="91"/>
      <c r="HN59" s="91"/>
      <c r="HO59" s="91"/>
      <c r="HP59" s="91"/>
      <c r="HQ59" s="91"/>
      <c r="HR59" s="91"/>
      <c r="HS59" s="91"/>
      <c r="HT59" s="91"/>
      <c r="HU59" s="91"/>
      <c r="HV59" s="91"/>
      <c r="HW59" s="91"/>
      <c r="HX59" s="91"/>
      <c r="HY59" s="91"/>
      <c r="HZ59" s="91"/>
      <c r="IA59" s="91"/>
      <c r="IB59" s="91"/>
      <c r="IC59" s="91"/>
      <c r="ID59" s="91"/>
      <c r="IE59" s="91"/>
      <c r="IF59" s="91"/>
      <c r="IG59" s="91"/>
      <c r="IH59" s="91"/>
      <c r="II59" s="91"/>
      <c r="IJ59" s="91"/>
      <c r="IK59" s="91"/>
      <c r="IL59" s="91"/>
      <c r="IM59" s="91"/>
      <c r="IN59" s="91"/>
      <c r="IO59" s="91"/>
      <c r="IP59" s="91"/>
      <c r="IQ59" s="91"/>
      <c r="IR59" s="91"/>
      <c r="IS59" s="91"/>
      <c r="IT59" s="91"/>
      <c r="IU59" s="91"/>
      <c r="IV59" s="91"/>
      <c r="IW59" s="91"/>
    </row>
    <row r="60" spans="1:16384" ht="49.5" hidden="1">
      <c r="A60" s="136"/>
      <c r="B60" s="136" t="s">
        <v>120</v>
      </c>
      <c r="C60" s="61" t="s">
        <v>533</v>
      </c>
      <c r="D60" s="161" t="s">
        <v>534</v>
      </c>
      <c r="E60" s="183" t="s">
        <v>535</v>
      </c>
      <c r="F60" s="162">
        <v>13764626195</v>
      </c>
      <c r="G60" s="182">
        <v>43849.416666666701</v>
      </c>
      <c r="H60" s="162" t="s">
        <v>215</v>
      </c>
      <c r="I60" s="162" t="s">
        <v>101</v>
      </c>
      <c r="J60" s="162" t="s">
        <v>536</v>
      </c>
      <c r="K60" s="185" t="s">
        <v>227</v>
      </c>
      <c r="L60" s="162" t="s">
        <v>253</v>
      </c>
      <c r="M60" s="162">
        <v>12</v>
      </c>
      <c r="N60" s="162" t="s">
        <v>145</v>
      </c>
      <c r="O60" s="162" t="s">
        <v>255</v>
      </c>
      <c r="P60" s="162" t="s">
        <v>220</v>
      </c>
      <c r="Q60" s="162" t="s">
        <v>537</v>
      </c>
      <c r="R60" s="165">
        <v>43825</v>
      </c>
      <c r="S60" s="149">
        <v>500</v>
      </c>
      <c r="T60" s="136" t="s">
        <v>90</v>
      </c>
      <c r="U60" s="149">
        <v>2304</v>
      </c>
      <c r="V60" s="136">
        <v>1804</v>
      </c>
      <c r="W60" s="175" t="s">
        <v>538</v>
      </c>
      <c r="X60" s="164" t="s">
        <v>76</v>
      </c>
      <c r="Y60" s="164"/>
      <c r="Z60" s="164"/>
      <c r="AA60" s="164" t="s">
        <v>120</v>
      </c>
      <c r="AB60" s="164" t="s">
        <v>99</v>
      </c>
      <c r="AC60" s="142"/>
      <c r="AD60" s="142"/>
      <c r="AE60" s="142"/>
      <c r="AF60" s="142"/>
      <c r="AG60" s="142"/>
      <c r="AH60" s="142"/>
      <c r="AI60" s="142"/>
      <c r="AJ60" s="142"/>
      <c r="AK60" s="142"/>
      <c r="AL60" s="142"/>
      <c r="AM60" s="142"/>
      <c r="AN60" s="110"/>
      <c r="AO60" s="114"/>
      <c r="AP60" s="114"/>
      <c r="AQ60" s="139"/>
      <c r="AR60" s="114"/>
      <c r="AS60" s="139"/>
      <c r="AT60" s="114"/>
      <c r="AU60" s="110"/>
      <c r="AV60" s="91"/>
      <c r="AW60" s="114"/>
      <c r="AX60" s="188"/>
      <c r="AY60" s="101"/>
      <c r="AZ60" s="101"/>
      <c r="BA60" s="121"/>
      <c r="BB60" s="121"/>
      <c r="BC60" s="137"/>
      <c r="BD60" s="121"/>
      <c r="BE60" s="121"/>
      <c r="BF60" s="141"/>
      <c r="BG60" s="133"/>
      <c r="BH60" s="142"/>
      <c r="BI60" s="142"/>
      <c r="BJ60" s="128"/>
      <c r="BK60" s="205"/>
      <c r="BL60" s="129"/>
      <c r="BM60" s="129"/>
      <c r="BN60" s="142"/>
      <c r="BO60" s="142"/>
      <c r="BP60" s="142"/>
      <c r="BQ60" s="142"/>
      <c r="BR60" s="142"/>
      <c r="BS60" s="142"/>
      <c r="BT60" s="142"/>
      <c r="BU60" s="142"/>
      <c r="BV60" s="142"/>
      <c r="BW60" s="142"/>
      <c r="BX60" s="142"/>
      <c r="BY60" s="142"/>
      <c r="BZ60" s="142"/>
      <c r="CA60" s="142"/>
      <c r="CB60" s="142"/>
      <c r="CC60" s="142"/>
      <c r="CD60" s="142"/>
      <c r="CE60" s="142"/>
      <c r="CF60" s="142"/>
      <c r="CG60" s="142"/>
      <c r="CH60" s="142"/>
      <c r="CI60" s="142"/>
      <c r="CJ60" s="142"/>
      <c r="CK60" s="142"/>
      <c r="CL60" s="142"/>
      <c r="CM60" s="142"/>
      <c r="CN60" s="142"/>
      <c r="CO60" s="142"/>
      <c r="CP60" s="142"/>
      <c r="CQ60" s="142"/>
      <c r="CR60" s="142"/>
      <c r="CS60" s="142"/>
      <c r="CT60" s="142"/>
      <c r="CU60" s="142"/>
      <c r="CV60" s="142"/>
      <c r="CW60" s="142"/>
      <c r="CX60" s="142"/>
      <c r="CY60" s="142"/>
      <c r="CZ60" s="142"/>
      <c r="DA60" s="142"/>
      <c r="DB60" s="142"/>
      <c r="DC60" s="142"/>
      <c r="DD60" s="142"/>
      <c r="DE60" s="142"/>
      <c r="DF60" s="142"/>
      <c r="DG60" s="142"/>
      <c r="DH60" s="142"/>
      <c r="DI60" s="142"/>
      <c r="DJ60" s="142"/>
      <c r="DK60" s="142"/>
      <c r="DL60" s="142"/>
      <c r="DM60" s="142"/>
      <c r="DN60" s="142"/>
      <c r="DO60" s="142"/>
      <c r="DP60" s="142"/>
      <c r="DQ60" s="142"/>
      <c r="DR60" s="142"/>
      <c r="DS60" s="142"/>
      <c r="DT60" s="142"/>
      <c r="DU60" s="142"/>
      <c r="DV60" s="142"/>
      <c r="DW60" s="142"/>
      <c r="DX60" s="142"/>
      <c r="DY60" s="142"/>
      <c r="DZ60" s="142"/>
      <c r="EA60" s="142"/>
      <c r="EB60" s="142"/>
      <c r="EC60" s="142"/>
      <c r="ED60" s="142"/>
      <c r="EE60" s="142"/>
      <c r="EF60" s="142"/>
      <c r="EG60" s="142"/>
      <c r="EH60" s="142"/>
      <c r="EI60" s="142"/>
      <c r="EJ60" s="142"/>
      <c r="EK60" s="142"/>
      <c r="EL60" s="142"/>
      <c r="EM60" s="142"/>
      <c r="EN60" s="142"/>
      <c r="EO60" s="142"/>
      <c r="EP60" s="142"/>
      <c r="EQ60" s="142"/>
      <c r="ER60" s="142"/>
      <c r="ES60" s="142"/>
      <c r="ET60" s="142"/>
      <c r="EU60" s="142"/>
      <c r="EV60" s="142"/>
      <c r="EW60" s="142"/>
      <c r="EX60" s="142"/>
      <c r="EY60" s="142"/>
      <c r="EZ60" s="142"/>
      <c r="FA60" s="142"/>
      <c r="FB60" s="142"/>
      <c r="FC60" s="142"/>
      <c r="FD60" s="142"/>
      <c r="FE60" s="142"/>
      <c r="FF60" s="142"/>
      <c r="FG60" s="142"/>
      <c r="FH60" s="142"/>
      <c r="FI60" s="142"/>
      <c r="FJ60" s="142"/>
      <c r="FK60" s="142"/>
      <c r="FL60" s="142"/>
      <c r="FM60" s="142"/>
      <c r="FN60" s="142"/>
      <c r="FO60" s="142"/>
      <c r="FP60" s="142"/>
      <c r="FQ60" s="142"/>
      <c r="FR60" s="142"/>
      <c r="FS60" s="142"/>
      <c r="FT60" s="142"/>
      <c r="FU60" s="142"/>
      <c r="FV60" s="142"/>
      <c r="FW60" s="142"/>
      <c r="FX60" s="142"/>
      <c r="FY60" s="142"/>
      <c r="FZ60" s="142"/>
      <c r="GA60" s="142"/>
      <c r="GB60" s="142"/>
      <c r="GC60" s="142"/>
      <c r="GD60" s="142"/>
      <c r="GE60" s="142"/>
      <c r="GF60" s="142"/>
      <c r="GG60" s="142"/>
      <c r="GH60" s="142"/>
      <c r="GI60" s="142"/>
      <c r="GJ60" s="142"/>
      <c r="GK60" s="142"/>
      <c r="GL60" s="142"/>
      <c r="GM60" s="142"/>
      <c r="GN60" s="142"/>
      <c r="GO60" s="142"/>
      <c r="GP60" s="142"/>
      <c r="GQ60" s="142"/>
      <c r="GR60" s="142"/>
      <c r="GS60" s="142"/>
      <c r="GT60" s="142"/>
      <c r="GU60" s="142"/>
      <c r="GV60" s="142"/>
      <c r="GW60" s="142"/>
      <c r="GX60" s="142"/>
      <c r="GY60" s="142"/>
      <c r="GZ60" s="142"/>
      <c r="HA60" s="142"/>
      <c r="HB60" s="142"/>
      <c r="HC60" s="142"/>
      <c r="HD60" s="142"/>
      <c r="HE60" s="142"/>
      <c r="HF60" s="142"/>
      <c r="HG60" s="142"/>
      <c r="HH60" s="142"/>
      <c r="HI60" s="142"/>
      <c r="HJ60" s="142"/>
      <c r="HK60" s="142"/>
      <c r="HL60" s="142"/>
      <c r="HM60" s="142"/>
      <c r="HN60" s="142"/>
      <c r="HO60" s="142"/>
      <c r="HP60" s="142"/>
      <c r="HQ60" s="142"/>
      <c r="HR60" s="142"/>
      <c r="HS60" s="142"/>
      <c r="HT60" s="142"/>
      <c r="HU60" s="142"/>
      <c r="HV60" s="142"/>
      <c r="HW60" s="142"/>
      <c r="HX60" s="142"/>
      <c r="HY60" s="142"/>
      <c r="HZ60" s="142"/>
      <c r="IA60" s="142"/>
      <c r="IB60" s="142"/>
      <c r="IC60" s="142"/>
      <c r="ID60" s="142"/>
      <c r="IE60" s="142"/>
      <c r="IF60" s="142"/>
      <c r="IG60" s="142"/>
      <c r="IH60" s="142"/>
      <c r="II60" s="142"/>
      <c r="IJ60" s="142"/>
      <c r="IK60" s="142"/>
      <c r="IL60" s="142"/>
      <c r="IM60" s="142"/>
      <c r="IN60" s="142"/>
      <c r="IO60" s="142"/>
      <c r="IP60" s="142"/>
      <c r="IQ60" s="142"/>
      <c r="IR60" s="142"/>
      <c r="IS60" s="142"/>
      <c r="IT60" s="142"/>
      <c r="IU60" s="142"/>
      <c r="IV60" s="142"/>
      <c r="IW60" s="142"/>
    </row>
    <row r="61" spans="1:16384" hidden="1">
      <c r="A61" s="89"/>
      <c r="B61" s="61" t="s">
        <v>62</v>
      </c>
      <c r="C61" s="61" t="s">
        <v>257</v>
      </c>
      <c r="D61" s="67" t="s">
        <v>258</v>
      </c>
      <c r="E61" s="61"/>
      <c r="F61" s="61"/>
      <c r="G61" s="89"/>
      <c r="H61" s="89"/>
      <c r="I61" s="69" t="s">
        <v>259</v>
      </c>
      <c r="J61" s="89"/>
      <c r="K61" s="89"/>
      <c r="L61" s="89"/>
      <c r="M61" s="89"/>
      <c r="N61" s="89"/>
      <c r="O61" s="89"/>
      <c r="P61" s="89"/>
      <c r="Q61" s="89"/>
      <c r="R61" s="89"/>
      <c r="S61" s="61"/>
      <c r="U61" s="89"/>
      <c r="W61" s="61"/>
      <c r="X61" s="61"/>
      <c r="Y61" s="89"/>
      <c r="Z61" s="89"/>
      <c r="AA61" s="61"/>
      <c r="AB61" s="61"/>
      <c r="AG61" s="89"/>
      <c r="AH61" s="89"/>
      <c r="AI61" s="89"/>
      <c r="AJ61" s="89"/>
      <c r="AK61" s="89"/>
      <c r="AM61" s="89"/>
      <c r="AN61" s="76">
        <v>43821</v>
      </c>
      <c r="AO61" s="77" t="s">
        <v>64</v>
      </c>
      <c r="AP61" s="89"/>
      <c r="AQ61" s="114">
        <v>10</v>
      </c>
      <c r="AR61" s="89"/>
      <c r="AS61" s="114" t="s">
        <v>109</v>
      </c>
      <c r="AT61" s="89"/>
      <c r="AU61" s="76" t="s">
        <v>73</v>
      </c>
      <c r="AV61" s="78" t="s">
        <v>73</v>
      </c>
      <c r="AW61" s="77" t="s">
        <v>73</v>
      </c>
      <c r="AX61" s="115" t="s">
        <v>73</v>
      </c>
      <c r="AY61" s="142"/>
      <c r="AZ61" s="142"/>
      <c r="BA61" s="61"/>
      <c r="BB61" s="61"/>
      <c r="BC61" s="61"/>
      <c r="BD61" s="61"/>
      <c r="BE61" s="61"/>
      <c r="BF61" s="89"/>
      <c r="BG61" s="61"/>
      <c r="BH61" s="89"/>
      <c r="BI61" s="89"/>
      <c r="BJ61" s="89"/>
      <c r="BK61" s="61"/>
      <c r="BL61" s="89"/>
      <c r="BM61" s="89"/>
    </row>
    <row r="62" spans="1:16384" ht="49.5">
      <c r="A62" s="136" t="s">
        <v>213</v>
      </c>
      <c r="B62" s="136" t="s">
        <v>120</v>
      </c>
      <c r="C62" s="61" t="s">
        <v>298</v>
      </c>
      <c r="D62" s="161" t="s">
        <v>299</v>
      </c>
      <c r="E62" s="183" t="s">
        <v>300</v>
      </c>
      <c r="F62" s="162">
        <v>13918852376</v>
      </c>
      <c r="G62" s="182">
        <v>43828.5625</v>
      </c>
      <c r="H62" s="162" t="s">
        <v>215</v>
      </c>
      <c r="I62" s="162" t="s">
        <v>169</v>
      </c>
      <c r="J62" s="162" t="s">
        <v>301</v>
      </c>
      <c r="K62" s="185" t="s">
        <v>227</v>
      </c>
      <c r="L62" s="162" t="s">
        <v>302</v>
      </c>
      <c r="M62" s="162">
        <v>1</v>
      </c>
      <c r="N62" s="162" t="s">
        <v>106</v>
      </c>
      <c r="O62" s="162" t="s">
        <v>106</v>
      </c>
      <c r="P62" s="162" t="s">
        <v>220</v>
      </c>
      <c r="Q62" s="162" t="s">
        <v>221</v>
      </c>
      <c r="R62" s="165">
        <v>43825</v>
      </c>
      <c r="S62" s="149">
        <v>500</v>
      </c>
      <c r="T62" s="136" t="s">
        <v>90</v>
      </c>
      <c r="U62" s="136">
        <v>880</v>
      </c>
      <c r="V62" s="136">
        <v>380</v>
      </c>
      <c r="W62" s="186" t="s">
        <v>303</v>
      </c>
      <c r="X62" s="164" t="s">
        <v>242</v>
      </c>
      <c r="Y62" s="164"/>
      <c r="Z62" s="164"/>
      <c r="AA62" s="164" t="s">
        <v>120</v>
      </c>
      <c r="AB62" s="164" t="s">
        <v>102</v>
      </c>
      <c r="AN62" s="76">
        <v>43828</v>
      </c>
      <c r="AO62" s="77" t="s">
        <v>63</v>
      </c>
      <c r="AP62" s="61"/>
      <c r="AQ62" s="77" t="s">
        <v>185</v>
      </c>
      <c r="AR62" s="61"/>
      <c r="AS62" s="77" t="s">
        <v>304</v>
      </c>
      <c r="AT62" s="61"/>
      <c r="AU62" s="76">
        <v>43828</v>
      </c>
      <c r="AV62" s="78">
        <v>380</v>
      </c>
      <c r="AW62" s="77" t="s">
        <v>98</v>
      </c>
      <c r="AX62" s="115">
        <v>880</v>
      </c>
      <c r="AY62" s="142"/>
      <c r="AZ62" s="142"/>
      <c r="BA62" s="61"/>
      <c r="BB62" s="61"/>
      <c r="BC62" s="61"/>
      <c r="BD62" s="61"/>
      <c r="BE62" s="61"/>
      <c r="BF62" s="61"/>
      <c r="BG62" s="61"/>
      <c r="BJ62" s="61"/>
      <c r="BK62" s="61"/>
      <c r="BL62" s="61"/>
      <c r="BM62" s="61"/>
    </row>
    <row r="63" spans="1:16384" ht="33">
      <c r="A63" s="136" t="s">
        <v>213</v>
      </c>
      <c r="B63" s="136" t="s">
        <v>120</v>
      </c>
      <c r="C63" s="61" t="s">
        <v>294</v>
      </c>
      <c r="D63" s="161" t="s">
        <v>119</v>
      </c>
      <c r="E63" s="183" t="s">
        <v>295</v>
      </c>
      <c r="F63" s="162">
        <v>13791008517</v>
      </c>
      <c r="G63" s="182">
        <v>43827.708333333299</v>
      </c>
      <c r="H63" s="162" t="s">
        <v>215</v>
      </c>
      <c r="I63" s="162" t="s">
        <v>199</v>
      </c>
      <c r="J63" s="162" t="s">
        <v>296</v>
      </c>
      <c r="K63" s="185" t="s">
        <v>227</v>
      </c>
      <c r="L63" s="162" t="s">
        <v>217</v>
      </c>
      <c r="M63" s="162">
        <v>6</v>
      </c>
      <c r="N63" s="162" t="s">
        <v>106</v>
      </c>
      <c r="O63" s="162" t="s">
        <v>219</v>
      </c>
      <c r="P63" s="162" t="s">
        <v>220</v>
      </c>
      <c r="Q63" s="162" t="s">
        <v>297</v>
      </c>
      <c r="R63" s="165">
        <v>43826</v>
      </c>
      <c r="S63" s="149">
        <v>500</v>
      </c>
      <c r="T63" s="136" t="s">
        <v>90</v>
      </c>
      <c r="U63" s="136">
        <v>1400</v>
      </c>
      <c r="V63" s="136">
        <v>900</v>
      </c>
      <c r="W63" s="136" t="s">
        <v>73</v>
      </c>
      <c r="X63" s="164" t="s">
        <v>76</v>
      </c>
      <c r="Y63" s="164"/>
      <c r="Z63" s="164"/>
      <c r="AA63" s="164" t="s">
        <v>120</v>
      </c>
      <c r="AB63" s="164" t="s">
        <v>102</v>
      </c>
      <c r="AC63" s="89"/>
      <c r="AD63" s="89"/>
      <c r="AE63" s="89"/>
      <c r="AF63" s="89"/>
      <c r="AG63" s="89"/>
      <c r="AH63" s="89"/>
      <c r="AI63" s="89"/>
      <c r="AJ63" s="89"/>
      <c r="AK63" s="89"/>
      <c r="AL63" s="89"/>
      <c r="AM63" s="89"/>
      <c r="AN63" s="76">
        <v>43827</v>
      </c>
      <c r="AO63" s="77" t="s">
        <v>97</v>
      </c>
      <c r="AP63" s="89"/>
      <c r="AQ63" s="77" t="s">
        <v>73</v>
      </c>
      <c r="AR63" s="89"/>
      <c r="AS63" s="61" t="s">
        <v>232</v>
      </c>
      <c r="AT63" s="89"/>
      <c r="AU63" s="76">
        <v>43827</v>
      </c>
      <c r="AV63" s="78">
        <v>900</v>
      </c>
      <c r="AW63" s="77" t="s">
        <v>98</v>
      </c>
      <c r="AX63" s="115">
        <v>1400</v>
      </c>
      <c r="AY63" s="142"/>
      <c r="AZ63" s="142"/>
      <c r="BA63" s="89"/>
      <c r="BB63" s="89"/>
      <c r="BC63" s="89"/>
      <c r="BD63" s="89"/>
      <c r="BE63" s="89"/>
      <c r="BF63" s="89"/>
      <c r="BG63" s="89"/>
      <c r="BH63" s="89"/>
      <c r="BI63" s="89"/>
      <c r="BJ63" s="89"/>
      <c r="BK63" s="89"/>
      <c r="BL63" s="89"/>
      <c r="BM63" s="89"/>
      <c r="BN63" s="89"/>
      <c r="FS63" s="89"/>
      <c r="FT63" s="89"/>
      <c r="FU63" s="89"/>
      <c r="FV63" s="89"/>
      <c r="FW63" s="89"/>
      <c r="FX63" s="89"/>
      <c r="FY63" s="89"/>
      <c r="FZ63" s="89"/>
      <c r="GA63" s="89"/>
      <c r="GB63" s="89"/>
      <c r="GC63" s="89"/>
      <c r="GD63" s="89"/>
      <c r="GE63" s="89"/>
      <c r="GF63" s="89"/>
      <c r="GG63" s="89"/>
      <c r="GH63" s="89"/>
      <c r="GI63" s="89"/>
      <c r="GJ63" s="89"/>
      <c r="GK63" s="89"/>
      <c r="GL63" s="89"/>
      <c r="GM63" s="89"/>
      <c r="GN63" s="89"/>
      <c r="GO63" s="89"/>
      <c r="GP63" s="89"/>
      <c r="GQ63" s="89"/>
      <c r="GR63" s="89"/>
      <c r="GS63" s="89"/>
      <c r="GT63" s="89"/>
      <c r="GU63" s="89"/>
      <c r="GV63" s="89"/>
      <c r="GW63" s="89"/>
      <c r="GX63" s="89"/>
      <c r="GY63" s="89"/>
      <c r="GZ63" s="89"/>
      <c r="HA63" s="89"/>
      <c r="HB63" s="89"/>
      <c r="HC63" s="89"/>
      <c r="HD63" s="89"/>
      <c r="HE63" s="89"/>
      <c r="HF63" s="89"/>
      <c r="HG63" s="89"/>
      <c r="HH63" s="89"/>
      <c r="HI63" s="89"/>
      <c r="HJ63" s="89"/>
      <c r="HK63" s="89"/>
      <c r="HL63" s="89"/>
      <c r="HM63" s="89"/>
      <c r="HN63" s="89"/>
      <c r="HO63" s="89"/>
      <c r="HP63" s="89"/>
      <c r="HQ63" s="89"/>
      <c r="HR63" s="89"/>
      <c r="HS63" s="89"/>
      <c r="HT63" s="89"/>
      <c r="HU63" s="89"/>
      <c r="HV63" s="89"/>
      <c r="HW63" s="89"/>
      <c r="HX63" s="89"/>
      <c r="HY63" s="89"/>
      <c r="HZ63" s="89"/>
      <c r="IA63" s="89"/>
      <c r="IB63" s="89"/>
      <c r="IC63" s="89"/>
      <c r="ID63" s="89"/>
      <c r="IE63" s="89"/>
      <c r="IF63" s="89"/>
      <c r="IG63" s="89"/>
      <c r="IH63" s="89"/>
      <c r="II63" s="89"/>
      <c r="IJ63" s="89"/>
      <c r="IK63" s="89"/>
      <c r="IL63" s="89"/>
      <c r="IM63" s="89"/>
      <c r="IN63" s="89"/>
      <c r="IO63" s="89"/>
      <c r="IP63" s="89"/>
      <c r="IQ63" s="89"/>
      <c r="IR63" s="89"/>
      <c r="IS63" s="89"/>
      <c r="IT63" s="89"/>
      <c r="IU63" s="89"/>
      <c r="IV63" s="89"/>
      <c r="IW63" s="89"/>
    </row>
    <row r="64" spans="1:16384" ht="99" hidden="1">
      <c r="A64" s="136"/>
      <c r="B64" s="136" t="s">
        <v>120</v>
      </c>
      <c r="C64" s="61" t="s">
        <v>539</v>
      </c>
      <c r="D64" s="161" t="s">
        <v>249</v>
      </c>
      <c r="E64" s="162" t="s">
        <v>250</v>
      </c>
      <c r="F64" s="162">
        <v>15618012875</v>
      </c>
      <c r="G64" s="163" t="s">
        <v>356</v>
      </c>
      <c r="H64" s="162" t="s">
        <v>215</v>
      </c>
      <c r="I64" s="162" t="s">
        <v>151</v>
      </c>
      <c r="J64" s="162" t="s">
        <v>251</v>
      </c>
      <c r="K64" s="162" t="s">
        <v>151</v>
      </c>
      <c r="L64" s="162" t="s">
        <v>151</v>
      </c>
      <c r="M64" s="162" t="s">
        <v>151</v>
      </c>
      <c r="N64" s="162" t="s">
        <v>151</v>
      </c>
      <c r="O64" s="162" t="s">
        <v>151</v>
      </c>
      <c r="P64" s="162" t="s">
        <v>220</v>
      </c>
      <c r="Q64" s="162" t="s">
        <v>221</v>
      </c>
      <c r="R64" s="165">
        <v>43826</v>
      </c>
      <c r="S64" s="149">
        <v>500</v>
      </c>
      <c r="T64" s="136" t="s">
        <v>98</v>
      </c>
      <c r="U64" s="136" t="s">
        <v>151</v>
      </c>
      <c r="V64" s="136" t="s">
        <v>151</v>
      </c>
      <c r="W64" s="175" t="s">
        <v>540</v>
      </c>
      <c r="X64" s="164" t="s">
        <v>76</v>
      </c>
      <c r="Y64" s="164"/>
      <c r="Z64" s="164"/>
      <c r="AA64" s="164" t="s">
        <v>120</v>
      </c>
      <c r="AB64" s="164"/>
      <c r="AQ64" s="114"/>
      <c r="AS64" s="114"/>
      <c r="AV64" s="76"/>
      <c r="AX64" s="115"/>
      <c r="AY64" s="101"/>
      <c r="AZ64" s="101"/>
    </row>
    <row r="65" spans="1:257" ht="66">
      <c r="A65" s="136" t="s">
        <v>213</v>
      </c>
      <c r="B65" s="136" t="s">
        <v>120</v>
      </c>
      <c r="C65" s="61" t="s">
        <v>307</v>
      </c>
      <c r="D65" s="161" t="s">
        <v>308</v>
      </c>
      <c r="E65" s="183" t="s">
        <v>309</v>
      </c>
      <c r="F65" s="162">
        <v>13916550947</v>
      </c>
      <c r="G65" s="182">
        <v>43829.583333333299</v>
      </c>
      <c r="H65" s="162" t="s">
        <v>215</v>
      </c>
      <c r="I65" s="162" t="s">
        <v>101</v>
      </c>
      <c r="J65" s="183" t="s">
        <v>310</v>
      </c>
      <c r="K65" s="185" t="s">
        <v>227</v>
      </c>
      <c r="L65" s="162" t="s">
        <v>302</v>
      </c>
      <c r="M65" s="162">
        <v>12</v>
      </c>
      <c r="N65" s="162" t="s">
        <v>106</v>
      </c>
      <c r="O65" s="162" t="s">
        <v>219</v>
      </c>
      <c r="P65" s="162" t="s">
        <v>220</v>
      </c>
      <c r="Q65" s="162" t="s">
        <v>311</v>
      </c>
      <c r="R65" s="165">
        <v>43826</v>
      </c>
      <c r="S65" s="149">
        <v>500</v>
      </c>
      <c r="T65" s="136" t="s">
        <v>90</v>
      </c>
      <c r="U65" s="136">
        <v>2880</v>
      </c>
      <c r="V65" s="136">
        <v>2380</v>
      </c>
      <c r="W65" s="136" t="s">
        <v>312</v>
      </c>
      <c r="X65" s="164" t="s">
        <v>242</v>
      </c>
      <c r="Y65" s="164"/>
      <c r="Z65" s="164"/>
      <c r="AA65" s="164" t="s">
        <v>120</v>
      </c>
      <c r="AB65" s="164" t="s">
        <v>102</v>
      </c>
      <c r="AC65" s="103"/>
      <c r="AD65" s="91"/>
      <c r="AE65" s="91"/>
      <c r="AF65" s="91"/>
      <c r="AG65" s="103"/>
      <c r="AH65" s="142"/>
      <c r="AI65" s="142"/>
      <c r="AJ65" s="142"/>
      <c r="AK65" s="142"/>
      <c r="AL65" s="103"/>
      <c r="AM65" s="103"/>
      <c r="AN65" s="76">
        <v>43829</v>
      </c>
      <c r="AO65" s="77" t="s">
        <v>107</v>
      </c>
      <c r="AP65" s="142"/>
      <c r="AQ65" s="77" t="s">
        <v>67</v>
      </c>
      <c r="AR65" s="142"/>
      <c r="AS65" s="77" t="s">
        <v>109</v>
      </c>
      <c r="AT65" s="142"/>
      <c r="AU65" s="76">
        <v>43829</v>
      </c>
      <c r="AV65" s="78">
        <v>2380</v>
      </c>
      <c r="AW65" s="77" t="s">
        <v>98</v>
      </c>
      <c r="AX65" s="78">
        <v>2880</v>
      </c>
      <c r="AY65" s="142"/>
      <c r="AZ65" s="142"/>
      <c r="BA65" s="142"/>
      <c r="BB65" s="142"/>
      <c r="BC65" s="142"/>
      <c r="BD65" s="142"/>
      <c r="BE65" s="142"/>
      <c r="BF65" s="142"/>
      <c r="BG65" s="142"/>
      <c r="BH65" s="142"/>
      <c r="BI65" s="142"/>
      <c r="BJ65" s="142"/>
      <c r="BK65" s="142"/>
      <c r="BL65" s="142"/>
      <c r="BM65" s="142"/>
      <c r="BN65" s="142"/>
      <c r="BO65" s="142"/>
      <c r="BP65" s="142"/>
      <c r="BQ65" s="142"/>
      <c r="BR65" s="142"/>
      <c r="BS65" s="142"/>
      <c r="BT65" s="142"/>
      <c r="BU65" s="142"/>
      <c r="BV65" s="142"/>
      <c r="BW65" s="142"/>
      <c r="BX65" s="142"/>
      <c r="BY65" s="142"/>
      <c r="BZ65" s="142"/>
      <c r="CA65" s="142"/>
      <c r="CB65" s="142"/>
      <c r="CC65" s="142"/>
      <c r="CD65" s="142"/>
      <c r="CE65" s="142"/>
      <c r="CF65" s="142"/>
      <c r="CG65" s="142"/>
      <c r="CH65" s="142"/>
      <c r="CI65" s="142"/>
      <c r="CJ65" s="142"/>
      <c r="CK65" s="142"/>
      <c r="CL65" s="142"/>
      <c r="CM65" s="142"/>
      <c r="CN65" s="142"/>
      <c r="CO65" s="142"/>
      <c r="CP65" s="142"/>
      <c r="CQ65" s="142"/>
      <c r="CR65" s="142"/>
      <c r="CS65" s="142"/>
      <c r="CT65" s="142"/>
      <c r="CU65" s="142"/>
      <c r="CV65" s="142"/>
      <c r="CW65" s="142"/>
      <c r="CX65" s="142"/>
      <c r="CY65" s="142"/>
      <c r="CZ65" s="142"/>
      <c r="DA65" s="142"/>
      <c r="DB65" s="142"/>
      <c r="DC65" s="142"/>
      <c r="DD65" s="142"/>
      <c r="DE65" s="142"/>
      <c r="DF65" s="142"/>
      <c r="DG65" s="142"/>
      <c r="DH65" s="142"/>
      <c r="DI65" s="142"/>
      <c r="DJ65" s="142"/>
      <c r="DK65" s="142"/>
      <c r="DL65" s="142"/>
      <c r="DM65" s="142"/>
      <c r="DN65" s="142"/>
      <c r="DO65" s="142"/>
      <c r="DP65" s="142"/>
      <c r="DQ65" s="142"/>
      <c r="DR65" s="142"/>
      <c r="DS65" s="142"/>
      <c r="DT65" s="142"/>
      <c r="DU65" s="142"/>
      <c r="DV65" s="142"/>
      <c r="DW65" s="142"/>
      <c r="DX65" s="142"/>
      <c r="DY65" s="142"/>
      <c r="DZ65" s="142"/>
      <c r="EA65" s="142"/>
      <c r="EB65" s="142"/>
      <c r="EC65" s="142"/>
      <c r="ED65" s="142"/>
      <c r="EE65" s="142"/>
      <c r="EF65" s="142"/>
      <c r="EG65" s="142"/>
      <c r="EH65" s="142"/>
      <c r="EI65" s="142"/>
      <c r="EJ65" s="142"/>
      <c r="EK65" s="142"/>
      <c r="EL65" s="142"/>
      <c r="EM65" s="142"/>
      <c r="EN65" s="142"/>
      <c r="EO65" s="142"/>
      <c r="EP65" s="142"/>
      <c r="EQ65" s="142"/>
      <c r="ER65" s="142"/>
      <c r="ES65" s="142"/>
      <c r="ET65" s="142"/>
      <c r="EU65" s="142"/>
      <c r="EV65" s="142"/>
      <c r="EW65" s="142"/>
      <c r="EX65" s="142"/>
      <c r="EY65" s="142"/>
      <c r="EZ65" s="142"/>
      <c r="FA65" s="142"/>
      <c r="FB65" s="142"/>
      <c r="FC65" s="142"/>
      <c r="FD65" s="142"/>
      <c r="FE65" s="142"/>
      <c r="FF65" s="142"/>
      <c r="FG65" s="142"/>
      <c r="FH65" s="142"/>
      <c r="FI65" s="142"/>
      <c r="FJ65" s="142"/>
      <c r="FK65" s="142"/>
      <c r="FL65" s="142"/>
      <c r="FM65" s="142"/>
      <c r="FN65" s="142"/>
      <c r="FO65" s="142"/>
      <c r="FP65" s="142"/>
      <c r="FQ65" s="142"/>
      <c r="FR65" s="142"/>
      <c r="FS65" s="142"/>
      <c r="FT65" s="142"/>
      <c r="FU65" s="142"/>
      <c r="FV65" s="142"/>
      <c r="FW65" s="142"/>
      <c r="FX65" s="142"/>
      <c r="FY65" s="142"/>
      <c r="FZ65" s="142"/>
      <c r="GA65" s="142"/>
      <c r="GB65" s="142"/>
      <c r="GC65" s="142"/>
      <c r="GD65" s="142"/>
      <c r="GE65" s="142"/>
      <c r="GF65" s="142"/>
      <c r="GG65" s="142"/>
      <c r="GH65" s="142"/>
      <c r="GI65" s="142"/>
      <c r="GJ65" s="142"/>
      <c r="GK65" s="142"/>
      <c r="GL65" s="142"/>
      <c r="GM65" s="142"/>
      <c r="GN65" s="142"/>
      <c r="GO65" s="142"/>
      <c r="GP65" s="142"/>
      <c r="GQ65" s="142"/>
      <c r="GR65" s="142"/>
      <c r="GS65" s="142"/>
      <c r="GT65" s="142"/>
      <c r="GU65" s="142"/>
      <c r="GV65" s="142"/>
      <c r="GW65" s="142"/>
      <c r="GX65" s="142"/>
      <c r="GY65" s="142"/>
      <c r="GZ65" s="142"/>
      <c r="HA65" s="142"/>
      <c r="HB65" s="142"/>
      <c r="HC65" s="142"/>
      <c r="HD65" s="142"/>
      <c r="HE65" s="142"/>
      <c r="HF65" s="142"/>
      <c r="HG65" s="142"/>
      <c r="HH65" s="142"/>
      <c r="HI65" s="142"/>
      <c r="HJ65" s="142"/>
      <c r="HK65" s="142"/>
      <c r="HL65" s="142"/>
      <c r="HM65" s="142"/>
      <c r="HN65" s="142"/>
      <c r="HO65" s="142"/>
      <c r="HP65" s="142"/>
      <c r="HQ65" s="142"/>
      <c r="HR65" s="142"/>
      <c r="HS65" s="142"/>
      <c r="HT65" s="142"/>
      <c r="HU65" s="142"/>
      <c r="HV65" s="142"/>
      <c r="HW65" s="142"/>
      <c r="HX65" s="142"/>
      <c r="HY65" s="142"/>
      <c r="HZ65" s="142"/>
      <c r="IA65" s="142"/>
      <c r="IB65" s="142"/>
      <c r="IC65" s="142"/>
      <c r="ID65" s="142"/>
      <c r="IE65" s="142"/>
      <c r="IF65" s="142"/>
      <c r="IG65" s="142"/>
      <c r="IH65" s="142"/>
      <c r="II65" s="142"/>
      <c r="IJ65" s="142"/>
      <c r="IK65" s="142"/>
      <c r="IL65" s="142"/>
      <c r="IM65" s="142"/>
      <c r="IN65" s="142"/>
      <c r="IO65" s="142"/>
      <c r="IP65" s="142"/>
      <c r="IQ65" s="142"/>
      <c r="IR65" s="142"/>
      <c r="IS65" s="142"/>
      <c r="IT65" s="142"/>
      <c r="IU65" s="142"/>
      <c r="IV65" s="142"/>
      <c r="IW65" s="142"/>
    </row>
    <row r="66" spans="1:257" ht="66" hidden="1">
      <c r="A66" s="136"/>
      <c r="B66" s="136" t="s">
        <v>120</v>
      </c>
      <c r="C66" s="61" t="s">
        <v>541</v>
      </c>
      <c r="D66" s="161" t="s">
        <v>244</v>
      </c>
      <c r="E66" s="162" t="s">
        <v>244</v>
      </c>
      <c r="F66" s="162">
        <v>18601702120</v>
      </c>
      <c r="G66" s="163" t="s">
        <v>542</v>
      </c>
      <c r="H66" s="162" t="s">
        <v>215</v>
      </c>
      <c r="I66" s="162" t="s">
        <v>543</v>
      </c>
      <c r="J66" s="162" t="s">
        <v>544</v>
      </c>
      <c r="K66" s="162" t="s">
        <v>545</v>
      </c>
      <c r="L66" s="162" t="s">
        <v>253</v>
      </c>
      <c r="M66" s="162">
        <v>9</v>
      </c>
      <c r="N66" s="162" t="s">
        <v>145</v>
      </c>
      <c r="O66" s="162" t="s">
        <v>546</v>
      </c>
      <c r="P66" s="162" t="s">
        <v>353</v>
      </c>
      <c r="Q66" s="162" t="s">
        <v>221</v>
      </c>
      <c r="R66" s="165">
        <v>43826</v>
      </c>
      <c r="S66" s="149" t="s">
        <v>73</v>
      </c>
      <c r="T66" s="136" t="s">
        <v>73</v>
      </c>
      <c r="U66" s="136" t="s">
        <v>73</v>
      </c>
      <c r="V66" s="136" t="s">
        <v>73</v>
      </c>
      <c r="W66" s="175" t="s">
        <v>547</v>
      </c>
      <c r="X66" s="164" t="s">
        <v>76</v>
      </c>
      <c r="Y66" s="164"/>
      <c r="Z66" s="164"/>
      <c r="AA66" s="164" t="s">
        <v>120</v>
      </c>
      <c r="AB66" s="164" t="s">
        <v>102</v>
      </c>
      <c r="AQ66" s="114"/>
      <c r="AS66" s="114"/>
      <c r="AV66" s="76"/>
      <c r="AX66" s="115"/>
      <c r="AY66" s="101"/>
      <c r="AZ66" s="101"/>
    </row>
    <row r="67" spans="1:257" ht="82.5" hidden="1">
      <c r="A67" s="136"/>
      <c r="B67" s="136" t="s">
        <v>120</v>
      </c>
      <c r="C67" s="61" t="s">
        <v>548</v>
      </c>
      <c r="D67" s="161" t="s">
        <v>244</v>
      </c>
      <c r="E67" s="162" t="s">
        <v>244</v>
      </c>
      <c r="F67" s="162">
        <v>18601702120</v>
      </c>
      <c r="G67" s="182" t="s">
        <v>526</v>
      </c>
      <c r="H67" s="162" t="s">
        <v>215</v>
      </c>
      <c r="I67" s="162" t="s">
        <v>549</v>
      </c>
      <c r="J67" s="162" t="s">
        <v>550</v>
      </c>
      <c r="K67" s="162" t="s">
        <v>551</v>
      </c>
      <c r="L67" s="162" t="s">
        <v>327</v>
      </c>
      <c r="M67" s="162" t="s">
        <v>552</v>
      </c>
      <c r="N67" s="162" t="s">
        <v>145</v>
      </c>
      <c r="O67" s="162" t="s">
        <v>240</v>
      </c>
      <c r="P67" s="162" t="s">
        <v>220</v>
      </c>
      <c r="Q67" s="162" t="s">
        <v>221</v>
      </c>
      <c r="R67" s="165">
        <v>43826</v>
      </c>
      <c r="S67" s="149">
        <v>3300</v>
      </c>
      <c r="T67" s="136" t="s">
        <v>98</v>
      </c>
      <c r="U67" s="136">
        <v>3300</v>
      </c>
      <c r="V67" s="136">
        <v>0</v>
      </c>
      <c r="W67" s="175" t="s">
        <v>553</v>
      </c>
      <c r="X67" s="164" t="s">
        <v>76</v>
      </c>
      <c r="Y67" s="164" t="s">
        <v>131</v>
      </c>
      <c r="Z67" s="164"/>
      <c r="AA67" s="164" t="s">
        <v>120</v>
      </c>
      <c r="AB67" s="164" t="s">
        <v>100</v>
      </c>
      <c r="AV67" s="76"/>
      <c r="AY67" s="101"/>
      <c r="AZ67" s="101"/>
    </row>
    <row r="68" spans="1:257" ht="33" hidden="1">
      <c r="A68" s="136"/>
      <c r="B68" s="136" t="s">
        <v>120</v>
      </c>
      <c r="C68" s="61" t="s">
        <v>554</v>
      </c>
      <c r="D68" s="161" t="s">
        <v>555</v>
      </c>
      <c r="E68" s="183" t="s">
        <v>556</v>
      </c>
      <c r="F68" s="162">
        <v>18621507331</v>
      </c>
      <c r="G68" s="182">
        <v>43833.5625</v>
      </c>
      <c r="H68" s="162" t="s">
        <v>215</v>
      </c>
      <c r="I68" s="162" t="s">
        <v>557</v>
      </c>
      <c r="J68" s="183" t="s">
        <v>556</v>
      </c>
      <c r="K68" s="185" t="s">
        <v>227</v>
      </c>
      <c r="L68" s="162" t="s">
        <v>302</v>
      </c>
      <c r="M68" s="162">
        <v>3</v>
      </c>
      <c r="N68" s="162" t="s">
        <v>106</v>
      </c>
      <c r="O68" s="162" t="s">
        <v>106</v>
      </c>
      <c r="P68" s="162" t="s">
        <v>220</v>
      </c>
      <c r="Q68" s="162" t="s">
        <v>221</v>
      </c>
      <c r="R68" s="165">
        <v>43826</v>
      </c>
      <c r="S68" s="149" t="s">
        <v>73</v>
      </c>
      <c r="T68" s="136" t="s">
        <v>73</v>
      </c>
      <c r="U68" s="136" t="s">
        <v>73</v>
      </c>
      <c r="V68" s="136" t="s">
        <v>73</v>
      </c>
      <c r="W68" s="186" t="s">
        <v>558</v>
      </c>
      <c r="X68" s="164" t="s">
        <v>115</v>
      </c>
      <c r="Y68" s="164"/>
      <c r="Z68" s="164"/>
      <c r="AA68" s="164" t="s">
        <v>120</v>
      </c>
      <c r="AB68" s="164"/>
      <c r="AC68" s="89"/>
      <c r="AD68" s="89"/>
      <c r="AE68" s="89"/>
      <c r="AF68" s="89"/>
      <c r="AG68" s="89"/>
      <c r="AH68" s="89"/>
      <c r="AI68" s="89"/>
      <c r="AJ68" s="89"/>
      <c r="AK68" s="89"/>
      <c r="AL68" s="89"/>
      <c r="AM68" s="89"/>
      <c r="AN68" s="89"/>
      <c r="AO68" s="89"/>
      <c r="AP68" s="89"/>
      <c r="AQ68" s="89"/>
      <c r="AR68" s="89"/>
      <c r="AS68" s="89"/>
      <c r="AT68" s="89"/>
      <c r="AU68" s="89"/>
      <c r="AV68" s="76"/>
      <c r="AW68" s="89"/>
      <c r="AX68" s="89"/>
      <c r="AY68" s="101"/>
      <c r="AZ68" s="101"/>
      <c r="BA68" s="89"/>
      <c r="BB68" s="89"/>
      <c r="BC68" s="89"/>
      <c r="BD68" s="89"/>
      <c r="BE68" s="89"/>
      <c r="BF68" s="89"/>
      <c r="BG68" s="89"/>
      <c r="BH68" s="89"/>
      <c r="BI68" s="89"/>
      <c r="BJ68" s="89"/>
      <c r="BK68" s="89"/>
      <c r="BL68" s="89"/>
      <c r="BM68" s="89"/>
      <c r="BN68" s="89"/>
      <c r="BO68" s="89"/>
      <c r="BP68" s="89"/>
      <c r="BQ68" s="89"/>
      <c r="BR68" s="89"/>
      <c r="BS68" s="89"/>
      <c r="BT68" s="89"/>
      <c r="BU68" s="89"/>
      <c r="BV68" s="89"/>
      <c r="BW68" s="89"/>
      <c r="BX68" s="89"/>
      <c r="BY68" s="89"/>
      <c r="BZ68" s="89"/>
      <c r="CA68" s="89"/>
      <c r="CB68" s="89"/>
      <c r="CC68" s="89"/>
      <c r="CD68" s="89"/>
      <c r="CE68" s="89"/>
      <c r="CF68" s="89"/>
      <c r="CG68" s="89"/>
      <c r="CH68" s="89"/>
      <c r="CI68" s="89"/>
      <c r="CJ68" s="89"/>
      <c r="CK68" s="89"/>
      <c r="CL68" s="89"/>
      <c r="CM68" s="89"/>
      <c r="CN68" s="89"/>
      <c r="CO68" s="89"/>
      <c r="CP68" s="89"/>
      <c r="CQ68" s="89"/>
      <c r="CR68" s="89"/>
      <c r="CS68" s="89"/>
      <c r="CT68" s="89"/>
      <c r="CU68" s="89"/>
      <c r="CV68" s="89"/>
      <c r="CW68" s="89"/>
      <c r="CX68" s="89"/>
      <c r="CY68" s="89"/>
      <c r="CZ68" s="89"/>
      <c r="DA68" s="89"/>
      <c r="DB68" s="89"/>
      <c r="DC68" s="89"/>
      <c r="DD68" s="89"/>
      <c r="DE68" s="89"/>
      <c r="DF68" s="89"/>
      <c r="DG68" s="89"/>
      <c r="DH68" s="89"/>
      <c r="DI68" s="89"/>
      <c r="DJ68" s="89"/>
      <c r="DK68" s="89"/>
      <c r="DL68" s="89"/>
      <c r="DM68" s="89"/>
      <c r="DN68" s="89"/>
      <c r="DO68" s="89"/>
      <c r="DP68" s="89"/>
      <c r="DQ68" s="89"/>
      <c r="DR68" s="89"/>
      <c r="DS68" s="89"/>
      <c r="DT68" s="89"/>
      <c r="DU68" s="89"/>
      <c r="DV68" s="89"/>
      <c r="DW68" s="89"/>
      <c r="DX68" s="89"/>
      <c r="DY68" s="89"/>
      <c r="DZ68" s="89"/>
      <c r="EA68" s="89"/>
      <c r="EB68" s="89"/>
      <c r="EC68" s="89"/>
      <c r="ED68" s="89"/>
      <c r="EE68" s="89"/>
      <c r="EF68" s="89"/>
      <c r="EG68" s="89"/>
      <c r="EH68" s="89"/>
      <c r="EI68" s="89"/>
      <c r="EJ68" s="89"/>
      <c r="EK68" s="89"/>
      <c r="EL68" s="89"/>
      <c r="EM68" s="89"/>
      <c r="EN68" s="89"/>
      <c r="EO68" s="89"/>
      <c r="EP68" s="89"/>
      <c r="EQ68" s="89"/>
      <c r="ER68" s="89"/>
      <c r="ES68" s="89"/>
      <c r="ET68" s="89"/>
      <c r="EU68" s="89"/>
      <c r="EV68" s="89"/>
      <c r="EW68" s="89"/>
      <c r="EX68" s="89"/>
      <c r="EY68" s="89"/>
      <c r="EZ68" s="89"/>
      <c r="FA68" s="89"/>
      <c r="FB68" s="89"/>
      <c r="FC68" s="89"/>
      <c r="FD68" s="89"/>
      <c r="FE68" s="89"/>
      <c r="FF68" s="89"/>
      <c r="FG68" s="89"/>
      <c r="FH68" s="89"/>
      <c r="FI68" s="89"/>
      <c r="FJ68" s="89"/>
      <c r="FK68" s="89"/>
      <c r="FL68" s="89"/>
      <c r="FM68" s="89"/>
      <c r="FN68" s="89"/>
      <c r="FO68" s="89"/>
      <c r="FP68" s="89"/>
      <c r="FQ68" s="89"/>
      <c r="FR68" s="89"/>
      <c r="FS68" s="89"/>
      <c r="FT68" s="89"/>
      <c r="FU68" s="89"/>
      <c r="FV68" s="89"/>
      <c r="FW68" s="89"/>
      <c r="FX68" s="89"/>
      <c r="FY68" s="89"/>
      <c r="FZ68" s="89"/>
      <c r="GA68" s="89"/>
      <c r="GB68" s="89"/>
      <c r="GC68" s="89"/>
      <c r="GD68" s="89"/>
      <c r="GE68" s="89"/>
      <c r="GF68" s="89"/>
      <c r="GG68" s="89"/>
      <c r="GH68" s="89"/>
      <c r="GI68" s="89"/>
      <c r="GJ68" s="89"/>
      <c r="GK68" s="89"/>
      <c r="GL68" s="89"/>
      <c r="GM68" s="89"/>
      <c r="GN68" s="89"/>
      <c r="GO68" s="89"/>
      <c r="GP68" s="89"/>
      <c r="GQ68" s="89"/>
      <c r="GR68" s="89"/>
      <c r="GS68" s="89"/>
      <c r="GT68" s="89"/>
      <c r="GU68" s="89"/>
      <c r="GV68" s="89"/>
      <c r="GW68" s="89"/>
      <c r="GX68" s="89"/>
      <c r="GY68" s="89"/>
      <c r="GZ68" s="89"/>
      <c r="HA68" s="89"/>
      <c r="HB68" s="89"/>
      <c r="HC68" s="89"/>
      <c r="HD68" s="89"/>
      <c r="HE68" s="89"/>
      <c r="HF68" s="89"/>
      <c r="HG68" s="89"/>
      <c r="HH68" s="89"/>
      <c r="HI68" s="89"/>
      <c r="HJ68" s="89"/>
      <c r="HK68" s="89"/>
      <c r="HL68" s="89"/>
      <c r="HM68" s="89"/>
      <c r="HN68" s="89"/>
      <c r="HO68" s="89"/>
      <c r="HP68" s="89"/>
      <c r="HQ68" s="89"/>
      <c r="HR68" s="89"/>
      <c r="HS68" s="89"/>
      <c r="HT68" s="89"/>
      <c r="HU68" s="89"/>
      <c r="HV68" s="89"/>
      <c r="HW68" s="89"/>
      <c r="HX68" s="89"/>
      <c r="HY68" s="89"/>
      <c r="HZ68" s="89"/>
      <c r="IA68" s="89"/>
      <c r="IB68" s="89"/>
      <c r="IC68" s="89"/>
      <c r="ID68" s="89"/>
      <c r="IE68" s="89"/>
      <c r="IF68" s="89"/>
      <c r="IG68" s="89"/>
      <c r="IH68" s="89"/>
      <c r="II68" s="89"/>
      <c r="IJ68" s="89"/>
      <c r="IK68" s="89"/>
      <c r="IL68" s="89"/>
      <c r="IM68" s="89"/>
      <c r="IN68" s="89"/>
      <c r="IO68" s="89"/>
      <c r="IP68" s="89"/>
      <c r="IQ68" s="89"/>
      <c r="IR68" s="89"/>
      <c r="IS68" s="89"/>
      <c r="IT68" s="89"/>
      <c r="IU68" s="89"/>
      <c r="IV68" s="89"/>
      <c r="IW68" s="89"/>
    </row>
    <row r="69" spans="1:257" ht="33" hidden="1">
      <c r="A69" s="136"/>
      <c r="B69" s="136" t="s">
        <v>120</v>
      </c>
      <c r="C69" s="61" t="s">
        <v>559</v>
      </c>
      <c r="D69" s="161" t="s">
        <v>560</v>
      </c>
      <c r="E69" s="181" t="s">
        <v>561</v>
      </c>
      <c r="F69" s="162">
        <v>15618521998</v>
      </c>
      <c r="G69" s="163">
        <v>43847.645833333299</v>
      </c>
      <c r="H69" s="162" t="s">
        <v>215</v>
      </c>
      <c r="I69" s="162" t="s">
        <v>463</v>
      </c>
      <c r="J69" s="183" t="s">
        <v>562</v>
      </c>
      <c r="K69" s="162" t="s">
        <v>465</v>
      </c>
      <c r="L69" s="162" t="s">
        <v>253</v>
      </c>
      <c r="M69" s="162" t="s">
        <v>254</v>
      </c>
      <c r="N69" s="162" t="s">
        <v>145</v>
      </c>
      <c r="O69" s="162" t="s">
        <v>255</v>
      </c>
      <c r="P69" s="162" t="s">
        <v>220</v>
      </c>
      <c r="Q69" s="162" t="s">
        <v>221</v>
      </c>
      <c r="R69" s="165">
        <v>43826</v>
      </c>
      <c r="S69" s="149">
        <v>2980</v>
      </c>
      <c r="T69" s="136" t="s">
        <v>242</v>
      </c>
      <c r="U69" s="136">
        <v>2980</v>
      </c>
      <c r="V69" s="136">
        <v>0</v>
      </c>
      <c r="W69" s="175" t="s">
        <v>563</v>
      </c>
      <c r="X69" s="164"/>
      <c r="Y69" s="164"/>
      <c r="Z69" s="164"/>
      <c r="AA69" s="164" t="s">
        <v>120</v>
      </c>
      <c r="AB69" s="164"/>
      <c r="AV69" s="76"/>
      <c r="AY69" s="101"/>
      <c r="AZ69" s="101"/>
    </row>
    <row r="70" spans="1:257" hidden="1">
      <c r="A70" s="91"/>
      <c r="B70" s="61" t="s">
        <v>62</v>
      </c>
      <c r="C70" s="61" t="s">
        <v>305</v>
      </c>
      <c r="D70" s="67" t="s">
        <v>135</v>
      </c>
      <c r="E70" s="69" t="s">
        <v>91</v>
      </c>
      <c r="F70" s="92">
        <v>17721253209</v>
      </c>
      <c r="G70" s="91"/>
      <c r="H70" s="91"/>
      <c r="I70" s="69" t="s">
        <v>306</v>
      </c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89"/>
      <c r="AD70" s="142" t="s">
        <v>136</v>
      </c>
      <c r="AE70" s="142" t="s">
        <v>68</v>
      </c>
      <c r="AF70" s="107">
        <v>43399</v>
      </c>
      <c r="AG70" s="89"/>
      <c r="AH70" s="89"/>
      <c r="AI70" s="89"/>
      <c r="AJ70" s="89"/>
      <c r="AK70" s="89"/>
      <c r="AL70" s="89"/>
      <c r="AM70" s="89"/>
      <c r="AN70" s="76">
        <v>43828</v>
      </c>
      <c r="AO70" s="77" t="s">
        <v>64</v>
      </c>
      <c r="AP70" s="89"/>
      <c r="AQ70" s="77">
        <v>10</v>
      </c>
      <c r="AR70" s="89"/>
      <c r="AS70" s="77" t="s">
        <v>109</v>
      </c>
      <c r="AT70" s="89"/>
      <c r="AU70" s="76" t="s">
        <v>73</v>
      </c>
      <c r="AV70" s="76" t="s">
        <v>73</v>
      </c>
      <c r="AW70" s="77" t="s">
        <v>73</v>
      </c>
      <c r="AX70" s="78">
        <v>2633</v>
      </c>
      <c r="AY70" s="142"/>
      <c r="AZ70" s="142"/>
      <c r="BA70" s="89"/>
      <c r="BB70" s="89"/>
      <c r="BC70" s="89"/>
      <c r="BD70" s="89"/>
      <c r="BE70" s="89"/>
      <c r="BF70" s="89"/>
      <c r="BG70" s="89"/>
      <c r="BH70" s="89"/>
      <c r="BI70" s="89"/>
      <c r="BJ70" s="89"/>
      <c r="BK70" s="89"/>
      <c r="BL70" s="89"/>
      <c r="BM70" s="89"/>
      <c r="BN70" s="89"/>
      <c r="BO70" s="89"/>
      <c r="BP70" s="89"/>
      <c r="BQ70" s="89"/>
      <c r="BR70" s="89"/>
      <c r="BS70" s="89"/>
      <c r="BT70" s="89"/>
      <c r="BU70" s="89"/>
      <c r="BV70" s="89"/>
      <c r="BW70" s="89"/>
      <c r="BX70" s="89"/>
      <c r="BY70" s="89"/>
      <c r="BZ70" s="89"/>
      <c r="CA70" s="89"/>
      <c r="CB70" s="89"/>
      <c r="CC70" s="89"/>
      <c r="CD70" s="89"/>
      <c r="CE70" s="89"/>
      <c r="CF70" s="89"/>
      <c r="CG70" s="89"/>
      <c r="CH70" s="89"/>
      <c r="CI70" s="89"/>
      <c r="CJ70" s="89"/>
      <c r="CK70" s="89"/>
      <c r="CL70" s="89"/>
      <c r="CM70" s="89"/>
      <c r="CN70" s="89"/>
      <c r="CO70" s="89"/>
      <c r="CP70" s="89"/>
      <c r="CQ70" s="89"/>
      <c r="CR70" s="89"/>
      <c r="CS70" s="89"/>
      <c r="CT70" s="89"/>
      <c r="CU70" s="89"/>
      <c r="CV70" s="89"/>
      <c r="CW70" s="89"/>
      <c r="CX70" s="89"/>
      <c r="CY70" s="89"/>
      <c r="CZ70" s="89"/>
      <c r="DA70" s="89"/>
      <c r="DB70" s="89"/>
      <c r="DC70" s="89"/>
      <c r="DD70" s="89"/>
      <c r="DE70" s="89"/>
      <c r="DF70" s="89"/>
      <c r="DG70" s="89"/>
      <c r="DH70" s="89"/>
      <c r="DI70" s="89"/>
      <c r="DJ70" s="89"/>
      <c r="DK70" s="89"/>
      <c r="DL70" s="89"/>
      <c r="DM70" s="89"/>
      <c r="DN70" s="89"/>
      <c r="DO70" s="89"/>
      <c r="DP70" s="89"/>
      <c r="DQ70" s="89"/>
      <c r="DR70" s="89"/>
      <c r="DS70" s="89"/>
      <c r="DT70" s="89"/>
      <c r="DU70" s="89"/>
      <c r="DV70" s="89"/>
      <c r="DW70" s="89"/>
      <c r="DX70" s="89"/>
      <c r="DY70" s="89"/>
      <c r="DZ70" s="89"/>
      <c r="EA70" s="89"/>
      <c r="EB70" s="89"/>
      <c r="EC70" s="89"/>
      <c r="ED70" s="89"/>
      <c r="EE70" s="89"/>
      <c r="EF70" s="89"/>
      <c r="EG70" s="89"/>
      <c r="EH70" s="89"/>
      <c r="EI70" s="89"/>
      <c r="EJ70" s="89"/>
      <c r="EK70" s="89"/>
      <c r="EL70" s="89"/>
      <c r="EM70" s="89"/>
      <c r="EN70" s="89"/>
      <c r="EO70" s="89"/>
      <c r="EP70" s="89"/>
      <c r="EQ70" s="89"/>
      <c r="ER70" s="89"/>
      <c r="ES70" s="89"/>
      <c r="ET70" s="89"/>
      <c r="EU70" s="89"/>
      <c r="EV70" s="89"/>
      <c r="EW70" s="89"/>
      <c r="EX70" s="89"/>
      <c r="EY70" s="89"/>
      <c r="EZ70" s="89"/>
      <c r="FA70" s="89"/>
      <c r="FB70" s="89"/>
      <c r="FC70" s="89"/>
      <c r="FD70" s="89"/>
      <c r="FE70" s="89"/>
      <c r="FF70" s="89"/>
      <c r="FG70" s="89"/>
      <c r="FH70" s="89"/>
      <c r="FI70" s="89"/>
      <c r="FJ70" s="89"/>
      <c r="FK70" s="89"/>
      <c r="FL70" s="89"/>
      <c r="FM70" s="89"/>
      <c r="FN70" s="89"/>
      <c r="FO70" s="89"/>
      <c r="FP70" s="89"/>
      <c r="FQ70" s="89"/>
      <c r="FR70" s="89"/>
      <c r="FS70" s="89"/>
      <c r="FT70" s="89"/>
      <c r="FU70" s="89"/>
      <c r="FV70" s="89"/>
      <c r="FW70" s="89"/>
      <c r="FX70" s="89"/>
      <c r="FY70" s="89"/>
      <c r="FZ70" s="89"/>
      <c r="GA70" s="89"/>
      <c r="GB70" s="89"/>
      <c r="GC70" s="89"/>
      <c r="GD70" s="89"/>
      <c r="GE70" s="89"/>
      <c r="GF70" s="89"/>
      <c r="GG70" s="89"/>
      <c r="GH70" s="89"/>
      <c r="GI70" s="89"/>
      <c r="GJ70" s="89"/>
      <c r="GK70" s="89"/>
      <c r="GL70" s="89"/>
      <c r="GM70" s="89"/>
      <c r="GN70" s="89"/>
      <c r="GO70" s="89"/>
      <c r="GP70" s="89"/>
      <c r="GQ70" s="89"/>
      <c r="GR70" s="89"/>
      <c r="GS70" s="89"/>
      <c r="GT70" s="89"/>
      <c r="GU70" s="89"/>
      <c r="GV70" s="89"/>
      <c r="GW70" s="89"/>
      <c r="GX70" s="89"/>
      <c r="GY70" s="89"/>
      <c r="GZ70" s="89"/>
      <c r="HA70" s="89"/>
      <c r="HB70" s="89"/>
      <c r="HC70" s="89"/>
      <c r="HD70" s="89"/>
      <c r="HE70" s="89"/>
      <c r="HF70" s="89"/>
      <c r="HG70" s="89"/>
      <c r="HH70" s="89"/>
      <c r="HI70" s="89"/>
      <c r="HJ70" s="89"/>
      <c r="HK70" s="89"/>
      <c r="HL70" s="89"/>
      <c r="HM70" s="89"/>
      <c r="HN70" s="89"/>
      <c r="HO70" s="89"/>
      <c r="HP70" s="89"/>
      <c r="HQ70" s="89"/>
      <c r="HR70" s="89"/>
      <c r="HS70" s="89"/>
      <c r="HT70" s="89"/>
      <c r="HU70" s="89"/>
      <c r="HV70" s="89"/>
      <c r="HW70" s="89"/>
      <c r="HX70" s="89"/>
      <c r="HY70" s="89"/>
      <c r="HZ70" s="89"/>
      <c r="IA70" s="89"/>
      <c r="IB70" s="89"/>
      <c r="IC70" s="89"/>
      <c r="ID70" s="89"/>
      <c r="IE70" s="89"/>
      <c r="IF70" s="89"/>
      <c r="IG70" s="89"/>
      <c r="IH70" s="89"/>
      <c r="II70" s="89"/>
      <c r="IJ70" s="89"/>
      <c r="IK70" s="89"/>
      <c r="IL70" s="89"/>
      <c r="IM70" s="89"/>
      <c r="IN70" s="89"/>
      <c r="IO70" s="89"/>
      <c r="IP70" s="89"/>
      <c r="IQ70" s="89"/>
      <c r="IR70" s="89"/>
      <c r="IS70" s="89"/>
      <c r="IT70" s="89"/>
      <c r="IU70" s="89"/>
      <c r="IV70" s="89"/>
      <c r="IW70" s="89"/>
    </row>
    <row r="71" spans="1:257" ht="66" hidden="1">
      <c r="A71" s="136" t="s">
        <v>213</v>
      </c>
      <c r="B71" s="136" t="s">
        <v>120</v>
      </c>
      <c r="C71" s="61" t="s">
        <v>564</v>
      </c>
      <c r="D71" s="161" t="s">
        <v>65</v>
      </c>
      <c r="E71" s="183" t="s">
        <v>565</v>
      </c>
      <c r="F71" s="162">
        <v>13564256360</v>
      </c>
      <c r="G71" s="163">
        <v>43835.541666666701</v>
      </c>
      <c r="H71" s="162" t="s">
        <v>215</v>
      </c>
      <c r="I71" s="162" t="s">
        <v>141</v>
      </c>
      <c r="J71" s="162" t="s">
        <v>566</v>
      </c>
      <c r="K71" s="162" t="s">
        <v>567</v>
      </c>
      <c r="L71" s="162" t="s">
        <v>327</v>
      </c>
      <c r="M71" s="162" t="s">
        <v>568</v>
      </c>
      <c r="N71" s="162" t="s">
        <v>145</v>
      </c>
      <c r="O71" s="162" t="s">
        <v>255</v>
      </c>
      <c r="P71" s="162" t="s">
        <v>220</v>
      </c>
      <c r="Q71" s="162" t="s">
        <v>221</v>
      </c>
      <c r="R71" s="165">
        <v>43828</v>
      </c>
      <c r="S71" s="149">
        <v>500</v>
      </c>
      <c r="T71" s="136" t="s">
        <v>90</v>
      </c>
      <c r="U71" s="136">
        <v>4280</v>
      </c>
      <c r="V71" s="136">
        <v>3780</v>
      </c>
      <c r="W71" s="175" t="s">
        <v>569</v>
      </c>
      <c r="X71" s="164" t="s">
        <v>168</v>
      </c>
      <c r="Y71" s="164"/>
      <c r="Z71" s="164"/>
      <c r="AA71" s="164" t="s">
        <v>120</v>
      </c>
      <c r="AB71" s="164" t="s">
        <v>100</v>
      </c>
      <c r="AV71" s="115"/>
      <c r="AY71" s="101"/>
      <c r="AZ71" s="101"/>
    </row>
    <row r="72" spans="1:257" ht="49.5" hidden="1">
      <c r="A72" s="136"/>
      <c r="B72" s="136" t="s">
        <v>120</v>
      </c>
      <c r="C72" s="61" t="s">
        <v>570</v>
      </c>
      <c r="D72" s="161" t="s">
        <v>205</v>
      </c>
      <c r="E72" s="161" t="s">
        <v>66</v>
      </c>
      <c r="F72" s="162">
        <v>13917983800</v>
      </c>
      <c r="G72" s="163" t="s">
        <v>571</v>
      </c>
      <c r="H72" s="162" t="s">
        <v>215</v>
      </c>
      <c r="I72" s="162" t="s">
        <v>122</v>
      </c>
      <c r="J72" s="162" t="s">
        <v>572</v>
      </c>
      <c r="K72" s="162" t="s">
        <v>516</v>
      </c>
      <c r="L72" s="162" t="s">
        <v>253</v>
      </c>
      <c r="M72" s="162">
        <v>16</v>
      </c>
      <c r="N72" s="162" t="s">
        <v>145</v>
      </c>
      <c r="O72" s="162" t="s">
        <v>255</v>
      </c>
      <c r="P72" s="162" t="s">
        <v>220</v>
      </c>
      <c r="Q72" s="162" t="s">
        <v>221</v>
      </c>
      <c r="R72" s="165">
        <v>43828</v>
      </c>
      <c r="S72" s="149">
        <v>2980</v>
      </c>
      <c r="T72" s="136" t="s">
        <v>98</v>
      </c>
      <c r="U72" s="136">
        <v>2980</v>
      </c>
      <c r="V72" s="136">
        <v>0</v>
      </c>
      <c r="W72" s="175" t="s">
        <v>573</v>
      </c>
      <c r="X72" s="164" t="s">
        <v>76</v>
      </c>
      <c r="Y72" s="164" t="s">
        <v>131</v>
      </c>
      <c r="Z72" s="164"/>
      <c r="AA72" s="164" t="s">
        <v>120</v>
      </c>
      <c r="AB72" s="164" t="s">
        <v>100</v>
      </c>
      <c r="AC72" s="89"/>
      <c r="AD72" s="89"/>
      <c r="AE72" s="89"/>
      <c r="AF72" s="89"/>
      <c r="AG72" s="89"/>
      <c r="AH72" s="89"/>
      <c r="AI72" s="89"/>
      <c r="AJ72" s="89"/>
      <c r="AK72" s="89"/>
      <c r="AL72" s="89"/>
      <c r="AM72" s="89"/>
      <c r="AN72" s="89"/>
      <c r="AO72" s="89"/>
      <c r="AP72" s="89"/>
      <c r="AQ72" s="89"/>
      <c r="AR72" s="89"/>
      <c r="AS72" s="89"/>
      <c r="AT72" s="89"/>
      <c r="AU72" s="89"/>
      <c r="AV72" s="89"/>
      <c r="AW72" s="89"/>
      <c r="AX72" s="89"/>
      <c r="AY72" s="101"/>
      <c r="AZ72" s="101"/>
      <c r="BA72" s="89"/>
      <c r="BB72" s="89"/>
      <c r="BC72" s="89"/>
      <c r="BD72" s="89"/>
      <c r="BE72" s="89"/>
      <c r="BF72" s="89"/>
      <c r="BG72" s="89"/>
      <c r="BH72" s="89"/>
      <c r="BI72" s="89"/>
      <c r="BJ72" s="89"/>
      <c r="BK72" s="89"/>
      <c r="BL72" s="89"/>
      <c r="BM72" s="89"/>
      <c r="BN72" s="89"/>
      <c r="BO72" s="89"/>
      <c r="BP72" s="89"/>
      <c r="BQ72" s="89"/>
      <c r="BR72" s="89"/>
      <c r="BS72" s="89"/>
      <c r="BT72" s="89"/>
      <c r="BU72" s="89"/>
      <c r="BV72" s="89"/>
      <c r="BW72" s="89"/>
      <c r="BX72" s="89"/>
      <c r="BY72" s="89"/>
      <c r="BZ72" s="89"/>
      <c r="CA72" s="89"/>
      <c r="CB72" s="89"/>
      <c r="CC72" s="89"/>
      <c r="CD72" s="89"/>
      <c r="CE72" s="89"/>
      <c r="CF72" s="89"/>
      <c r="CG72" s="89"/>
      <c r="CH72" s="89"/>
      <c r="CI72" s="89"/>
      <c r="CJ72" s="89"/>
      <c r="CK72" s="89"/>
      <c r="CL72" s="89"/>
      <c r="CM72" s="89"/>
      <c r="CN72" s="89"/>
      <c r="CO72" s="89"/>
      <c r="CP72" s="89"/>
      <c r="CQ72" s="89"/>
      <c r="CR72" s="89"/>
      <c r="CS72" s="89"/>
      <c r="CT72" s="89"/>
      <c r="CU72" s="89"/>
      <c r="CV72" s="89"/>
      <c r="CW72" s="89"/>
      <c r="CX72" s="89"/>
      <c r="CY72" s="89"/>
      <c r="CZ72" s="89"/>
      <c r="DA72" s="89"/>
      <c r="DB72" s="89"/>
      <c r="DC72" s="89"/>
      <c r="DD72" s="89"/>
      <c r="DE72" s="89"/>
      <c r="DF72" s="89"/>
      <c r="DG72" s="89"/>
      <c r="DH72" s="89"/>
      <c r="DI72" s="89"/>
      <c r="DJ72" s="89"/>
      <c r="DK72" s="89"/>
      <c r="DL72" s="89"/>
      <c r="DM72" s="89"/>
      <c r="DN72" s="89"/>
      <c r="DO72" s="89"/>
      <c r="DP72" s="89"/>
      <c r="DQ72" s="89"/>
      <c r="DR72" s="89"/>
      <c r="DS72" s="89"/>
      <c r="DT72" s="89"/>
      <c r="DU72" s="89"/>
      <c r="DV72" s="89"/>
      <c r="DW72" s="89"/>
      <c r="DX72" s="89"/>
      <c r="DY72" s="89"/>
      <c r="DZ72" s="89"/>
      <c r="EA72" s="89"/>
      <c r="EB72" s="89"/>
      <c r="EC72" s="89"/>
      <c r="ED72" s="89"/>
      <c r="EE72" s="89"/>
      <c r="EF72" s="89"/>
      <c r="EG72" s="89"/>
      <c r="EH72" s="89"/>
      <c r="EI72" s="89"/>
      <c r="EJ72" s="89"/>
      <c r="EK72" s="89"/>
      <c r="EL72" s="89"/>
      <c r="EM72" s="89"/>
      <c r="EN72" s="89"/>
      <c r="EO72" s="89"/>
      <c r="EP72" s="89"/>
      <c r="EQ72" s="89"/>
      <c r="ER72" s="89"/>
      <c r="ES72" s="89"/>
      <c r="ET72" s="89"/>
      <c r="EU72" s="89"/>
      <c r="EV72" s="89"/>
      <c r="EW72" s="89"/>
      <c r="EX72" s="89"/>
      <c r="EY72" s="89"/>
      <c r="EZ72" s="89"/>
      <c r="FA72" s="89"/>
      <c r="FB72" s="89"/>
      <c r="FC72" s="89"/>
      <c r="FD72" s="89"/>
      <c r="FE72" s="89"/>
      <c r="FF72" s="89"/>
      <c r="FG72" s="89"/>
      <c r="FH72" s="89"/>
      <c r="FI72" s="89"/>
      <c r="FJ72" s="89"/>
      <c r="FK72" s="89"/>
      <c r="FL72" s="89"/>
      <c r="FM72" s="89"/>
      <c r="FN72" s="89"/>
      <c r="FO72" s="89"/>
      <c r="FP72" s="89"/>
      <c r="FQ72" s="89"/>
      <c r="FR72" s="89"/>
      <c r="FS72" s="89"/>
      <c r="FT72" s="89"/>
      <c r="FU72" s="89"/>
      <c r="FV72" s="89"/>
      <c r="FW72" s="89"/>
      <c r="FX72" s="89"/>
      <c r="FY72" s="89"/>
      <c r="FZ72" s="89"/>
      <c r="GA72" s="89"/>
      <c r="GB72" s="89"/>
      <c r="GC72" s="89"/>
      <c r="GD72" s="89"/>
      <c r="GE72" s="89"/>
      <c r="GF72" s="89"/>
      <c r="GG72" s="89"/>
      <c r="GH72" s="89"/>
      <c r="GI72" s="89"/>
      <c r="GJ72" s="89"/>
      <c r="GK72" s="89"/>
      <c r="GL72" s="89"/>
      <c r="GM72" s="89"/>
      <c r="GN72" s="89"/>
      <c r="GO72" s="89"/>
      <c r="GP72" s="89"/>
      <c r="GQ72" s="89"/>
      <c r="GR72" s="89"/>
      <c r="GS72" s="89"/>
      <c r="GT72" s="89"/>
      <c r="GU72" s="89"/>
      <c r="GV72" s="89"/>
      <c r="GW72" s="89"/>
      <c r="GX72" s="89"/>
      <c r="GY72" s="89"/>
      <c r="GZ72" s="89"/>
      <c r="HA72" s="89"/>
      <c r="HB72" s="89"/>
      <c r="HC72" s="89"/>
      <c r="HD72" s="89"/>
      <c r="HE72" s="89"/>
      <c r="HF72" s="89"/>
      <c r="HG72" s="89"/>
      <c r="HH72" s="89"/>
      <c r="HI72" s="89"/>
      <c r="HJ72" s="89"/>
      <c r="HK72" s="89"/>
      <c r="HL72" s="89"/>
      <c r="HM72" s="89"/>
      <c r="HN72" s="89"/>
      <c r="HO72" s="89"/>
      <c r="HP72" s="89"/>
      <c r="HQ72" s="89"/>
      <c r="HR72" s="89"/>
      <c r="HS72" s="89"/>
      <c r="HT72" s="89"/>
      <c r="HU72" s="89"/>
      <c r="HV72" s="89"/>
      <c r="HW72" s="89"/>
      <c r="HX72" s="89"/>
      <c r="HY72" s="89"/>
      <c r="HZ72" s="89"/>
      <c r="IA72" s="89"/>
      <c r="IB72" s="89"/>
      <c r="IC72" s="89"/>
      <c r="ID72" s="89"/>
      <c r="IE72" s="89"/>
      <c r="IF72" s="89"/>
      <c r="IG72" s="89"/>
      <c r="IH72" s="89"/>
      <c r="II72" s="89"/>
      <c r="IJ72" s="89"/>
      <c r="IK72" s="89"/>
      <c r="IL72" s="89"/>
      <c r="IM72" s="89"/>
      <c r="IN72" s="89"/>
      <c r="IO72" s="89"/>
      <c r="IP72" s="89"/>
      <c r="IQ72" s="89"/>
      <c r="IR72" s="89"/>
      <c r="IS72" s="89"/>
      <c r="IT72" s="89"/>
      <c r="IU72" s="89"/>
      <c r="IV72" s="89"/>
      <c r="IW72" s="89"/>
    </row>
    <row r="73" spans="1:257" ht="49.5">
      <c r="A73" s="136" t="s">
        <v>213</v>
      </c>
      <c r="B73" s="136" t="s">
        <v>120</v>
      </c>
      <c r="C73" s="61" t="s">
        <v>313</v>
      </c>
      <c r="D73" s="161" t="s">
        <v>314</v>
      </c>
      <c r="E73" s="183" t="s">
        <v>149</v>
      </c>
      <c r="F73" s="162">
        <v>15001889357</v>
      </c>
      <c r="G73" s="163">
        <v>43829.604166666701</v>
      </c>
      <c r="H73" s="162" t="s">
        <v>215</v>
      </c>
      <c r="I73" s="162" t="s">
        <v>315</v>
      </c>
      <c r="J73" s="162" t="s">
        <v>316</v>
      </c>
      <c r="K73" s="185" t="s">
        <v>227</v>
      </c>
      <c r="L73" s="162" t="s">
        <v>253</v>
      </c>
      <c r="M73" s="162" t="s">
        <v>317</v>
      </c>
      <c r="N73" s="162" t="s">
        <v>106</v>
      </c>
      <c r="O73" s="162" t="s">
        <v>106</v>
      </c>
      <c r="P73" s="162" t="s">
        <v>220</v>
      </c>
      <c r="Q73" s="162" t="s">
        <v>221</v>
      </c>
      <c r="R73" s="165">
        <v>43826</v>
      </c>
      <c r="S73" s="149">
        <v>500</v>
      </c>
      <c r="T73" s="136" t="s">
        <v>90</v>
      </c>
      <c r="U73" s="136">
        <v>1500</v>
      </c>
      <c r="V73" s="136">
        <v>1000</v>
      </c>
      <c r="W73" s="186" t="s">
        <v>318</v>
      </c>
      <c r="X73" s="164" t="s">
        <v>76</v>
      </c>
      <c r="Y73" s="164"/>
      <c r="Z73" s="164"/>
      <c r="AA73" s="164" t="s">
        <v>120</v>
      </c>
      <c r="AB73" s="164"/>
      <c r="AN73" s="76">
        <v>43829</v>
      </c>
      <c r="AO73" s="77" t="s">
        <v>97</v>
      </c>
      <c r="AP73" s="61"/>
      <c r="AQ73" s="77" t="s">
        <v>319</v>
      </c>
      <c r="AR73" s="61"/>
      <c r="AS73" s="77" t="s">
        <v>80</v>
      </c>
      <c r="AT73" s="61"/>
      <c r="AU73" s="76">
        <v>43829</v>
      </c>
      <c r="AV73" s="78">
        <v>1000</v>
      </c>
      <c r="AW73" s="77" t="s">
        <v>90</v>
      </c>
      <c r="AX73" s="78">
        <v>1500</v>
      </c>
      <c r="AY73" s="142"/>
      <c r="AZ73" s="142"/>
      <c r="BA73" s="61" t="s">
        <v>120</v>
      </c>
      <c r="BB73" s="107">
        <v>43829</v>
      </c>
      <c r="BC73" s="61">
        <v>200</v>
      </c>
      <c r="BD73" s="61" t="s">
        <v>98</v>
      </c>
      <c r="BE73" s="61" t="s">
        <v>105</v>
      </c>
      <c r="BF73" s="61"/>
      <c r="BG73" s="61"/>
      <c r="BJ73" s="61"/>
      <c r="BK73" s="61"/>
      <c r="BL73" s="61"/>
      <c r="BM73" s="61"/>
    </row>
    <row r="74" spans="1:257" ht="82.5" hidden="1">
      <c r="A74" s="136" t="s">
        <v>213</v>
      </c>
      <c r="B74" s="136" t="s">
        <v>120</v>
      </c>
      <c r="C74" s="61" t="s">
        <v>574</v>
      </c>
      <c r="D74" s="161" t="s">
        <v>575</v>
      </c>
      <c r="E74" s="183" t="s">
        <v>576</v>
      </c>
      <c r="F74" s="162">
        <v>15921401613</v>
      </c>
      <c r="G74" s="163">
        <v>43839.5625</v>
      </c>
      <c r="H74" s="162" t="s">
        <v>215</v>
      </c>
      <c r="I74" s="162" t="s">
        <v>577</v>
      </c>
      <c r="J74" s="162" t="s">
        <v>578</v>
      </c>
      <c r="K74" s="162" t="s">
        <v>579</v>
      </c>
      <c r="L74" s="162" t="s">
        <v>327</v>
      </c>
      <c r="M74" s="162" t="s">
        <v>268</v>
      </c>
      <c r="N74" s="162" t="s">
        <v>145</v>
      </c>
      <c r="O74" s="162" t="s">
        <v>240</v>
      </c>
      <c r="P74" s="162" t="s">
        <v>220</v>
      </c>
      <c r="Q74" s="162" t="s">
        <v>221</v>
      </c>
      <c r="R74" s="165">
        <v>43829</v>
      </c>
      <c r="S74" s="149">
        <v>3680</v>
      </c>
      <c r="T74" s="136" t="s">
        <v>98</v>
      </c>
      <c r="U74" s="136">
        <v>3680</v>
      </c>
      <c r="V74" s="136">
        <v>0</v>
      </c>
      <c r="W74" s="186" t="s">
        <v>580</v>
      </c>
      <c r="X74" s="164" t="s">
        <v>242</v>
      </c>
      <c r="Y74" s="164"/>
      <c r="Z74" s="164"/>
      <c r="AA74" s="164" t="s">
        <v>120</v>
      </c>
      <c r="AB74" s="164" t="s">
        <v>99</v>
      </c>
      <c r="AY74" s="66"/>
      <c r="AZ74" s="66"/>
    </row>
    <row r="75" spans="1:257" ht="115.5" hidden="1">
      <c r="A75" s="136" t="s">
        <v>213</v>
      </c>
      <c r="B75" s="136" t="s">
        <v>120</v>
      </c>
      <c r="C75" s="61" t="s">
        <v>581</v>
      </c>
      <c r="D75" s="161" t="s">
        <v>582</v>
      </c>
      <c r="E75" s="183" t="s">
        <v>583</v>
      </c>
      <c r="F75" s="162">
        <v>13040626829</v>
      </c>
      <c r="G75" s="163">
        <v>43834.395833333299</v>
      </c>
      <c r="H75" s="162" t="s">
        <v>215</v>
      </c>
      <c r="I75" s="162" t="s">
        <v>584</v>
      </c>
      <c r="J75" s="162" t="s">
        <v>585</v>
      </c>
      <c r="K75" s="162" t="s">
        <v>516</v>
      </c>
      <c r="L75" s="162" t="s">
        <v>586</v>
      </c>
      <c r="M75" s="162">
        <v>38</v>
      </c>
      <c r="N75" s="162" t="s">
        <v>145</v>
      </c>
      <c r="O75" s="162" t="s">
        <v>587</v>
      </c>
      <c r="P75" s="162" t="s">
        <v>220</v>
      </c>
      <c r="Q75" s="162" t="s">
        <v>221</v>
      </c>
      <c r="R75" s="165">
        <v>43829</v>
      </c>
      <c r="S75" s="149">
        <v>500</v>
      </c>
      <c r="T75" s="136" t="s">
        <v>90</v>
      </c>
      <c r="U75" s="136">
        <v>6980</v>
      </c>
      <c r="V75" s="136">
        <v>6480</v>
      </c>
      <c r="W75" s="186" t="s">
        <v>588</v>
      </c>
      <c r="X75" s="164" t="s">
        <v>184</v>
      </c>
      <c r="Y75" s="164"/>
      <c r="Z75" s="164"/>
      <c r="AA75" s="164" t="s">
        <v>120</v>
      </c>
      <c r="AB75" s="164" t="s">
        <v>99</v>
      </c>
      <c r="AY75" s="66"/>
      <c r="AZ75" s="66"/>
    </row>
    <row r="76" spans="1:257" ht="33" hidden="1">
      <c r="A76" s="136"/>
      <c r="B76" s="136" t="s">
        <v>120</v>
      </c>
      <c r="C76" s="61" t="s">
        <v>589</v>
      </c>
      <c r="D76" s="161" t="s">
        <v>159</v>
      </c>
      <c r="E76" s="183" t="s">
        <v>590</v>
      </c>
      <c r="F76" s="162">
        <v>18516652770</v>
      </c>
      <c r="G76" s="163" t="s">
        <v>151</v>
      </c>
      <c r="H76" s="162" t="s">
        <v>215</v>
      </c>
      <c r="I76" s="162" t="s">
        <v>151</v>
      </c>
      <c r="J76" s="162" t="s">
        <v>591</v>
      </c>
      <c r="K76" s="162" t="s">
        <v>151</v>
      </c>
      <c r="L76" s="162" t="s">
        <v>151</v>
      </c>
      <c r="M76" s="162" t="s">
        <v>151</v>
      </c>
      <c r="N76" s="162" t="s">
        <v>151</v>
      </c>
      <c r="O76" s="162" t="s">
        <v>151</v>
      </c>
      <c r="P76" s="162" t="s">
        <v>220</v>
      </c>
      <c r="Q76" s="162" t="s">
        <v>221</v>
      </c>
      <c r="R76" s="165">
        <v>43828</v>
      </c>
      <c r="S76" s="149">
        <v>500</v>
      </c>
      <c r="T76" s="136" t="s">
        <v>90</v>
      </c>
      <c r="U76" s="136">
        <v>0</v>
      </c>
      <c r="V76" s="136">
        <v>0</v>
      </c>
      <c r="W76" s="186"/>
      <c r="X76" s="164"/>
      <c r="Y76" s="164"/>
      <c r="Z76" s="164"/>
      <c r="AA76" s="164" t="s">
        <v>120</v>
      </c>
      <c r="AB76" s="164"/>
      <c r="AY76" s="66"/>
      <c r="AZ76" s="66"/>
    </row>
    <row r="77" spans="1:257" ht="99" hidden="1">
      <c r="A77" s="136"/>
      <c r="B77" s="136" t="s">
        <v>120</v>
      </c>
      <c r="C77" s="61" t="s">
        <v>592</v>
      </c>
      <c r="D77" s="161" t="s">
        <v>119</v>
      </c>
      <c r="E77" s="183" t="s">
        <v>295</v>
      </c>
      <c r="F77" s="162">
        <v>13791008517</v>
      </c>
      <c r="G77" s="163" t="s">
        <v>593</v>
      </c>
      <c r="H77" s="162" t="s">
        <v>215</v>
      </c>
      <c r="I77" s="162" t="s">
        <v>151</v>
      </c>
      <c r="J77" s="162" t="s">
        <v>296</v>
      </c>
      <c r="K77" s="185" t="s">
        <v>227</v>
      </c>
      <c r="L77" s="162" t="s">
        <v>217</v>
      </c>
      <c r="M77" s="162" t="s">
        <v>151</v>
      </c>
      <c r="N77" s="162" t="s">
        <v>151</v>
      </c>
      <c r="O77" s="162" t="s">
        <v>151</v>
      </c>
      <c r="P77" s="162" t="s">
        <v>220</v>
      </c>
      <c r="Q77" s="162" t="s">
        <v>297</v>
      </c>
      <c r="R77" s="165">
        <v>43829</v>
      </c>
      <c r="S77" s="149">
        <v>500</v>
      </c>
      <c r="T77" s="136" t="s">
        <v>98</v>
      </c>
      <c r="U77" s="136" t="s">
        <v>151</v>
      </c>
      <c r="V77" s="136" t="s">
        <v>151</v>
      </c>
      <c r="W77" s="186" t="s">
        <v>594</v>
      </c>
      <c r="X77" s="164"/>
      <c r="Y77" s="164"/>
      <c r="Z77" s="164"/>
      <c r="AA77" s="164" t="s">
        <v>120</v>
      </c>
      <c r="AB77" s="164"/>
      <c r="AY77" s="66"/>
      <c r="AZ77" s="66"/>
    </row>
    <row r="78" spans="1:257" ht="33" hidden="1">
      <c r="A78" s="136" t="s">
        <v>213</v>
      </c>
      <c r="B78" s="136" t="s">
        <v>120</v>
      </c>
      <c r="C78" s="61" t="s">
        <v>595</v>
      </c>
      <c r="D78" s="161" t="s">
        <v>596</v>
      </c>
      <c r="E78" s="183" t="s">
        <v>88</v>
      </c>
      <c r="F78" s="162">
        <v>18101882551</v>
      </c>
      <c r="G78" s="163">
        <v>43863.666666666701</v>
      </c>
      <c r="H78" s="162" t="s">
        <v>215</v>
      </c>
      <c r="I78" s="162" t="s">
        <v>101</v>
      </c>
      <c r="J78" s="162" t="s">
        <v>597</v>
      </c>
      <c r="K78" s="162" t="s">
        <v>598</v>
      </c>
      <c r="L78" s="162" t="s">
        <v>253</v>
      </c>
      <c r="M78" s="162">
        <v>12</v>
      </c>
      <c r="N78" s="162" t="s">
        <v>145</v>
      </c>
      <c r="O78" s="162" t="s">
        <v>255</v>
      </c>
      <c r="P78" s="162" t="s">
        <v>220</v>
      </c>
      <c r="Q78" s="162" t="s">
        <v>221</v>
      </c>
      <c r="R78" s="165">
        <v>43830</v>
      </c>
      <c r="S78" s="149">
        <v>500</v>
      </c>
      <c r="T78" s="136" t="s">
        <v>90</v>
      </c>
      <c r="U78" s="136">
        <v>2880</v>
      </c>
      <c r="V78" s="136">
        <v>2380</v>
      </c>
      <c r="W78" s="186" t="s">
        <v>73</v>
      </c>
      <c r="X78" s="164"/>
      <c r="Y78" s="164"/>
      <c r="Z78" s="164"/>
      <c r="AA78" s="164" t="s">
        <v>120</v>
      </c>
      <c r="AB78" s="164" t="s">
        <v>100</v>
      </c>
      <c r="AY78" s="66"/>
      <c r="AZ78" s="66"/>
    </row>
    <row r="79" spans="1:257" ht="66" hidden="1">
      <c r="A79" s="136" t="s">
        <v>213</v>
      </c>
      <c r="B79" s="136" t="s">
        <v>120</v>
      </c>
      <c r="C79" s="61" t="s">
        <v>599</v>
      </c>
      <c r="D79" s="161" t="s">
        <v>600</v>
      </c>
      <c r="E79" s="183" t="s">
        <v>601</v>
      </c>
      <c r="F79" s="162">
        <v>13801831534</v>
      </c>
      <c r="G79" s="163">
        <v>43843.6875</v>
      </c>
      <c r="H79" s="162" t="s">
        <v>215</v>
      </c>
      <c r="I79" s="162" t="s">
        <v>122</v>
      </c>
      <c r="J79" s="162" t="s">
        <v>602</v>
      </c>
      <c r="K79" s="162" t="s">
        <v>516</v>
      </c>
      <c r="L79" s="162" t="s">
        <v>253</v>
      </c>
      <c r="M79" s="162" t="s">
        <v>603</v>
      </c>
      <c r="N79" s="162" t="s">
        <v>145</v>
      </c>
      <c r="O79" s="162" t="s">
        <v>106</v>
      </c>
      <c r="P79" s="162" t="s">
        <v>220</v>
      </c>
      <c r="Q79" s="162" t="s">
        <v>604</v>
      </c>
      <c r="R79" s="165">
        <v>43830</v>
      </c>
      <c r="S79" s="149">
        <v>2480</v>
      </c>
      <c r="T79" s="136" t="s">
        <v>242</v>
      </c>
      <c r="U79" s="136">
        <v>2480</v>
      </c>
      <c r="V79" s="136">
        <v>0</v>
      </c>
      <c r="W79" s="186" t="s">
        <v>605</v>
      </c>
      <c r="X79" s="164" t="s">
        <v>80</v>
      </c>
      <c r="Y79" s="164"/>
      <c r="Z79" s="164"/>
      <c r="AA79" s="164" t="s">
        <v>120</v>
      </c>
      <c r="AB79" s="164" t="s">
        <v>99</v>
      </c>
      <c r="AY79" s="66"/>
      <c r="AZ79" s="66"/>
    </row>
    <row r="80" spans="1:257" ht="82.5" hidden="1">
      <c r="A80" s="136" t="s">
        <v>213</v>
      </c>
      <c r="B80" s="136" t="s">
        <v>120</v>
      </c>
      <c r="C80" s="184" t="s">
        <v>606</v>
      </c>
      <c r="D80" s="161" t="s">
        <v>607</v>
      </c>
      <c r="E80" s="183" t="s">
        <v>608</v>
      </c>
      <c r="F80" s="162">
        <v>13661627362</v>
      </c>
      <c r="G80" s="163">
        <v>43876.416666666701</v>
      </c>
      <c r="H80" s="162" t="s">
        <v>215</v>
      </c>
      <c r="I80" s="162" t="s">
        <v>187</v>
      </c>
      <c r="J80" s="162" t="s">
        <v>609</v>
      </c>
      <c r="K80" s="162" t="s">
        <v>516</v>
      </c>
      <c r="L80" s="162" t="s">
        <v>238</v>
      </c>
      <c r="M80" s="162">
        <v>18</v>
      </c>
      <c r="N80" s="162" t="s">
        <v>145</v>
      </c>
      <c r="O80" s="162" t="s">
        <v>240</v>
      </c>
      <c r="P80" s="162" t="s">
        <v>220</v>
      </c>
      <c r="Q80" s="162" t="s">
        <v>221</v>
      </c>
      <c r="R80" s="165">
        <v>43831</v>
      </c>
      <c r="S80" s="149">
        <v>500</v>
      </c>
      <c r="T80" s="136" t="s">
        <v>90</v>
      </c>
      <c r="U80" s="136">
        <v>4180</v>
      </c>
      <c r="V80" s="136">
        <v>3680</v>
      </c>
      <c r="W80" s="186" t="s">
        <v>610</v>
      </c>
      <c r="X80" s="164"/>
      <c r="Y80" s="164"/>
      <c r="Z80" s="164"/>
      <c r="AA80" s="164" t="s">
        <v>120</v>
      </c>
      <c r="AB80" s="164" t="s">
        <v>100</v>
      </c>
      <c r="AY80" s="66"/>
      <c r="AZ80" s="66"/>
    </row>
    <row r="81" spans="51:52">
      <c r="AY81" s="66"/>
      <c r="AZ81" s="66"/>
    </row>
    <row r="82" spans="51:52">
      <c r="AY82" s="66"/>
      <c r="AZ82" s="66"/>
    </row>
    <row r="83" spans="51:52">
      <c r="AY83" s="66"/>
      <c r="AZ83" s="66"/>
    </row>
    <row r="84" spans="51:52">
      <c r="AY84" s="66"/>
      <c r="AZ84" s="66"/>
    </row>
    <row r="85" spans="51:52">
      <c r="AY85" s="66"/>
      <c r="AZ85" s="66"/>
    </row>
    <row r="86" spans="51:52">
      <c r="AY86" s="66"/>
      <c r="AZ86" s="66"/>
    </row>
    <row r="87" spans="51:52">
      <c r="AY87" s="66"/>
      <c r="AZ87" s="66"/>
    </row>
    <row r="88" spans="51:52">
      <c r="AY88" s="66"/>
      <c r="AZ88" s="66"/>
    </row>
    <row r="89" spans="51:52">
      <c r="AY89" s="66"/>
      <c r="AZ89" s="66"/>
    </row>
    <row r="90" spans="51:52">
      <c r="AY90" s="66"/>
      <c r="AZ90" s="66"/>
    </row>
    <row r="91" spans="51:52">
      <c r="AY91" s="66"/>
      <c r="AZ91" s="66"/>
    </row>
    <row r="92" spans="51:52">
      <c r="AY92" s="66"/>
      <c r="AZ92" s="66"/>
    </row>
    <row r="93" spans="51:52">
      <c r="AY93" s="66"/>
      <c r="AZ93" s="66"/>
    </row>
    <row r="94" spans="51:52">
      <c r="AY94" s="66"/>
      <c r="AZ94" s="66"/>
    </row>
    <row r="95" spans="51:52">
      <c r="AY95" s="66"/>
      <c r="AZ95" s="66"/>
    </row>
    <row r="96" spans="51:52">
      <c r="AY96" s="66"/>
      <c r="AZ96" s="66"/>
    </row>
    <row r="97" spans="51:52">
      <c r="AY97" s="66"/>
      <c r="AZ97" s="66"/>
    </row>
    <row r="98" spans="51:52">
      <c r="AY98" s="66"/>
      <c r="AZ98" s="66"/>
    </row>
    <row r="99" spans="51:52">
      <c r="AY99" s="66"/>
      <c r="AZ99" s="66"/>
    </row>
    <row r="100" spans="51:52">
      <c r="AY100" s="66"/>
      <c r="AZ100" s="66"/>
    </row>
    <row r="101" spans="51:52">
      <c r="AY101" s="66"/>
      <c r="AZ101" s="66"/>
    </row>
    <row r="102" spans="51:52">
      <c r="AY102" s="66"/>
      <c r="AZ102" s="66"/>
    </row>
    <row r="103" spans="51:52">
      <c r="AY103" s="66"/>
      <c r="AZ103" s="66"/>
    </row>
    <row r="104" spans="51:52">
      <c r="AY104" s="66"/>
      <c r="AZ104" s="66"/>
    </row>
    <row r="105" spans="51:52">
      <c r="AY105" s="66"/>
      <c r="AZ105" s="66"/>
    </row>
    <row r="106" spans="51:52">
      <c r="AY106" s="66"/>
      <c r="AZ106" s="66"/>
    </row>
    <row r="107" spans="51:52">
      <c r="AY107" s="66"/>
      <c r="AZ107" s="66"/>
    </row>
    <row r="108" spans="51:52">
      <c r="AY108" s="66"/>
      <c r="AZ108" s="66"/>
    </row>
    <row r="109" spans="51:52">
      <c r="AY109" s="66"/>
      <c r="AZ109" s="66"/>
    </row>
    <row r="110" spans="51:52">
      <c r="AY110" s="66"/>
      <c r="AZ110" s="66"/>
    </row>
    <row r="111" spans="51:52">
      <c r="AY111" s="66"/>
      <c r="AZ111" s="66"/>
    </row>
    <row r="112" spans="51:52">
      <c r="AY112" s="66"/>
      <c r="AZ112" s="66"/>
    </row>
    <row r="113" spans="51:52">
      <c r="AY113" s="66"/>
      <c r="AZ113" s="66"/>
    </row>
    <row r="114" spans="51:52">
      <c r="AY114" s="66"/>
      <c r="AZ114" s="66"/>
    </row>
    <row r="115" spans="51:52">
      <c r="AY115" s="66"/>
      <c r="AZ115" s="66"/>
    </row>
    <row r="116" spans="51:52">
      <c r="AY116" s="66"/>
      <c r="AZ116" s="66"/>
    </row>
    <row r="117" spans="51:52">
      <c r="AY117" s="66"/>
      <c r="AZ117" s="66"/>
    </row>
    <row r="118" spans="51:52">
      <c r="AY118" s="66"/>
      <c r="AZ118" s="66"/>
    </row>
    <row r="119" spans="51:52">
      <c r="AY119" s="66"/>
      <c r="AZ119" s="66"/>
    </row>
    <row r="120" spans="51:52">
      <c r="AY120" s="66"/>
      <c r="AZ120" s="66"/>
    </row>
    <row r="121" spans="51:52">
      <c r="AY121" s="66"/>
      <c r="AZ121" s="66"/>
    </row>
    <row r="122" spans="51:52">
      <c r="AY122" s="66"/>
      <c r="AZ122" s="66"/>
    </row>
    <row r="123" spans="51:52">
      <c r="AY123" s="66"/>
      <c r="AZ123" s="66"/>
    </row>
    <row r="124" spans="51:52">
      <c r="AY124" s="66"/>
      <c r="AZ124" s="66"/>
    </row>
    <row r="125" spans="51:52">
      <c r="AY125" s="66"/>
      <c r="AZ125" s="66"/>
    </row>
    <row r="126" spans="51:52">
      <c r="AY126" s="66"/>
      <c r="AZ126" s="66"/>
    </row>
    <row r="127" spans="51:52">
      <c r="AY127" s="66"/>
      <c r="AZ127" s="66"/>
    </row>
    <row r="128" spans="51:52">
      <c r="AY128" s="66"/>
      <c r="AZ128" s="66"/>
    </row>
    <row r="129" spans="51:52">
      <c r="AY129" s="66"/>
      <c r="AZ129" s="66"/>
    </row>
    <row r="130" spans="51:52">
      <c r="AY130" s="66"/>
      <c r="AZ130" s="66"/>
    </row>
    <row r="131" spans="51:52">
      <c r="AY131" s="66"/>
      <c r="AZ131" s="66"/>
    </row>
    <row r="132" spans="51:52">
      <c r="AY132" s="66"/>
      <c r="AZ132" s="66"/>
    </row>
    <row r="133" spans="51:52">
      <c r="AY133" s="66"/>
      <c r="AZ133" s="66"/>
    </row>
    <row r="134" spans="51:52">
      <c r="AY134" s="66"/>
      <c r="AZ134" s="66"/>
    </row>
    <row r="135" spans="51:52">
      <c r="AY135" s="66"/>
      <c r="AZ135" s="66"/>
    </row>
    <row r="136" spans="51:52">
      <c r="AY136" s="66"/>
      <c r="AZ136" s="66"/>
    </row>
    <row r="137" spans="51:52">
      <c r="AY137" s="66"/>
      <c r="AZ137" s="66"/>
    </row>
    <row r="138" spans="51:52">
      <c r="AY138" s="66"/>
      <c r="AZ138" s="66"/>
    </row>
    <row r="139" spans="51:52">
      <c r="AY139" s="66"/>
      <c r="AZ139" s="66"/>
    </row>
    <row r="140" spans="51:52">
      <c r="AY140" s="66"/>
      <c r="AZ140" s="66"/>
    </row>
    <row r="141" spans="51:52">
      <c r="AY141" s="66"/>
      <c r="AZ141" s="66"/>
    </row>
    <row r="142" spans="51:52">
      <c r="AY142" s="66"/>
      <c r="AZ142" s="66"/>
    </row>
    <row r="143" spans="51:52">
      <c r="AY143" s="66"/>
      <c r="AZ143" s="66"/>
    </row>
    <row r="144" spans="51:52">
      <c r="AY144" s="66"/>
      <c r="AZ144" s="66"/>
    </row>
    <row r="145" spans="51:52">
      <c r="AY145" s="66"/>
      <c r="AZ145" s="66"/>
    </row>
    <row r="146" spans="51:52">
      <c r="AY146" s="66"/>
      <c r="AZ146" s="66"/>
    </row>
    <row r="147" spans="51:52">
      <c r="AY147" s="66"/>
      <c r="AZ147" s="66"/>
    </row>
    <row r="148" spans="51:52">
      <c r="AY148" s="66"/>
      <c r="AZ148" s="66"/>
    </row>
    <row r="149" spans="51:52">
      <c r="AY149" s="66"/>
      <c r="AZ149" s="66"/>
    </row>
    <row r="150" spans="51:52">
      <c r="AY150" s="66"/>
      <c r="AZ150" s="66"/>
    </row>
    <row r="151" spans="51:52">
      <c r="AY151" s="66"/>
      <c r="AZ151" s="66"/>
    </row>
    <row r="152" spans="51:52">
      <c r="AY152" s="66"/>
      <c r="AZ152" s="66"/>
    </row>
    <row r="153" spans="51:52">
      <c r="AY153" s="66"/>
      <c r="AZ153" s="66"/>
    </row>
    <row r="154" spans="51:52">
      <c r="AY154" s="66"/>
      <c r="AZ154" s="66"/>
    </row>
    <row r="155" spans="51:52">
      <c r="AY155" s="66"/>
      <c r="AZ155" s="66"/>
    </row>
    <row r="156" spans="51:52">
      <c r="AY156" s="66"/>
      <c r="AZ156" s="66"/>
    </row>
    <row r="157" spans="51:52">
      <c r="AY157" s="66"/>
      <c r="AZ157" s="66"/>
    </row>
    <row r="158" spans="51:52">
      <c r="AY158" s="66"/>
      <c r="AZ158" s="66"/>
    </row>
    <row r="159" spans="51:52">
      <c r="AY159" s="66"/>
      <c r="AZ159" s="66"/>
    </row>
    <row r="160" spans="51:52">
      <c r="AY160" s="66"/>
      <c r="AZ160" s="66"/>
    </row>
    <row r="161" spans="51:52">
      <c r="AY161" s="66"/>
      <c r="AZ161" s="66"/>
    </row>
    <row r="162" spans="51:52">
      <c r="AY162" s="66"/>
      <c r="AZ162" s="66"/>
    </row>
    <row r="163" spans="51:52">
      <c r="AY163" s="66"/>
      <c r="AZ163" s="66"/>
    </row>
    <row r="164" spans="51:52">
      <c r="AY164" s="66"/>
      <c r="AZ164" s="66"/>
    </row>
    <row r="165" spans="51:52">
      <c r="AY165" s="66"/>
      <c r="AZ165" s="66"/>
    </row>
    <row r="166" spans="51:52">
      <c r="AY166" s="66"/>
      <c r="AZ166" s="66"/>
    </row>
    <row r="167" spans="51:52">
      <c r="AY167" s="66"/>
      <c r="AZ167" s="66"/>
    </row>
    <row r="168" spans="51:52">
      <c r="AY168" s="66"/>
      <c r="AZ168" s="66"/>
    </row>
    <row r="169" spans="51:52">
      <c r="AY169" s="66"/>
      <c r="AZ169" s="66"/>
    </row>
    <row r="170" spans="51:52">
      <c r="AY170" s="66"/>
      <c r="AZ170" s="66"/>
    </row>
    <row r="171" spans="51:52">
      <c r="AY171" s="66"/>
      <c r="AZ171" s="66"/>
    </row>
    <row r="172" spans="51:52">
      <c r="AY172" s="66"/>
      <c r="AZ172" s="66"/>
    </row>
    <row r="173" spans="51:52">
      <c r="AY173" s="66"/>
      <c r="AZ173" s="66"/>
    </row>
    <row r="174" spans="51:52">
      <c r="AY174" s="66"/>
      <c r="AZ174" s="66"/>
    </row>
    <row r="175" spans="51:52">
      <c r="AY175" s="66"/>
      <c r="AZ175" s="66"/>
    </row>
    <row r="176" spans="51:52">
      <c r="AY176" s="66"/>
      <c r="AZ176" s="66"/>
    </row>
    <row r="177" spans="51:52">
      <c r="AY177" s="66"/>
      <c r="AZ177" s="66"/>
    </row>
    <row r="178" spans="51:52">
      <c r="AY178" s="66"/>
      <c r="AZ178" s="66"/>
    </row>
    <row r="179" spans="51:52">
      <c r="AY179" s="66"/>
      <c r="AZ179" s="66"/>
    </row>
    <row r="180" spans="51:52">
      <c r="AY180" s="66"/>
      <c r="AZ180" s="66"/>
    </row>
    <row r="181" spans="51:52">
      <c r="AY181" s="66"/>
      <c r="AZ181" s="66"/>
    </row>
    <row r="182" spans="51:52">
      <c r="AY182" s="66"/>
      <c r="AZ182" s="66"/>
    </row>
    <row r="183" spans="51:52">
      <c r="AY183" s="66"/>
      <c r="AZ183" s="66"/>
    </row>
    <row r="184" spans="51:52">
      <c r="AY184" s="66"/>
      <c r="AZ184" s="66"/>
    </row>
    <row r="185" spans="51:52">
      <c r="AY185" s="66"/>
      <c r="AZ185" s="66"/>
    </row>
    <row r="186" spans="51:52">
      <c r="AY186" s="66"/>
      <c r="AZ186" s="66"/>
    </row>
    <row r="187" spans="51:52">
      <c r="AY187" s="66"/>
      <c r="AZ187" s="66"/>
    </row>
    <row r="188" spans="51:52">
      <c r="AY188" s="66"/>
      <c r="AZ188" s="66"/>
    </row>
    <row r="189" spans="51:52">
      <c r="AY189" s="66"/>
      <c r="AZ189" s="66"/>
    </row>
    <row r="190" spans="51:52">
      <c r="AY190" s="66"/>
      <c r="AZ190" s="66"/>
    </row>
    <row r="191" spans="51:52">
      <c r="AY191" s="66"/>
      <c r="AZ191" s="66"/>
    </row>
    <row r="192" spans="51:52">
      <c r="AY192" s="66"/>
      <c r="AZ192" s="66"/>
    </row>
    <row r="193" spans="51:52">
      <c r="AY193" s="66"/>
      <c r="AZ193" s="66"/>
    </row>
    <row r="194" spans="51:52">
      <c r="AY194" s="66"/>
      <c r="AZ194" s="66"/>
    </row>
    <row r="195" spans="51:52">
      <c r="AY195" s="66"/>
      <c r="AZ195" s="66"/>
    </row>
    <row r="196" spans="51:52">
      <c r="AY196" s="66"/>
      <c r="AZ196" s="66"/>
    </row>
    <row r="197" spans="51:52">
      <c r="AY197" s="66"/>
      <c r="AZ197" s="66"/>
    </row>
    <row r="198" spans="51:52">
      <c r="AY198" s="66"/>
      <c r="AZ198" s="66"/>
    </row>
    <row r="199" spans="51:52">
      <c r="AY199" s="66"/>
      <c r="AZ199" s="66"/>
    </row>
    <row r="200" spans="51:52">
      <c r="AY200" s="66"/>
      <c r="AZ200" s="66"/>
    </row>
    <row r="201" spans="51:52">
      <c r="AY201" s="66"/>
      <c r="AZ201" s="66"/>
    </row>
    <row r="202" spans="51:52">
      <c r="AY202" s="66"/>
      <c r="AZ202" s="66"/>
    </row>
    <row r="203" spans="51:52">
      <c r="AY203" s="66"/>
      <c r="AZ203" s="66"/>
    </row>
    <row r="204" spans="51:52">
      <c r="AY204" s="66"/>
      <c r="AZ204" s="66"/>
    </row>
    <row r="205" spans="51:52">
      <c r="AY205" s="66"/>
      <c r="AZ205" s="66"/>
    </row>
    <row r="206" spans="51:52">
      <c r="AY206" s="66"/>
      <c r="AZ206" s="66"/>
    </row>
    <row r="207" spans="51:52">
      <c r="AY207" s="66"/>
      <c r="AZ207" s="66"/>
    </row>
    <row r="208" spans="51:52">
      <c r="AY208" s="66"/>
      <c r="AZ208" s="66"/>
    </row>
    <row r="209" spans="51:52">
      <c r="AY209" s="66"/>
      <c r="AZ209" s="66"/>
    </row>
    <row r="210" spans="51:52">
      <c r="AY210" s="66"/>
      <c r="AZ210" s="66"/>
    </row>
    <row r="211" spans="51:52">
      <c r="AY211" s="66"/>
      <c r="AZ211" s="66"/>
    </row>
    <row r="212" spans="51:52">
      <c r="AY212" s="66"/>
      <c r="AZ212" s="66"/>
    </row>
    <row r="213" spans="51:52">
      <c r="AY213" s="66"/>
      <c r="AZ213" s="66"/>
    </row>
    <row r="214" spans="51:52">
      <c r="AY214" s="66"/>
      <c r="AZ214" s="66"/>
    </row>
    <row r="215" spans="51:52">
      <c r="AY215" s="66"/>
      <c r="AZ215" s="66"/>
    </row>
    <row r="216" spans="51:52">
      <c r="AY216" s="66"/>
      <c r="AZ216" s="66"/>
    </row>
    <row r="217" spans="51:52">
      <c r="AY217" s="66"/>
      <c r="AZ217" s="66"/>
    </row>
    <row r="218" spans="51:52">
      <c r="AY218" s="66"/>
      <c r="AZ218" s="66"/>
    </row>
    <row r="219" spans="51:52">
      <c r="AY219" s="66"/>
      <c r="AZ219" s="66"/>
    </row>
    <row r="220" spans="51:52">
      <c r="AY220" s="66"/>
      <c r="AZ220" s="66"/>
    </row>
    <row r="221" spans="51:52">
      <c r="AY221" s="66"/>
      <c r="AZ221" s="66"/>
    </row>
    <row r="222" spans="51:52">
      <c r="AY222" s="66"/>
      <c r="AZ222" s="66"/>
    </row>
    <row r="223" spans="51:52">
      <c r="AY223" s="66"/>
      <c r="AZ223" s="66"/>
    </row>
    <row r="224" spans="51:52">
      <c r="AY224" s="66"/>
      <c r="AZ224" s="66"/>
    </row>
    <row r="225" spans="51:52">
      <c r="AY225" s="66"/>
      <c r="AZ225" s="66"/>
    </row>
    <row r="226" spans="51:52">
      <c r="AY226" s="66"/>
      <c r="AZ226" s="66"/>
    </row>
    <row r="227" spans="51:52">
      <c r="AY227" s="66"/>
      <c r="AZ227" s="66"/>
    </row>
    <row r="228" spans="51:52">
      <c r="AY228" s="66"/>
      <c r="AZ228" s="66"/>
    </row>
    <row r="229" spans="51:52">
      <c r="AY229" s="66"/>
      <c r="AZ229" s="66"/>
    </row>
    <row r="230" spans="51:52">
      <c r="AY230" s="66"/>
      <c r="AZ230" s="66"/>
    </row>
    <row r="231" spans="51:52">
      <c r="AY231" s="66"/>
      <c r="AZ231" s="66"/>
    </row>
    <row r="232" spans="51:52">
      <c r="AY232" s="66"/>
      <c r="AZ232" s="66"/>
    </row>
    <row r="233" spans="51:52">
      <c r="AY233" s="66"/>
      <c r="AZ233" s="66"/>
    </row>
    <row r="234" spans="51:52">
      <c r="AY234" s="66"/>
      <c r="AZ234" s="66"/>
    </row>
    <row r="235" spans="51:52">
      <c r="AY235" s="66"/>
      <c r="AZ235" s="66"/>
    </row>
    <row r="236" spans="51:52">
      <c r="AY236" s="66"/>
      <c r="AZ236" s="66"/>
    </row>
    <row r="237" spans="51:52">
      <c r="AY237" s="66"/>
      <c r="AZ237" s="66"/>
    </row>
    <row r="238" spans="51:52">
      <c r="AY238" s="66"/>
      <c r="AZ238" s="66"/>
    </row>
    <row r="239" spans="51:52">
      <c r="AY239" s="66"/>
      <c r="AZ239" s="66"/>
    </row>
    <row r="240" spans="51:52">
      <c r="AY240" s="66"/>
      <c r="AZ240" s="66"/>
    </row>
    <row r="241" spans="51:52">
      <c r="AY241" s="66"/>
      <c r="AZ241" s="66"/>
    </row>
    <row r="242" spans="51:52">
      <c r="AY242" s="66"/>
      <c r="AZ242" s="66"/>
    </row>
    <row r="243" spans="51:52">
      <c r="AY243" s="66"/>
      <c r="AZ243" s="66"/>
    </row>
    <row r="244" spans="51:52">
      <c r="AY244" s="66"/>
      <c r="AZ244" s="66"/>
    </row>
    <row r="245" spans="51:52">
      <c r="AY245" s="66"/>
      <c r="AZ245" s="66"/>
    </row>
    <row r="246" spans="51:52">
      <c r="AY246" s="66"/>
      <c r="AZ246" s="66"/>
    </row>
    <row r="247" spans="51:52">
      <c r="AY247" s="66"/>
      <c r="AZ247" s="66"/>
    </row>
    <row r="248" spans="51:52">
      <c r="AY248" s="66"/>
      <c r="AZ248" s="66"/>
    </row>
    <row r="249" spans="51:52">
      <c r="AY249" s="66"/>
      <c r="AZ249" s="66"/>
    </row>
    <row r="250" spans="51:52">
      <c r="AY250" s="66"/>
      <c r="AZ250" s="66"/>
    </row>
    <row r="251" spans="51:52">
      <c r="AY251" s="66"/>
      <c r="AZ251" s="66"/>
    </row>
    <row r="252" spans="51:52">
      <c r="AY252" s="66"/>
      <c r="AZ252" s="66"/>
    </row>
    <row r="253" spans="51:52">
      <c r="AY253" s="66"/>
      <c r="AZ253" s="66"/>
    </row>
    <row r="254" spans="51:52">
      <c r="AY254" s="66"/>
      <c r="AZ254" s="66"/>
    </row>
    <row r="255" spans="51:52">
      <c r="AY255" s="66"/>
      <c r="AZ255" s="66"/>
    </row>
    <row r="256" spans="51:52">
      <c r="AY256" s="66"/>
      <c r="AZ256" s="66"/>
    </row>
    <row r="257" spans="51:52">
      <c r="AY257" s="66"/>
      <c r="AZ257" s="66"/>
    </row>
    <row r="258" spans="51:52">
      <c r="AY258" s="66"/>
      <c r="AZ258" s="66"/>
    </row>
    <row r="259" spans="51:52">
      <c r="AY259" s="66"/>
      <c r="AZ259" s="66"/>
    </row>
    <row r="260" spans="51:52">
      <c r="AY260" s="66"/>
      <c r="AZ260" s="66"/>
    </row>
    <row r="261" spans="51:52">
      <c r="AY261" s="66"/>
      <c r="AZ261" s="66"/>
    </row>
    <row r="262" spans="51:52">
      <c r="AY262" s="66"/>
      <c r="AZ262" s="66"/>
    </row>
    <row r="263" spans="51:52">
      <c r="AY263" s="66"/>
      <c r="AZ263" s="66"/>
    </row>
    <row r="264" spans="51:52">
      <c r="AY264" s="66"/>
      <c r="AZ264" s="66"/>
    </row>
    <row r="265" spans="51:52">
      <c r="AY265" s="66"/>
      <c r="AZ265" s="66"/>
    </row>
    <row r="266" spans="51:52">
      <c r="AY266" s="66"/>
      <c r="AZ266" s="66"/>
    </row>
    <row r="267" spans="51:52">
      <c r="AY267" s="66"/>
      <c r="AZ267" s="66"/>
    </row>
    <row r="268" spans="51:52">
      <c r="AY268" s="66"/>
      <c r="AZ268" s="66"/>
    </row>
    <row r="269" spans="51:52">
      <c r="AY269" s="66"/>
      <c r="AZ269" s="66"/>
    </row>
    <row r="270" spans="51:52">
      <c r="AY270" s="66"/>
      <c r="AZ270" s="66"/>
    </row>
    <row r="271" spans="51:52">
      <c r="AY271" s="66"/>
      <c r="AZ271" s="66"/>
    </row>
    <row r="272" spans="51:52">
      <c r="AY272" s="66"/>
      <c r="AZ272" s="66"/>
    </row>
    <row r="273" spans="51:52">
      <c r="AY273" s="66"/>
      <c r="AZ273" s="66"/>
    </row>
    <row r="274" spans="51:52">
      <c r="AY274" s="66"/>
      <c r="AZ274" s="66"/>
    </row>
    <row r="275" spans="51:52">
      <c r="AY275" s="66"/>
      <c r="AZ275" s="66"/>
    </row>
    <row r="276" spans="51:52">
      <c r="AY276" s="66"/>
      <c r="AZ276" s="66"/>
    </row>
    <row r="277" spans="51:52">
      <c r="AY277" s="66"/>
      <c r="AZ277" s="66"/>
    </row>
    <row r="278" spans="51:52">
      <c r="AY278" s="66"/>
      <c r="AZ278" s="66"/>
    </row>
    <row r="279" spans="51:52">
      <c r="AY279" s="66"/>
      <c r="AZ279" s="66"/>
    </row>
    <row r="280" spans="51:52">
      <c r="AY280" s="66"/>
      <c r="AZ280" s="66"/>
    </row>
    <row r="281" spans="51:52">
      <c r="AY281" s="66"/>
      <c r="AZ281" s="66"/>
    </row>
    <row r="282" spans="51:52">
      <c r="AY282" s="66"/>
      <c r="AZ282" s="66"/>
    </row>
    <row r="283" spans="51:52">
      <c r="AY283" s="66"/>
      <c r="AZ283" s="66"/>
    </row>
    <row r="284" spans="51:52">
      <c r="AY284" s="66"/>
      <c r="AZ284" s="66"/>
    </row>
    <row r="285" spans="51:52">
      <c r="AY285" s="66"/>
      <c r="AZ285" s="66"/>
    </row>
    <row r="286" spans="51:52">
      <c r="AY286" s="66"/>
      <c r="AZ286" s="66"/>
    </row>
    <row r="287" spans="51:52">
      <c r="AY287" s="66"/>
      <c r="AZ287" s="66"/>
    </row>
    <row r="288" spans="51:52">
      <c r="AY288" s="66"/>
      <c r="AZ288" s="66"/>
    </row>
    <row r="289" spans="51:52">
      <c r="AY289" s="66"/>
      <c r="AZ289" s="66"/>
    </row>
    <row r="290" spans="51:52">
      <c r="AY290" s="66"/>
      <c r="AZ290" s="66"/>
    </row>
    <row r="291" spans="51:52">
      <c r="AY291" s="66"/>
      <c r="AZ291" s="66"/>
    </row>
    <row r="292" spans="51:52">
      <c r="AY292" s="66"/>
      <c r="AZ292" s="66"/>
    </row>
    <row r="293" spans="51:52">
      <c r="AY293" s="66"/>
      <c r="AZ293" s="66"/>
    </row>
    <row r="294" spans="51:52">
      <c r="AY294" s="66"/>
      <c r="AZ294" s="66"/>
    </row>
    <row r="295" spans="51:52">
      <c r="AY295" s="66"/>
      <c r="AZ295" s="66"/>
    </row>
    <row r="296" spans="51:52">
      <c r="AY296" s="66"/>
      <c r="AZ296" s="66"/>
    </row>
    <row r="297" spans="51:52">
      <c r="AY297" s="66"/>
      <c r="AZ297" s="66"/>
    </row>
    <row r="298" spans="51:52">
      <c r="AY298" s="66"/>
      <c r="AZ298" s="66"/>
    </row>
    <row r="299" spans="51:52">
      <c r="AY299" s="66"/>
      <c r="AZ299" s="66"/>
    </row>
    <row r="300" spans="51:52">
      <c r="AY300" s="66"/>
      <c r="AZ300" s="66"/>
    </row>
    <row r="301" spans="51:52">
      <c r="AY301" s="66"/>
      <c r="AZ301" s="66"/>
    </row>
    <row r="302" spans="51:52">
      <c r="AY302" s="66"/>
      <c r="AZ302" s="66"/>
    </row>
    <row r="303" spans="51:52">
      <c r="AY303" s="66"/>
      <c r="AZ303" s="66"/>
    </row>
    <row r="304" spans="51:52">
      <c r="AY304" s="66"/>
      <c r="AZ304" s="66"/>
    </row>
    <row r="305" spans="51:52">
      <c r="AY305" s="66"/>
      <c r="AZ305" s="66"/>
    </row>
    <row r="306" spans="51:52">
      <c r="AY306" s="66"/>
      <c r="AZ306" s="66"/>
    </row>
    <row r="307" spans="51:52">
      <c r="AY307" s="66"/>
      <c r="AZ307" s="66"/>
    </row>
    <row r="308" spans="51:52">
      <c r="AY308" s="66"/>
      <c r="AZ308" s="66"/>
    </row>
    <row r="309" spans="51:52">
      <c r="AY309" s="66"/>
      <c r="AZ309" s="66"/>
    </row>
    <row r="310" spans="51:52">
      <c r="AY310" s="66"/>
      <c r="AZ310" s="66"/>
    </row>
    <row r="311" spans="51:52">
      <c r="AY311" s="66"/>
      <c r="AZ311" s="66"/>
    </row>
    <row r="312" spans="51:52">
      <c r="AY312" s="66"/>
      <c r="AZ312" s="66"/>
    </row>
    <row r="313" spans="51:52">
      <c r="AY313" s="66"/>
      <c r="AZ313" s="66"/>
    </row>
    <row r="314" spans="51:52">
      <c r="AY314" s="66"/>
      <c r="AZ314" s="66"/>
    </row>
    <row r="315" spans="51:52">
      <c r="AY315" s="66"/>
      <c r="AZ315" s="66"/>
    </row>
    <row r="316" spans="51:52">
      <c r="AY316" s="66"/>
      <c r="AZ316" s="66"/>
    </row>
    <row r="317" spans="51:52">
      <c r="AY317" s="66"/>
      <c r="AZ317" s="66"/>
    </row>
    <row r="318" spans="51:52">
      <c r="AY318" s="66"/>
      <c r="AZ318" s="66"/>
    </row>
    <row r="319" spans="51:52">
      <c r="AY319" s="66"/>
      <c r="AZ319" s="66"/>
    </row>
    <row r="320" spans="51:52">
      <c r="AY320" s="66"/>
      <c r="AZ320" s="66"/>
    </row>
    <row r="321" spans="51:52">
      <c r="AY321" s="66"/>
      <c r="AZ321" s="66"/>
    </row>
    <row r="322" spans="51:52">
      <c r="AY322" s="66"/>
      <c r="AZ322" s="66"/>
    </row>
    <row r="323" spans="51:52">
      <c r="AY323" s="66"/>
      <c r="AZ323" s="66"/>
    </row>
    <row r="324" spans="51:52">
      <c r="AY324" s="66"/>
      <c r="AZ324" s="66"/>
    </row>
    <row r="325" spans="51:52">
      <c r="AY325" s="66"/>
      <c r="AZ325" s="66"/>
    </row>
    <row r="326" spans="51:52">
      <c r="AY326" s="66"/>
      <c r="AZ326" s="66"/>
    </row>
    <row r="327" spans="51:52">
      <c r="AY327" s="66"/>
      <c r="AZ327" s="66"/>
    </row>
    <row r="328" spans="51:52">
      <c r="AY328" s="66"/>
      <c r="AZ328" s="66"/>
    </row>
    <row r="329" spans="51:52">
      <c r="AY329" s="66"/>
      <c r="AZ329" s="66"/>
    </row>
    <row r="330" spans="51:52">
      <c r="AY330" s="66"/>
      <c r="AZ330" s="66"/>
    </row>
    <row r="331" spans="51:52">
      <c r="AY331" s="66"/>
      <c r="AZ331" s="66"/>
    </row>
    <row r="332" spans="51:52">
      <c r="AY332" s="66"/>
      <c r="AZ332" s="66"/>
    </row>
    <row r="333" spans="51:52">
      <c r="AY333" s="66"/>
      <c r="AZ333" s="66"/>
    </row>
    <row r="334" spans="51:52">
      <c r="AY334" s="66"/>
      <c r="AZ334" s="66"/>
    </row>
    <row r="335" spans="51:52">
      <c r="AY335" s="66"/>
      <c r="AZ335" s="66"/>
    </row>
    <row r="336" spans="51:52">
      <c r="AY336" s="66"/>
      <c r="AZ336" s="66"/>
    </row>
    <row r="337" spans="51:52">
      <c r="AY337" s="66"/>
      <c r="AZ337" s="66"/>
    </row>
    <row r="338" spans="51:52">
      <c r="AY338" s="66"/>
      <c r="AZ338" s="66"/>
    </row>
    <row r="339" spans="51:52">
      <c r="AY339" s="66"/>
      <c r="AZ339" s="66"/>
    </row>
    <row r="340" spans="51:52">
      <c r="AY340" s="66"/>
      <c r="AZ340" s="66"/>
    </row>
    <row r="341" spans="51:52">
      <c r="AY341" s="66"/>
      <c r="AZ341" s="66"/>
    </row>
    <row r="342" spans="51:52">
      <c r="AY342" s="66"/>
      <c r="AZ342" s="66"/>
    </row>
    <row r="343" spans="51:52">
      <c r="AY343" s="66"/>
      <c r="AZ343" s="66"/>
    </row>
    <row r="344" spans="51:52">
      <c r="AY344" s="66"/>
      <c r="AZ344" s="66"/>
    </row>
    <row r="345" spans="51:52">
      <c r="AY345" s="66"/>
      <c r="AZ345" s="66"/>
    </row>
    <row r="346" spans="51:52">
      <c r="AY346" s="66"/>
      <c r="AZ346" s="66"/>
    </row>
    <row r="347" spans="51:52">
      <c r="AY347" s="66"/>
      <c r="AZ347" s="66"/>
    </row>
    <row r="348" spans="51:52">
      <c r="AY348" s="66"/>
      <c r="AZ348" s="66"/>
    </row>
    <row r="349" spans="51:52">
      <c r="AY349" s="66"/>
      <c r="AZ349" s="66"/>
    </row>
    <row r="350" spans="51:52">
      <c r="AY350" s="66"/>
      <c r="AZ350" s="66"/>
    </row>
    <row r="351" spans="51:52">
      <c r="AY351" s="66"/>
      <c r="AZ351" s="66"/>
    </row>
    <row r="352" spans="51:52">
      <c r="AY352" s="66"/>
      <c r="AZ352" s="66"/>
    </row>
    <row r="353" spans="51:52">
      <c r="AY353" s="66"/>
      <c r="AZ353" s="66"/>
    </row>
    <row r="354" spans="51:52">
      <c r="AY354" s="66"/>
      <c r="AZ354" s="66"/>
    </row>
    <row r="355" spans="51:52">
      <c r="AY355" s="66"/>
      <c r="AZ355" s="66"/>
    </row>
    <row r="356" spans="51:52">
      <c r="AY356" s="66"/>
      <c r="AZ356" s="66"/>
    </row>
    <row r="357" spans="51:52">
      <c r="AY357" s="66"/>
      <c r="AZ357" s="66"/>
    </row>
    <row r="358" spans="51:52">
      <c r="AY358" s="66"/>
      <c r="AZ358" s="66"/>
    </row>
    <row r="359" spans="51:52">
      <c r="AY359" s="66"/>
      <c r="AZ359" s="66"/>
    </row>
    <row r="360" spans="51:52">
      <c r="AY360" s="66"/>
      <c r="AZ360" s="66"/>
    </row>
    <row r="361" spans="51:52">
      <c r="AY361" s="66"/>
      <c r="AZ361" s="66"/>
    </row>
    <row r="362" spans="51:52">
      <c r="AY362" s="66"/>
      <c r="AZ362" s="66"/>
    </row>
    <row r="363" spans="51:52">
      <c r="AY363" s="66"/>
      <c r="AZ363" s="66"/>
    </row>
    <row r="364" spans="51:52">
      <c r="AY364" s="66"/>
      <c r="AZ364" s="66"/>
    </row>
    <row r="365" spans="51:52">
      <c r="AY365" s="66"/>
      <c r="AZ365" s="66"/>
    </row>
    <row r="366" spans="51:52">
      <c r="AY366" s="66"/>
      <c r="AZ366" s="66"/>
    </row>
    <row r="367" spans="51:52">
      <c r="AY367" s="66"/>
      <c r="AZ367" s="66"/>
    </row>
    <row r="368" spans="51:52">
      <c r="AY368" s="66"/>
      <c r="AZ368" s="66"/>
    </row>
    <row r="369" spans="51:52">
      <c r="AY369" s="66"/>
      <c r="AZ369" s="66"/>
    </row>
    <row r="370" spans="51:52">
      <c r="AY370" s="66"/>
      <c r="AZ370" s="66"/>
    </row>
    <row r="371" spans="51:52">
      <c r="AY371" s="66"/>
      <c r="AZ371" s="66"/>
    </row>
  </sheetData>
  <autoFilter ref="A2:IW80">
    <filterColumn colId="46">
      <filters>
        <dateGroupItem year="2019" month="12" dateTimeGrouping="month"/>
      </filters>
    </filterColumn>
    <sortState ref="A3:IW2080">
      <sortCondition ref="C2:C2080"/>
    </sortState>
  </autoFilter>
  <mergeCells count="9">
    <mergeCell ref="AY1:AZ1"/>
    <mergeCell ref="BA1:BE1"/>
    <mergeCell ref="BF1:BI1"/>
    <mergeCell ref="BJ1:BM1"/>
    <mergeCell ref="D1:Q1"/>
    <mergeCell ref="R1:W1"/>
    <mergeCell ref="X1:AB1"/>
    <mergeCell ref="AC1:AM1"/>
    <mergeCell ref="AN1:AX1"/>
  </mergeCells>
  <phoneticPr fontId="45" type="noConversion"/>
  <dataValidations count="2">
    <dataValidation type="list" allowBlank="1" showInputMessage="1" showErrorMessage="1" sqref="Y36:Y42">
      <formula1>"大众点评,朋友圈,微信群,微博,小红书,广告牌"</formula1>
    </dataValidation>
    <dataValidation type="list" allowBlank="1" showInputMessage="1" showErrorMessage="1" sqref="AY3:AZ371">
      <formula1>"是,否"</formula1>
    </dataValidation>
  </dataValidations>
  <pageMargins left="0.69930555555555596" right="0.69930555555555596" top="0.75" bottom="0.75" header="0.3" footer="0.3"/>
  <pageSetup paperSize="9" orientation="portrait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  <pageSetUpPr fitToPage="1"/>
  </sheetPr>
  <dimension ref="A1:AN55"/>
  <sheetViews>
    <sheetView showGridLines="0" zoomScale="70" zoomScaleNormal="70" zoomScalePageLayoutView="70" workbookViewId="0">
      <selection activeCell="K2" sqref="K2"/>
    </sheetView>
  </sheetViews>
  <sheetFormatPr defaultColWidth="11" defaultRowHeight="17.25"/>
  <cols>
    <col min="1" max="1" width="13" style="5" customWidth="1"/>
    <col min="2" max="2" width="17.875" style="5" customWidth="1"/>
    <col min="3" max="3" width="1.25" style="5" customWidth="1"/>
    <col min="4" max="4" width="23.625" style="5" customWidth="1"/>
    <col min="5" max="5" width="19.25" style="5" customWidth="1"/>
    <col min="6" max="6" width="13.375" style="5" customWidth="1"/>
    <col min="7" max="7" width="10.125" style="5" customWidth="1"/>
    <col min="8" max="8" width="31.625" style="5" customWidth="1"/>
    <col min="9" max="9" width="11.875" style="5" customWidth="1"/>
    <col min="10" max="10" width="13.125" style="5" customWidth="1"/>
    <col min="11" max="11" width="24.875" style="5" customWidth="1"/>
    <col min="12" max="12" width="6.375" style="5" customWidth="1"/>
    <col min="13" max="16384" width="11" style="5"/>
  </cols>
  <sheetData>
    <row r="1" spans="1:40" ht="53.25" customHeight="1"/>
    <row r="2" spans="1:40" ht="69.95" customHeight="1">
      <c r="A2" s="6"/>
      <c r="B2" s="228" t="s">
        <v>611</v>
      </c>
      <c r="C2" s="228"/>
      <c r="D2" s="228"/>
      <c r="E2" s="228"/>
      <c r="F2" s="228"/>
      <c r="G2" s="228"/>
      <c r="H2" s="228"/>
      <c r="I2" s="35"/>
      <c r="J2" s="36" t="s">
        <v>11</v>
      </c>
      <c r="K2" s="61" t="s">
        <v>581</v>
      </c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45"/>
      <c r="AM2" s="6"/>
      <c r="AN2" s="6"/>
    </row>
    <row r="3" spans="1:40" ht="11.1" customHeight="1">
      <c r="A3" s="6"/>
      <c r="B3" s="7"/>
      <c r="C3" s="7"/>
      <c r="D3" s="7"/>
      <c r="E3" s="7"/>
      <c r="F3" s="7"/>
      <c r="G3" s="7"/>
      <c r="H3" s="7"/>
      <c r="I3" s="35"/>
      <c r="J3" s="2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45"/>
      <c r="AM3" s="6"/>
      <c r="AN3" s="6"/>
    </row>
    <row r="4" spans="1:40" s="2" customFormat="1" ht="39" customHeight="1">
      <c r="A4" s="8"/>
      <c r="B4" s="9" t="s">
        <v>12</v>
      </c>
      <c r="C4" s="9"/>
      <c r="D4" s="30" t="str">
        <f>VLOOKUP(K2,拍摄总表!C:Q,2,0)</f>
        <v>惠慧Amy（DG）</v>
      </c>
      <c r="E4" s="10" t="str">
        <f>VLOOKUP(K2,拍摄总表!C:Q,3,0)</f>
        <v>惠慧</v>
      </c>
      <c r="F4" s="9" t="s">
        <v>612</v>
      </c>
      <c r="G4" s="229">
        <f>VLOOKUP(K2,拍摄总表!C:Q,4,0)</f>
        <v>13040626829</v>
      </c>
      <c r="H4" s="229"/>
      <c r="I4" s="8"/>
      <c r="J4" s="22" t="s">
        <v>31</v>
      </c>
      <c r="K4" s="22" t="str">
        <f>VLOOKUP(K2,拍摄总表!C:AB,22,0)</f>
        <v>Carrie</v>
      </c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46"/>
      <c r="AM4" s="8"/>
      <c r="AN4" s="8"/>
    </row>
    <row r="5" spans="1:40" s="2" customFormat="1" ht="23.1" customHeight="1">
      <c r="A5" s="8"/>
      <c r="B5" s="9" t="s">
        <v>15</v>
      </c>
      <c r="C5" s="9"/>
      <c r="D5" s="11">
        <f>VLOOKUP(K2,拍摄总表!C:Q,5,0)</f>
        <v>43834.395833333299</v>
      </c>
      <c r="E5" s="12"/>
      <c r="F5" s="9" t="s">
        <v>16</v>
      </c>
      <c r="G5" s="230" t="str">
        <f>VLOOKUP(K2,拍摄总表!C:Q,6,0)</f>
        <v>Steps四袋拍摄影棚内</v>
      </c>
      <c r="H5" s="230"/>
      <c r="I5" s="8"/>
      <c r="J5" s="22" t="s">
        <v>33</v>
      </c>
      <c r="K5" s="22">
        <f>VLOOKUP(K2,拍摄总表!C:AB,24,0)</f>
        <v>0</v>
      </c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46"/>
      <c r="AM5" s="8"/>
      <c r="AN5" s="8"/>
    </row>
    <row r="6" spans="1:40" s="2" customFormat="1" ht="17.100000000000001" customHeight="1">
      <c r="A6" s="8"/>
      <c r="B6" s="14"/>
      <c r="C6" s="14"/>
      <c r="D6" s="15"/>
      <c r="E6" s="15"/>
      <c r="F6" s="14"/>
      <c r="G6" s="15"/>
      <c r="H6" s="15"/>
      <c r="I6" s="8"/>
      <c r="J6" s="3"/>
      <c r="K6" s="38"/>
      <c r="L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46"/>
      <c r="AM6" s="8"/>
      <c r="AN6" s="8"/>
    </row>
    <row r="7" spans="1:40" s="2" customFormat="1" ht="33.950000000000003" customHeight="1">
      <c r="B7" s="16" t="s">
        <v>17</v>
      </c>
      <c r="C7" s="17"/>
      <c r="D7" s="221" t="str">
        <f>VLOOKUP(K2,拍摄总表!C:Q,7,0)</f>
        <v>6980平日大全家福</v>
      </c>
      <c r="E7" s="221"/>
      <c r="F7" s="222"/>
      <c r="G7" s="222"/>
      <c r="H7" s="222"/>
      <c r="J7" s="3" t="s">
        <v>45</v>
      </c>
      <c r="K7" s="25"/>
    </row>
    <row r="8" spans="1:40" s="2" customFormat="1" ht="33.950000000000003" customHeight="1">
      <c r="B8" s="16" t="s">
        <v>18</v>
      </c>
      <c r="C8" s="17"/>
      <c r="D8" s="221" t="str">
        <f>VLOOKUP(K2,拍摄总表!C:Q,8,0)</f>
        <v>俞嘉浩（2004.08.26男生）+Yu Kawo（2010，9.25男生）+爸爸妈妈
孙文琦（2003.1.22女生）+孙可可（2014.08.26女生）+爸爸妈妈+两位长辈</v>
      </c>
      <c r="E8" s="221"/>
      <c r="F8" s="222"/>
      <c r="G8" s="222"/>
      <c r="H8" s="222"/>
      <c r="J8" s="3" t="s">
        <v>613</v>
      </c>
      <c r="K8" s="25"/>
    </row>
    <row r="9" spans="1:40" s="2" customFormat="1" ht="33.950000000000003" customHeight="1">
      <c r="B9" s="16" t="s">
        <v>19</v>
      </c>
      <c r="C9" s="17"/>
      <c r="D9" s="221" t="str">
        <f>VLOOKUP(K2,拍摄总表!C:Q,9,0)</f>
        <v>棚内2组</v>
      </c>
      <c r="E9" s="221"/>
      <c r="F9" s="222"/>
      <c r="G9" s="222"/>
      <c r="H9" s="222"/>
      <c r="J9" s="3" t="s">
        <v>47</v>
      </c>
      <c r="K9" s="25"/>
    </row>
    <row r="10" spans="1:40" s="2" customFormat="1" ht="33.950000000000003" customHeight="1">
      <c r="B10" s="16" t="s">
        <v>20</v>
      </c>
      <c r="C10" s="17"/>
      <c r="D10" s="221" t="str">
        <f>VLOOKUP(K2,拍摄总表!C:Q,10,0)</f>
        <v>3-4小时</v>
      </c>
      <c r="E10" s="221"/>
      <c r="F10" s="222"/>
      <c r="G10" s="222"/>
      <c r="H10" s="222"/>
      <c r="J10" s="3"/>
      <c r="K10" s="3"/>
    </row>
    <row r="11" spans="1:40" s="2" customFormat="1" ht="33.950000000000003" customHeight="1">
      <c r="B11" s="16" t="s">
        <v>21</v>
      </c>
      <c r="C11" s="17"/>
      <c r="D11" s="221">
        <f>VLOOKUP(K2,拍摄总表!C:Q,11,0)</f>
        <v>38</v>
      </c>
      <c r="E11" s="221"/>
      <c r="F11" s="222"/>
      <c r="G11" s="222"/>
      <c r="H11" s="222"/>
      <c r="J11" s="3"/>
      <c r="K11" s="3"/>
    </row>
    <row r="12" spans="1:40" s="2" customFormat="1" ht="33.950000000000003" customHeight="1">
      <c r="B12" s="16" t="s">
        <v>22</v>
      </c>
      <c r="C12" s="17"/>
      <c r="D12" s="221" t="str">
        <f>VLOOKUP(K2,拍摄总表!C:Q,12,0)</f>
        <v>全送</v>
      </c>
      <c r="E12" s="221"/>
      <c r="F12" s="222"/>
      <c r="G12" s="222"/>
      <c r="H12" s="222"/>
      <c r="J12" s="3"/>
      <c r="K12" s="3"/>
    </row>
    <row r="13" spans="1:40" s="2" customFormat="1" ht="33.950000000000003" customHeight="1">
      <c r="B13" s="16" t="s">
        <v>23</v>
      </c>
      <c r="C13" s="17"/>
      <c r="D13" s="221" t="str">
        <f>VLOOKUP(K2,拍摄总表!C:Q,13,0)</f>
        <v>10寸轻相册  一本 
24寸油画框 一个
10寸精致摆台 一个</v>
      </c>
      <c r="E13" s="221"/>
      <c r="F13" s="222"/>
      <c r="G13" s="222"/>
      <c r="H13" s="222"/>
      <c r="J13" s="3"/>
      <c r="K13" s="3"/>
    </row>
    <row r="14" spans="1:40" s="2" customFormat="1" ht="33.950000000000003" customHeight="1">
      <c r="B14" s="16" t="s">
        <v>24</v>
      </c>
      <c r="C14" s="17"/>
      <c r="D14" s="221" t="str">
        <f>VLOOKUP(K2,拍摄总表!C:Q,14,0)</f>
        <v>提供</v>
      </c>
      <c r="E14" s="221"/>
      <c r="F14" s="222"/>
      <c r="G14" s="222"/>
      <c r="H14" s="222"/>
      <c r="J14" s="3"/>
      <c r="K14" s="3"/>
    </row>
    <row r="15" spans="1:40" s="2" customFormat="1" ht="33.950000000000003" customHeight="1">
      <c r="B15" s="16" t="s">
        <v>25</v>
      </c>
      <c r="C15" s="17"/>
      <c r="D15" s="223" t="str">
        <f>VLOOKUP(K2,拍摄总表!C:Q,15,0)</f>
        <v>待沟通</v>
      </c>
      <c r="E15" s="223"/>
      <c r="F15" s="223"/>
      <c r="G15" s="223"/>
      <c r="H15" s="224"/>
      <c r="J15" s="3"/>
      <c r="K15" s="3"/>
    </row>
    <row r="16" spans="1:40" s="2" customFormat="1" ht="30" customHeight="1">
      <c r="B16" s="18"/>
      <c r="C16" s="19"/>
      <c r="D16" s="20"/>
      <c r="E16" s="20"/>
      <c r="F16" s="20"/>
      <c r="G16" s="20"/>
      <c r="H16" s="20"/>
      <c r="J16" s="3"/>
      <c r="K16" s="3"/>
    </row>
    <row r="17" spans="2:11" s="2" customFormat="1" ht="33.950000000000003" customHeight="1">
      <c r="B17" s="3" t="s">
        <v>614</v>
      </c>
      <c r="C17" s="3"/>
      <c r="D17" s="21">
        <f>VLOOKUP(K2,拍摄总表!C:AB,19,0)</f>
        <v>6980</v>
      </c>
      <c r="E17" s="21"/>
      <c r="F17" s="3" t="s">
        <v>615</v>
      </c>
      <c r="G17" s="21">
        <f>VLOOKUP(K2,拍摄总表!C:AB,20,0)</f>
        <v>6480</v>
      </c>
      <c r="H17" s="22" t="s">
        <v>616</v>
      </c>
      <c r="J17" s="39" t="s">
        <v>617</v>
      </c>
      <c r="K17" s="25"/>
    </row>
    <row r="18" spans="2:11" s="2" customFormat="1" ht="33.950000000000003" customHeight="1">
      <c r="B18" s="3" t="s">
        <v>9</v>
      </c>
      <c r="C18" s="3"/>
      <c r="D18" s="225" t="str">
        <f>VLOOKUP(K2,拍摄总表!C:AB,21,0)</f>
        <v>点评活动平日特惠6980</v>
      </c>
      <c r="E18" s="225"/>
      <c r="F18" s="225"/>
      <c r="G18" s="225"/>
      <c r="H18" s="225"/>
      <c r="J18" s="40"/>
      <c r="K18" s="41"/>
    </row>
    <row r="19" spans="2:11" s="2" customFormat="1" ht="18.75" customHeight="1">
      <c r="J19" s="40"/>
      <c r="K19" s="3"/>
    </row>
    <row r="20" spans="2:11" s="2" customFormat="1" ht="33.950000000000003" customHeight="1">
      <c r="B20" s="47" t="s">
        <v>618</v>
      </c>
      <c r="C20" s="48"/>
      <c r="D20" s="226" t="s">
        <v>619</v>
      </c>
      <c r="E20" s="226"/>
      <c r="F20" s="226"/>
      <c r="G20" s="226"/>
      <c r="H20" s="227"/>
      <c r="J20" s="39" t="s">
        <v>620</v>
      </c>
      <c r="K20" s="25"/>
    </row>
    <row r="21" spans="2:11" s="2" customFormat="1" ht="33.950000000000003" customHeight="1">
      <c r="B21" s="49" t="s">
        <v>621</v>
      </c>
      <c r="C21" s="50"/>
      <c r="D21" s="51" t="s">
        <v>622</v>
      </c>
      <c r="E21" s="51"/>
      <c r="F21" s="51"/>
      <c r="G21" s="51"/>
      <c r="H21" s="52"/>
      <c r="J21" s="40"/>
      <c r="K21" s="3"/>
    </row>
    <row r="22" spans="2:11" s="2" customFormat="1" ht="33.950000000000003" customHeight="1">
      <c r="B22" s="49" t="s">
        <v>623</v>
      </c>
      <c r="C22" s="50"/>
      <c r="D22" s="51" t="s">
        <v>624</v>
      </c>
      <c r="E22" s="51"/>
      <c r="F22" s="51"/>
      <c r="G22" s="51"/>
      <c r="H22" s="52"/>
      <c r="J22" s="39" t="s">
        <v>625</v>
      </c>
      <c r="K22" s="25"/>
    </row>
    <row r="23" spans="2:11" s="2" customFormat="1" ht="33.950000000000003" customHeight="1">
      <c r="B23" s="49" t="s">
        <v>626</v>
      </c>
      <c r="C23" s="50"/>
      <c r="D23" s="53" t="s">
        <v>627</v>
      </c>
      <c r="E23" s="53"/>
      <c r="F23" s="51"/>
      <c r="G23" s="51"/>
      <c r="H23" s="52"/>
      <c r="J23" s="42"/>
      <c r="K23" s="3"/>
    </row>
    <row r="24" spans="2:11" s="2" customFormat="1" ht="33.950000000000003" customHeight="1">
      <c r="B24" s="49" t="s">
        <v>628</v>
      </c>
      <c r="C24" s="50"/>
      <c r="D24" s="53" t="s">
        <v>629</v>
      </c>
      <c r="E24" s="53"/>
      <c r="F24" s="51"/>
      <c r="G24" s="51"/>
      <c r="H24" s="52"/>
      <c r="J24" s="39" t="s">
        <v>28</v>
      </c>
      <c r="K24" s="25"/>
    </row>
    <row r="25" spans="2:11" s="2" customFormat="1" ht="36.75" customHeight="1">
      <c r="B25" s="55" t="s">
        <v>630</v>
      </c>
      <c r="C25" s="62"/>
      <c r="D25" s="58" t="s">
        <v>631</v>
      </c>
      <c r="E25" s="62"/>
      <c r="F25" s="62"/>
      <c r="G25" s="62"/>
      <c r="H25" s="63"/>
    </row>
    <row r="26" spans="2:11" s="2" customFormat="1" ht="162.75" customHeight="1">
      <c r="F26" s="34" t="s">
        <v>632</v>
      </c>
      <c r="H26" s="25"/>
    </row>
    <row r="27" spans="2:11" s="2" customFormat="1"/>
    <row r="28" spans="2:11" s="2" customFormat="1" ht="14.1" customHeight="1">
      <c r="B28" s="26"/>
      <c r="C28" s="26"/>
      <c r="D28" s="26"/>
      <c r="E28" s="26"/>
      <c r="F28" s="26"/>
      <c r="G28" s="26"/>
      <c r="H28" s="26"/>
      <c r="I28" s="26"/>
      <c r="J28" s="26"/>
      <c r="K28" s="26"/>
    </row>
    <row r="29" spans="2:11" s="2" customFormat="1" ht="36" customHeight="1"/>
    <row r="30" spans="2:11" s="3" customFormat="1" ht="27.95" customHeight="1">
      <c r="B30" s="27" t="s">
        <v>633</v>
      </c>
      <c r="D30" s="25"/>
      <c r="F30" s="219" t="s">
        <v>634</v>
      </c>
      <c r="G30" s="219"/>
      <c r="H30" s="25"/>
      <c r="J30" s="43" t="s">
        <v>635</v>
      </c>
      <c r="K30" s="25"/>
    </row>
    <row r="31" spans="2:11" s="3" customFormat="1" ht="27.95" customHeight="1">
      <c r="B31" s="29"/>
    </row>
    <row r="32" spans="2:11" s="3" customFormat="1" ht="27.95" customHeight="1">
      <c r="B32" s="30" t="s">
        <v>21</v>
      </c>
      <c r="D32" s="218" t="s">
        <v>636</v>
      </c>
      <c r="E32" s="218"/>
      <c r="F32" s="219" t="s">
        <v>637</v>
      </c>
      <c r="G32" s="219"/>
      <c r="H32" s="31" t="s">
        <v>638</v>
      </c>
      <c r="K32" s="25"/>
    </row>
    <row r="33" spans="2:15" s="4" customFormat="1" ht="27.95" customHeight="1">
      <c r="B33" s="30"/>
      <c r="C33" s="32"/>
      <c r="K33" s="3"/>
      <c r="O33" s="4" t="s">
        <v>639</v>
      </c>
    </row>
    <row r="34" spans="2:15" s="4" customFormat="1" ht="27.95" customHeight="1">
      <c r="B34" s="30" t="s">
        <v>23</v>
      </c>
      <c r="D34" s="220" t="s">
        <v>640</v>
      </c>
      <c r="E34" s="220"/>
      <c r="F34" s="220"/>
      <c r="G34" s="220"/>
      <c r="H34" s="220"/>
      <c r="K34" s="25"/>
    </row>
    <row r="35" spans="2:15" s="4" customFormat="1" ht="27.95" customHeight="1">
      <c r="B35" s="27"/>
      <c r="J35" s="44"/>
    </row>
    <row r="36" spans="2:15" s="4" customFormat="1" ht="27.95" customHeight="1">
      <c r="B36" s="30" t="s">
        <v>641</v>
      </c>
      <c r="D36" s="218"/>
      <c r="E36" s="218"/>
      <c r="F36" s="218"/>
      <c r="G36" s="218"/>
      <c r="H36" s="218"/>
      <c r="J36" s="44" t="s">
        <v>625</v>
      </c>
      <c r="K36" s="25"/>
    </row>
    <row r="37" spans="2:15" s="4" customFormat="1" ht="27.95" customHeight="1">
      <c r="J37" s="44"/>
    </row>
    <row r="38" spans="2:15" s="4" customFormat="1" ht="27.95" customHeight="1">
      <c r="D38" s="218"/>
      <c r="E38" s="218"/>
      <c r="F38" s="218"/>
      <c r="G38" s="218"/>
      <c r="H38" s="218"/>
      <c r="J38" s="44" t="s">
        <v>28</v>
      </c>
      <c r="K38" s="25"/>
    </row>
    <row r="39" spans="2:15" s="4" customFormat="1" ht="27.95" customHeight="1">
      <c r="B39" s="33" t="s">
        <v>642</v>
      </c>
      <c r="D39" s="33" t="s">
        <v>643</v>
      </c>
      <c r="E39" s="33"/>
    </row>
    <row r="40" spans="2:15" s="2" customFormat="1" ht="128.1" customHeight="1">
      <c r="F40" s="34" t="s">
        <v>632</v>
      </c>
      <c r="H40" s="25"/>
    </row>
    <row r="41" spans="2:15" s="4" customFormat="1" ht="27.95" customHeight="1"/>
    <row r="42" spans="2:15" s="4" customFormat="1" ht="27.95" customHeight="1"/>
    <row r="43" spans="2:15" s="4" customFormat="1" ht="27.95" customHeight="1"/>
    <row r="44" spans="2:15" s="4" customFormat="1" ht="27.95" customHeight="1"/>
    <row r="45" spans="2:15" s="4" customFormat="1" ht="27.95" customHeight="1"/>
    <row r="46" spans="2:15" s="4" customFormat="1" ht="27.95" customHeight="1"/>
    <row r="47" spans="2:15" s="4" customFormat="1" ht="27.95" customHeight="1"/>
    <row r="48" spans="2:15" s="4" customFormat="1" ht="27.95" customHeight="1"/>
    <row r="49" s="4" customFormat="1" ht="27.95" customHeight="1"/>
    <row r="50" s="4" customFormat="1" ht="27.95" customHeight="1"/>
    <row r="51" s="4" customFormat="1" ht="27.95" customHeight="1"/>
    <row r="52" s="4" customFormat="1" ht="27.95" customHeight="1"/>
    <row r="53" s="4" customFormat="1" ht="27.95" customHeight="1"/>
    <row r="54" s="4" customFormat="1" ht="27.95" customHeight="1"/>
    <row r="55" s="4" customFormat="1" ht="27.95" customHeight="1"/>
  </sheetData>
  <mergeCells count="20">
    <mergeCell ref="B2:H2"/>
    <mergeCell ref="G4:H4"/>
    <mergeCell ref="G5:H5"/>
    <mergeCell ref="D7:H7"/>
    <mergeCell ref="D8:H8"/>
    <mergeCell ref="D9:H9"/>
    <mergeCell ref="D10:H10"/>
    <mergeCell ref="D11:H11"/>
    <mergeCell ref="D12:H12"/>
    <mergeCell ref="D13:H13"/>
    <mergeCell ref="D14:H14"/>
    <mergeCell ref="D15:H15"/>
    <mergeCell ref="D18:H18"/>
    <mergeCell ref="D20:H20"/>
    <mergeCell ref="F30:G30"/>
    <mergeCell ref="D32:E32"/>
    <mergeCell ref="F32:G32"/>
    <mergeCell ref="D34:H34"/>
    <mergeCell ref="D36:H36"/>
    <mergeCell ref="D38:H38"/>
  </mergeCells>
  <phoneticPr fontId="45" type="noConversion"/>
  <pageMargins left="0.24791666666666701" right="0.24791666666666701" top="0.35763888888888901" bottom="0.75138888888888899" header="0.297916666666667" footer="0.297916666666667"/>
  <pageSetup paperSize="9" scale="49" fitToHeight="0" orientation="portrait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39988402966399123"/>
  </sheetPr>
  <dimension ref="A1:AN56"/>
  <sheetViews>
    <sheetView showGridLines="0" workbookViewId="0">
      <selection activeCell="K2" sqref="K2"/>
    </sheetView>
  </sheetViews>
  <sheetFormatPr defaultColWidth="11" defaultRowHeight="17.25"/>
  <cols>
    <col min="1" max="1" width="12.875" style="5" customWidth="1"/>
    <col min="2" max="2" width="17.375" style="5" customWidth="1"/>
    <col min="3" max="3" width="1.25" style="5" customWidth="1"/>
    <col min="4" max="4" width="25.25" style="5" customWidth="1"/>
    <col min="5" max="5" width="23" style="5" customWidth="1"/>
    <col min="6" max="6" width="12.625" style="5" customWidth="1"/>
    <col min="7" max="7" width="9.375" style="5" customWidth="1"/>
    <col min="8" max="8" width="31.625" style="5" customWidth="1"/>
    <col min="9" max="9" width="16.75" style="5" customWidth="1"/>
    <col min="10" max="10" width="13.125" style="5" customWidth="1"/>
    <col min="11" max="11" width="24.875" style="5" customWidth="1"/>
    <col min="12" max="12" width="6.375" style="5" customWidth="1"/>
    <col min="13" max="16384" width="11" style="5"/>
  </cols>
  <sheetData>
    <row r="1" spans="1:40" ht="87" customHeight="1"/>
    <row r="2" spans="1:40" ht="69.95" customHeight="1">
      <c r="A2" s="6"/>
      <c r="B2" s="228" t="s">
        <v>611</v>
      </c>
      <c r="C2" s="228"/>
      <c r="D2" s="228"/>
      <c r="E2" s="228"/>
      <c r="F2" s="228"/>
      <c r="G2" s="228"/>
      <c r="H2" s="228"/>
      <c r="I2" s="35"/>
      <c r="J2" s="36" t="s">
        <v>11</v>
      </c>
      <c r="K2" s="61" t="s">
        <v>298</v>
      </c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45"/>
      <c r="AM2" s="6"/>
      <c r="AN2" s="6"/>
    </row>
    <row r="3" spans="1:40" ht="11.1" customHeight="1">
      <c r="A3" s="6"/>
      <c r="B3" s="7"/>
      <c r="C3" s="7"/>
      <c r="D3" s="7"/>
      <c r="E3" s="7"/>
      <c r="F3" s="7"/>
      <c r="G3" s="7"/>
      <c r="H3" s="7"/>
      <c r="I3" s="35"/>
      <c r="J3" s="2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45"/>
      <c r="AM3" s="6"/>
      <c r="AN3" s="6"/>
    </row>
    <row r="4" spans="1:40" s="2" customFormat="1" ht="39" customHeight="1">
      <c r="A4" s="8"/>
      <c r="B4" s="9" t="s">
        <v>12</v>
      </c>
      <c r="C4" s="9"/>
      <c r="D4" s="10" t="str">
        <f>VLOOKUP(K2,拍摄总表!C:Q,2,0)</f>
        <v>nicongai</v>
      </c>
      <c r="E4" s="10" t="str">
        <f>VLOOKUP(K2,拍摄总表!C:Q,3,0)</f>
        <v>倪雯娇</v>
      </c>
      <c r="F4" s="9" t="s">
        <v>612</v>
      </c>
      <c r="G4" s="229">
        <f>VLOOKUP(K2,拍摄总表!C:Q,4,0)</f>
        <v>13918852376</v>
      </c>
      <c r="H4" s="229"/>
      <c r="I4" s="8"/>
      <c r="J4" s="22" t="s">
        <v>31</v>
      </c>
      <c r="K4" s="22" t="str">
        <f>VLOOKUP(K2,拍摄总表!C:AB,22,0)</f>
        <v>点评</v>
      </c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46"/>
      <c r="AM4" s="8"/>
      <c r="AN4" s="8"/>
    </row>
    <row r="5" spans="1:40" s="2" customFormat="1" ht="23.1" customHeight="1">
      <c r="A5" s="8"/>
      <c r="B5" s="9" t="s">
        <v>15</v>
      </c>
      <c r="C5" s="9"/>
      <c r="D5" s="11">
        <f>VLOOKUP(K2,拍摄总表!C:Q,5,0)</f>
        <v>43828.5625</v>
      </c>
      <c r="E5" s="12"/>
      <c r="F5" s="9" t="s">
        <v>16</v>
      </c>
      <c r="G5" s="230" t="str">
        <f>VLOOKUP(K2,拍摄总表!C:Q,6,0)</f>
        <v>Steps四袋拍摄影棚内</v>
      </c>
      <c r="H5" s="230"/>
      <c r="I5" s="8"/>
      <c r="J5" s="22" t="s">
        <v>33</v>
      </c>
      <c r="K5" s="22">
        <f>VLOOKUP(K2,拍摄总表!C:AB,24,0)</f>
        <v>0</v>
      </c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46"/>
      <c r="AM5" s="8"/>
      <c r="AN5" s="8"/>
    </row>
    <row r="6" spans="1:40" s="2" customFormat="1" ht="17.100000000000001" customHeight="1">
      <c r="A6" s="8"/>
      <c r="B6" s="14"/>
      <c r="C6" s="14"/>
      <c r="D6" s="15"/>
      <c r="E6" s="15"/>
      <c r="F6" s="14"/>
      <c r="G6" s="15"/>
      <c r="H6" s="15"/>
      <c r="I6" s="8"/>
      <c r="J6" s="3"/>
      <c r="K6" s="38"/>
      <c r="L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46"/>
      <c r="AM6" s="8"/>
      <c r="AN6" s="8"/>
    </row>
    <row r="7" spans="1:40" s="2" customFormat="1" ht="33.950000000000003" customHeight="1">
      <c r="B7" s="16" t="s">
        <v>17</v>
      </c>
      <c r="C7" s="17"/>
      <c r="D7" s="221" t="str">
        <f>VLOOKUP(K2,拍摄总表!C:Q,7,0)</f>
        <v>880哺乳照</v>
      </c>
      <c r="E7" s="221"/>
      <c r="F7" s="222"/>
      <c r="G7" s="222"/>
      <c r="H7" s="222"/>
      <c r="J7" s="3" t="s">
        <v>45</v>
      </c>
      <c r="K7" s="25"/>
    </row>
    <row r="8" spans="1:40" s="2" customFormat="1" ht="33.950000000000003" customHeight="1">
      <c r="B8" s="16" t="s">
        <v>18</v>
      </c>
      <c r="C8" s="17"/>
      <c r="D8" s="221" t="str">
        <f>VLOOKUP(K2,拍摄总表!C:Q,8,0)</f>
        <v>一克拉（2019.4月女孩）+妈妈</v>
      </c>
      <c r="E8" s="221"/>
      <c r="F8" s="222"/>
      <c r="G8" s="222"/>
      <c r="H8" s="222"/>
      <c r="J8" s="3" t="s">
        <v>613</v>
      </c>
      <c r="K8" s="25"/>
    </row>
    <row r="9" spans="1:40" s="2" customFormat="1" ht="33.950000000000003" customHeight="1">
      <c r="B9" s="16" t="s">
        <v>19</v>
      </c>
      <c r="C9" s="17"/>
      <c r="D9" s="221" t="str">
        <f>VLOOKUP(K2,拍摄总表!C:Q,9,0)</f>
        <v>棚内1套</v>
      </c>
      <c r="E9" s="221"/>
      <c r="F9" s="222"/>
      <c r="G9" s="222"/>
      <c r="H9" s="222"/>
      <c r="J9" s="3" t="s">
        <v>47</v>
      </c>
      <c r="K9" s="25"/>
    </row>
    <row r="10" spans="1:40" s="2" customFormat="1" ht="33.950000000000003" customHeight="1">
      <c r="B10" s="16" t="s">
        <v>20</v>
      </c>
      <c r="C10" s="17"/>
      <c r="D10" s="221" t="str">
        <f>VLOOKUP(K2,拍摄总表!C:Q,10,0)</f>
        <v>1-2小时左右</v>
      </c>
      <c r="E10" s="221"/>
      <c r="F10" s="222"/>
      <c r="G10" s="222"/>
      <c r="H10" s="222"/>
      <c r="J10" s="3"/>
      <c r="K10" s="3"/>
    </row>
    <row r="11" spans="1:40" s="2" customFormat="1" ht="33.950000000000003" customHeight="1">
      <c r="B11" s="16" t="s">
        <v>21</v>
      </c>
      <c r="C11" s="17"/>
      <c r="D11" s="221">
        <f>VLOOKUP(K2,拍摄总表!C:Q,11,0)</f>
        <v>1</v>
      </c>
      <c r="E11" s="221"/>
      <c r="F11" s="222"/>
      <c r="G11" s="222"/>
      <c r="H11" s="222"/>
      <c r="J11" s="3"/>
      <c r="K11" s="3"/>
    </row>
    <row r="12" spans="1:40" s="2" customFormat="1" ht="33.950000000000003" customHeight="1">
      <c r="B12" s="16" t="s">
        <v>22</v>
      </c>
      <c r="C12" s="17"/>
      <c r="D12" s="221" t="str">
        <f>VLOOKUP(K2,拍摄总表!C:Q,12,0)</f>
        <v>无</v>
      </c>
      <c r="E12" s="221"/>
      <c r="F12" s="222"/>
      <c r="G12" s="222"/>
      <c r="H12" s="222"/>
      <c r="J12" s="3"/>
      <c r="K12" s="3"/>
    </row>
    <row r="13" spans="1:40" s="2" customFormat="1" ht="33.950000000000003" customHeight="1">
      <c r="B13" s="16" t="s">
        <v>23</v>
      </c>
      <c r="C13" s="17"/>
      <c r="D13" s="221" t="str">
        <f>VLOOKUP(K2,拍摄总表!C:Q,13,0)</f>
        <v>无</v>
      </c>
      <c r="E13" s="221"/>
      <c r="F13" s="222"/>
      <c r="G13" s="222"/>
      <c r="H13" s="222"/>
      <c r="J13" s="3"/>
      <c r="K13" s="3"/>
    </row>
    <row r="14" spans="1:40" s="2" customFormat="1" ht="33.950000000000003" customHeight="1">
      <c r="B14" s="16" t="s">
        <v>24</v>
      </c>
      <c r="C14" s="17"/>
      <c r="D14" s="221" t="str">
        <f>VLOOKUP(K2,拍摄总表!C:Q,14,0)</f>
        <v>提供</v>
      </c>
      <c r="E14" s="221"/>
      <c r="F14" s="222"/>
      <c r="G14" s="222"/>
      <c r="H14" s="222"/>
      <c r="J14" s="3"/>
      <c r="K14" s="3"/>
    </row>
    <row r="15" spans="1:40" s="2" customFormat="1" ht="33.950000000000003" customHeight="1">
      <c r="B15" s="16" t="s">
        <v>25</v>
      </c>
      <c r="C15" s="17"/>
      <c r="D15" s="223" t="str">
        <f>VLOOKUP(K2,拍摄总表!C:Q,15,0)</f>
        <v>待沟通</v>
      </c>
      <c r="E15" s="223"/>
      <c r="F15" s="223"/>
      <c r="G15" s="223"/>
      <c r="H15" s="224"/>
      <c r="J15" s="3"/>
      <c r="K15" s="3"/>
    </row>
    <row r="16" spans="1:40" s="2" customFormat="1" ht="18" customHeight="1">
      <c r="B16" s="18"/>
      <c r="C16" s="19"/>
      <c r="D16" s="20"/>
      <c r="E16" s="20"/>
      <c r="F16" s="20"/>
      <c r="G16" s="20"/>
      <c r="H16" s="20"/>
      <c r="J16" s="3"/>
      <c r="K16" s="3"/>
    </row>
    <row r="17" spans="2:11" s="2" customFormat="1" ht="33.950000000000003" customHeight="1">
      <c r="B17" s="3" t="s">
        <v>614</v>
      </c>
      <c r="C17" s="3"/>
      <c r="D17" s="21">
        <f>VLOOKUP(K2,拍摄总表!C:AB,19,0)</f>
        <v>880</v>
      </c>
      <c r="E17" s="21"/>
      <c r="F17" s="3" t="s">
        <v>615</v>
      </c>
      <c r="G17" s="21">
        <f>VLOOKUP(K2,拍摄总表!C:AB,20,0)</f>
        <v>380</v>
      </c>
      <c r="H17" s="22" t="s">
        <v>616</v>
      </c>
      <c r="J17" s="39" t="s">
        <v>617</v>
      </c>
      <c r="K17" s="25"/>
    </row>
    <row r="18" spans="2:11" s="2" customFormat="1" ht="33.950000000000003" customHeight="1">
      <c r="B18" s="3" t="s">
        <v>9</v>
      </c>
      <c r="C18" s="3"/>
      <c r="D18" s="225" t="str">
        <f>VLOOKUP(K2,拍摄总表!C:AB,21,0)</f>
        <v>先约880，拍摄完确定要不要更换套餐。</v>
      </c>
      <c r="E18" s="225"/>
      <c r="F18" s="225"/>
      <c r="G18" s="225"/>
      <c r="H18" s="225"/>
      <c r="J18" s="40"/>
      <c r="K18" s="41"/>
    </row>
    <row r="19" spans="2:11" s="2" customFormat="1" ht="18" customHeight="1">
      <c r="J19" s="40"/>
      <c r="K19" s="3"/>
    </row>
    <row r="20" spans="2:11" s="2" customFormat="1" ht="33.950000000000003" customHeight="1">
      <c r="B20" s="47" t="s">
        <v>618</v>
      </c>
      <c r="C20" s="48"/>
      <c r="D20" s="226" t="s">
        <v>644</v>
      </c>
      <c r="E20" s="226"/>
      <c r="F20" s="226"/>
      <c r="G20" s="226"/>
      <c r="H20" s="227"/>
      <c r="J20" s="39" t="s">
        <v>620</v>
      </c>
      <c r="K20" s="25"/>
    </row>
    <row r="21" spans="2:11" s="2" customFormat="1" ht="33.950000000000003" customHeight="1">
      <c r="B21" s="49" t="s">
        <v>621</v>
      </c>
      <c r="C21" s="50"/>
      <c r="D21" s="51" t="s">
        <v>645</v>
      </c>
      <c r="E21" s="51"/>
      <c r="F21" s="51"/>
      <c r="G21" s="51"/>
      <c r="H21" s="52"/>
      <c r="J21" s="40"/>
      <c r="K21" s="3"/>
    </row>
    <row r="22" spans="2:11" s="2" customFormat="1" ht="33.950000000000003" customHeight="1">
      <c r="B22" s="49" t="s">
        <v>623</v>
      </c>
      <c r="C22" s="50"/>
      <c r="D22" s="51" t="s">
        <v>646</v>
      </c>
      <c r="E22" s="51"/>
      <c r="F22" s="51"/>
      <c r="G22" s="51"/>
      <c r="H22" s="52"/>
      <c r="J22" s="39" t="s">
        <v>625</v>
      </c>
      <c r="K22" s="25"/>
    </row>
    <row r="23" spans="2:11" s="2" customFormat="1" ht="33.950000000000003" customHeight="1">
      <c r="B23" s="49" t="s">
        <v>626</v>
      </c>
      <c r="C23" s="50"/>
      <c r="D23" s="53" t="s">
        <v>647</v>
      </c>
      <c r="E23" s="53"/>
      <c r="F23" s="51"/>
      <c r="G23" s="51"/>
      <c r="H23" s="52"/>
      <c r="J23" s="42"/>
      <c r="K23" s="3"/>
    </row>
    <row r="24" spans="2:11" s="2" customFormat="1" ht="33.950000000000003" customHeight="1">
      <c r="B24" s="49" t="s">
        <v>628</v>
      </c>
      <c r="C24" s="50"/>
      <c r="D24" s="53" t="s">
        <v>629</v>
      </c>
      <c r="E24" s="53"/>
      <c r="F24" s="51"/>
      <c r="G24" s="51"/>
      <c r="H24" s="52"/>
      <c r="J24" s="39" t="s">
        <v>28</v>
      </c>
      <c r="K24" s="25"/>
    </row>
    <row r="25" spans="2:11" s="2" customFormat="1" ht="33.950000000000003" customHeight="1">
      <c r="B25" s="55" t="s">
        <v>630</v>
      </c>
      <c r="C25" s="56"/>
      <c r="D25" s="58" t="s">
        <v>648</v>
      </c>
      <c r="E25" s="58"/>
      <c r="F25" s="59"/>
      <c r="G25" s="59"/>
      <c r="H25" s="60"/>
      <c r="J25" s="39"/>
      <c r="K25" s="3"/>
    </row>
    <row r="26" spans="2:11" s="2" customFormat="1" ht="84.95" customHeight="1"/>
    <row r="27" spans="2:11" s="2" customFormat="1" ht="84.95" customHeight="1">
      <c r="F27" s="34" t="s">
        <v>632</v>
      </c>
      <c r="H27" s="25"/>
    </row>
    <row r="28" spans="2:11" s="2" customFormat="1"/>
    <row r="29" spans="2:11" s="2" customFormat="1" ht="9" customHeight="1">
      <c r="B29" s="26"/>
      <c r="C29" s="26"/>
      <c r="D29" s="26"/>
      <c r="E29" s="26"/>
      <c r="F29" s="26"/>
      <c r="G29" s="26"/>
      <c r="H29" s="26"/>
      <c r="I29" s="26"/>
      <c r="J29" s="26"/>
      <c r="K29" s="26"/>
    </row>
    <row r="30" spans="2:11" s="2" customFormat="1" ht="24.95" customHeight="1"/>
    <row r="31" spans="2:11" s="3" customFormat="1" ht="27.95" customHeight="1">
      <c r="B31" s="27" t="s">
        <v>633</v>
      </c>
      <c r="D31" s="25"/>
      <c r="F31" s="219" t="s">
        <v>634</v>
      </c>
      <c r="G31" s="219"/>
      <c r="H31" s="25"/>
      <c r="J31" s="43" t="s">
        <v>635</v>
      </c>
      <c r="K31" s="25"/>
    </row>
    <row r="32" spans="2:11" s="3" customFormat="1" ht="27.95" customHeight="1">
      <c r="B32" s="29"/>
      <c r="F32" s="28"/>
      <c r="G32" s="28"/>
    </row>
    <row r="33" spans="2:15" s="3" customFormat="1" ht="27.95" customHeight="1">
      <c r="B33" s="30" t="s">
        <v>21</v>
      </c>
      <c r="D33" s="218" t="s">
        <v>636</v>
      </c>
      <c r="E33" s="218"/>
      <c r="F33" s="219" t="s">
        <v>637</v>
      </c>
      <c r="G33" s="219"/>
      <c r="H33" s="31" t="s">
        <v>638</v>
      </c>
      <c r="K33" s="25"/>
    </row>
    <row r="34" spans="2:15" s="4" customFormat="1" ht="27.95" customHeight="1">
      <c r="B34" s="30"/>
      <c r="C34" s="32"/>
      <c r="K34" s="3"/>
      <c r="O34" s="4" t="s">
        <v>639</v>
      </c>
    </row>
    <row r="35" spans="2:15" s="4" customFormat="1" ht="27.95" customHeight="1">
      <c r="B35" s="30" t="s">
        <v>23</v>
      </c>
      <c r="D35" s="220" t="s">
        <v>640</v>
      </c>
      <c r="E35" s="220"/>
      <c r="F35" s="220"/>
      <c r="G35" s="220"/>
      <c r="H35" s="220"/>
      <c r="K35" s="25"/>
    </row>
    <row r="36" spans="2:15" s="4" customFormat="1" ht="27.95" customHeight="1">
      <c r="B36" s="27"/>
      <c r="J36" s="44"/>
    </row>
    <row r="37" spans="2:15" s="4" customFormat="1" ht="27.95" customHeight="1">
      <c r="B37" s="30" t="s">
        <v>641</v>
      </c>
      <c r="D37" s="218"/>
      <c r="E37" s="218"/>
      <c r="F37" s="218"/>
      <c r="G37" s="218"/>
      <c r="H37" s="218"/>
      <c r="J37" s="44" t="s">
        <v>625</v>
      </c>
      <c r="K37" s="25"/>
    </row>
    <row r="38" spans="2:15" s="4" customFormat="1" ht="27.95" customHeight="1">
      <c r="J38" s="44"/>
    </row>
    <row r="39" spans="2:15" s="4" customFormat="1" ht="27.95" customHeight="1">
      <c r="D39" s="218"/>
      <c r="E39" s="218"/>
      <c r="F39" s="218"/>
      <c r="G39" s="218"/>
      <c r="H39" s="218"/>
      <c r="J39" s="44" t="s">
        <v>28</v>
      </c>
      <c r="K39" s="25"/>
    </row>
    <row r="40" spans="2:15" s="4" customFormat="1" ht="27.95" customHeight="1">
      <c r="B40" s="33" t="s">
        <v>642</v>
      </c>
      <c r="D40" s="33" t="s">
        <v>643</v>
      </c>
      <c r="E40" s="33"/>
    </row>
    <row r="41" spans="2:15" s="2" customFormat="1" ht="128.1" customHeight="1">
      <c r="F41" s="34" t="s">
        <v>632</v>
      </c>
      <c r="H41" s="25"/>
    </row>
    <row r="42" spans="2:15" s="4" customFormat="1" ht="27.95" customHeight="1"/>
    <row r="43" spans="2:15" s="4" customFormat="1" ht="27.95" customHeight="1"/>
    <row r="44" spans="2:15" s="4" customFormat="1" ht="27.95" customHeight="1"/>
    <row r="45" spans="2:15" s="4" customFormat="1" ht="27.95" customHeight="1"/>
    <row r="46" spans="2:15" s="4" customFormat="1" ht="27.95" customHeight="1"/>
    <row r="47" spans="2:15" s="4" customFormat="1" ht="27.95" customHeight="1"/>
    <row r="48" spans="2:15" s="4" customFormat="1" ht="27.95" customHeight="1"/>
    <row r="49" s="4" customFormat="1" ht="27.95" customHeight="1"/>
    <row r="50" s="4" customFormat="1" ht="27.95" customHeight="1"/>
    <row r="51" s="4" customFormat="1" ht="27.95" customHeight="1"/>
    <row r="52" s="4" customFormat="1" ht="27.95" customHeight="1"/>
    <row r="53" s="4" customFormat="1" ht="27.95" customHeight="1"/>
    <row r="54" s="4" customFormat="1" ht="27.95" customHeight="1"/>
    <row r="55" s="4" customFormat="1" ht="27.95" customHeight="1"/>
    <row r="56" s="4" customFormat="1" ht="27.95" customHeight="1"/>
  </sheetData>
  <mergeCells count="20">
    <mergeCell ref="B2:H2"/>
    <mergeCell ref="G4:H4"/>
    <mergeCell ref="G5:H5"/>
    <mergeCell ref="D7:H7"/>
    <mergeCell ref="D8:H8"/>
    <mergeCell ref="D9:H9"/>
    <mergeCell ref="D10:H10"/>
    <mergeCell ref="D11:H11"/>
    <mergeCell ref="D12:H12"/>
    <mergeCell ref="D13:H13"/>
    <mergeCell ref="D14:H14"/>
    <mergeCell ref="D15:H15"/>
    <mergeCell ref="D18:H18"/>
    <mergeCell ref="D20:H20"/>
    <mergeCell ref="F31:G31"/>
    <mergeCell ref="D33:E33"/>
    <mergeCell ref="F33:G33"/>
    <mergeCell ref="D35:H35"/>
    <mergeCell ref="D37:H37"/>
    <mergeCell ref="D39:H39"/>
  </mergeCells>
  <phoneticPr fontId="45" type="noConversion"/>
  <pageMargins left="0.25" right="0.25" top="0.75" bottom="0.75" header="0.3" footer="0.3"/>
  <pageSetup paperSize="9" scale="47" orientation="portrait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-0.249977111117893"/>
  </sheetPr>
  <dimension ref="A1:AN56"/>
  <sheetViews>
    <sheetView showGridLines="0" workbookViewId="0">
      <selection activeCell="K2" sqref="K2"/>
    </sheetView>
  </sheetViews>
  <sheetFormatPr defaultColWidth="11" defaultRowHeight="17.25"/>
  <cols>
    <col min="1" max="1" width="11.625" style="5" customWidth="1"/>
    <col min="2" max="2" width="18.75" style="5" customWidth="1"/>
    <col min="3" max="3" width="1.25" style="5" customWidth="1"/>
    <col min="4" max="4" width="25.25" style="5" customWidth="1"/>
    <col min="5" max="5" width="20.875" style="5" customWidth="1"/>
    <col min="6" max="6" width="12.625" style="5" customWidth="1"/>
    <col min="7" max="7" width="10.75" style="5" customWidth="1"/>
    <col min="8" max="8" width="31.625" style="5" customWidth="1"/>
    <col min="9" max="9" width="14" style="5" customWidth="1"/>
    <col min="10" max="10" width="13.125" style="5" customWidth="1"/>
    <col min="11" max="11" width="24.875" style="5" customWidth="1"/>
    <col min="12" max="12" width="6.375" style="5" customWidth="1"/>
    <col min="13" max="16384" width="11" style="5"/>
  </cols>
  <sheetData>
    <row r="1" spans="1:40" ht="116.25" customHeight="1"/>
    <row r="2" spans="1:40" ht="69.95" customHeight="1">
      <c r="A2" s="6"/>
      <c r="B2" s="231" t="s">
        <v>611</v>
      </c>
      <c r="C2" s="231"/>
      <c r="D2" s="231"/>
      <c r="E2" s="231"/>
      <c r="F2" s="231"/>
      <c r="G2" s="231"/>
      <c r="H2" s="231"/>
      <c r="I2" s="35"/>
      <c r="J2" s="36" t="s">
        <v>11</v>
      </c>
      <c r="K2" s="61" t="s">
        <v>554</v>
      </c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45"/>
      <c r="AM2" s="6"/>
      <c r="AN2" s="6"/>
    </row>
    <row r="3" spans="1:40" ht="11.1" customHeight="1">
      <c r="A3" s="6"/>
      <c r="B3" s="7"/>
      <c r="C3" s="7"/>
      <c r="D3" s="7"/>
      <c r="E3" s="7"/>
      <c r="F3" s="7"/>
      <c r="G3" s="7"/>
      <c r="H3" s="7"/>
      <c r="I3" s="35"/>
      <c r="J3" s="2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45"/>
      <c r="AM3" s="6"/>
      <c r="AN3" s="6"/>
    </row>
    <row r="4" spans="1:40" s="2" customFormat="1" ht="39" customHeight="1">
      <c r="A4" s="8"/>
      <c r="B4" s="9" t="s">
        <v>12</v>
      </c>
      <c r="C4" s="9"/>
      <c r="D4" s="10" t="str">
        <f>VLOOKUP(K2,拍摄总表!C:Q,2,0)</f>
        <v>雷蒙德</v>
      </c>
      <c r="E4" s="10" t="str">
        <f>VLOOKUP(K2,拍摄总表!C:Q,3,0)</f>
        <v>李衡</v>
      </c>
      <c r="F4" s="9" t="s">
        <v>612</v>
      </c>
      <c r="G4" s="229">
        <f>VLOOKUP(K2,拍摄总表!C:Q,4,0)</f>
        <v>18621507331</v>
      </c>
      <c r="H4" s="229"/>
      <c r="I4" s="8"/>
      <c r="J4" s="22" t="s">
        <v>31</v>
      </c>
      <c r="K4" s="22" t="str">
        <f>VLOOKUP(K2,拍摄总表!C:AB,22,0)</f>
        <v>保时捷</v>
      </c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46"/>
      <c r="AM4" s="8"/>
      <c r="AN4" s="8"/>
    </row>
    <row r="5" spans="1:40" s="2" customFormat="1" ht="23.1" customHeight="1">
      <c r="A5" s="8"/>
      <c r="B5" s="9" t="s">
        <v>15</v>
      </c>
      <c r="C5" s="9"/>
      <c r="D5" s="11">
        <f>VLOOKUP(K2,拍摄总表!C:Q,5,0)</f>
        <v>43833.5625</v>
      </c>
      <c r="E5" s="12"/>
      <c r="F5" s="9" t="s">
        <v>16</v>
      </c>
      <c r="G5" s="230" t="str">
        <f>VLOOKUP(K2,拍摄总表!C:Q,6,0)</f>
        <v>Steps四袋拍摄影棚内</v>
      </c>
      <c r="H5" s="230"/>
      <c r="I5" s="8"/>
      <c r="J5" s="22" t="s">
        <v>33</v>
      </c>
      <c r="K5" s="22">
        <f>VLOOKUP(K2,拍摄总表!C:AB,24,0)</f>
        <v>0</v>
      </c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46"/>
      <c r="AM5" s="8"/>
      <c r="AN5" s="8"/>
    </row>
    <row r="6" spans="1:40" s="2" customFormat="1" ht="17.100000000000001" customHeight="1">
      <c r="A6" s="8"/>
      <c r="B6" s="14"/>
      <c r="C6" s="14"/>
      <c r="D6" s="15"/>
      <c r="E6" s="15"/>
      <c r="F6" s="14"/>
      <c r="G6" s="15"/>
      <c r="H6" s="15"/>
      <c r="I6" s="8"/>
      <c r="J6" s="3"/>
      <c r="K6" s="38"/>
      <c r="L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46"/>
      <c r="AM6" s="8"/>
      <c r="AN6" s="8"/>
    </row>
    <row r="7" spans="1:40" s="2" customFormat="1" ht="33.950000000000003" customHeight="1">
      <c r="B7" s="16" t="s">
        <v>17</v>
      </c>
      <c r="C7" s="17"/>
      <c r="D7" s="221" t="str">
        <f>VLOOKUP(K2,拍摄总表!C:Q,7,0)</f>
        <v>1000元职业照</v>
      </c>
      <c r="E7" s="221"/>
      <c r="F7" s="222"/>
      <c r="G7" s="222"/>
      <c r="H7" s="222"/>
      <c r="J7" s="3" t="s">
        <v>45</v>
      </c>
      <c r="K7" s="25"/>
    </row>
    <row r="8" spans="1:40" s="2" customFormat="1" ht="33.950000000000003" customHeight="1">
      <c r="B8" s="16" t="s">
        <v>18</v>
      </c>
      <c r="C8" s="17"/>
      <c r="D8" s="221" t="str">
        <f>VLOOKUP(K2,拍摄总表!C:Q,8,0)</f>
        <v>李衡</v>
      </c>
      <c r="E8" s="221"/>
      <c r="F8" s="222"/>
      <c r="G8" s="222"/>
      <c r="H8" s="222"/>
      <c r="J8" s="3" t="s">
        <v>613</v>
      </c>
      <c r="K8" s="25"/>
    </row>
    <row r="9" spans="1:40" s="2" customFormat="1" ht="33.950000000000003" customHeight="1">
      <c r="B9" s="16" t="s">
        <v>19</v>
      </c>
      <c r="C9" s="17"/>
      <c r="D9" s="221" t="str">
        <f>VLOOKUP(K2,拍摄总表!C:Q,9,0)</f>
        <v>棚内1套</v>
      </c>
      <c r="E9" s="221"/>
      <c r="F9" s="222"/>
      <c r="G9" s="222"/>
      <c r="H9" s="222"/>
      <c r="J9" s="3" t="s">
        <v>47</v>
      </c>
      <c r="K9" s="25"/>
    </row>
    <row r="10" spans="1:40" s="2" customFormat="1" ht="33.950000000000003" customHeight="1">
      <c r="B10" s="16" t="s">
        <v>20</v>
      </c>
      <c r="C10" s="17"/>
      <c r="D10" s="221" t="str">
        <f>VLOOKUP(K2,拍摄总表!C:Q,10,0)</f>
        <v>1-2小时左右</v>
      </c>
      <c r="E10" s="221"/>
      <c r="F10" s="222"/>
      <c r="G10" s="222"/>
      <c r="H10" s="222"/>
      <c r="J10" s="3"/>
      <c r="K10" s="3"/>
    </row>
    <row r="11" spans="1:40" s="2" customFormat="1" ht="33.950000000000003" customHeight="1">
      <c r="B11" s="16" t="s">
        <v>21</v>
      </c>
      <c r="C11" s="17"/>
      <c r="D11" s="221">
        <f>VLOOKUP(K2,拍摄总表!C:Q,11,0)</f>
        <v>3</v>
      </c>
      <c r="E11" s="221"/>
      <c r="F11" s="222"/>
      <c r="G11" s="222"/>
      <c r="H11" s="222"/>
      <c r="J11" s="3"/>
      <c r="K11" s="3"/>
    </row>
    <row r="12" spans="1:40" s="2" customFormat="1" ht="33.950000000000003" customHeight="1">
      <c r="B12" s="16" t="s">
        <v>22</v>
      </c>
      <c r="C12" s="17"/>
      <c r="D12" s="221" t="str">
        <f>VLOOKUP(K2,拍摄总表!C:Q,12,0)</f>
        <v>无</v>
      </c>
      <c r="E12" s="221"/>
      <c r="F12" s="222"/>
      <c r="G12" s="222"/>
      <c r="H12" s="222"/>
      <c r="J12" s="3"/>
      <c r="K12" s="3"/>
    </row>
    <row r="13" spans="1:40" s="2" customFormat="1" ht="33.950000000000003" customHeight="1">
      <c r="B13" s="16" t="s">
        <v>23</v>
      </c>
      <c r="C13" s="17"/>
      <c r="D13" s="221" t="str">
        <f>VLOOKUP(K2,拍摄总表!C:Q,13,0)</f>
        <v>无</v>
      </c>
      <c r="E13" s="221"/>
      <c r="F13" s="222"/>
      <c r="G13" s="222"/>
      <c r="H13" s="222"/>
      <c r="J13" s="3"/>
      <c r="K13" s="3"/>
    </row>
    <row r="14" spans="1:40" s="2" customFormat="1" ht="33.950000000000003" customHeight="1">
      <c r="B14" s="16" t="s">
        <v>24</v>
      </c>
      <c r="C14" s="17"/>
      <c r="D14" s="221" t="str">
        <f>VLOOKUP(K2,拍摄总表!C:Q,14,0)</f>
        <v>提供</v>
      </c>
      <c r="E14" s="221"/>
      <c r="F14" s="222"/>
      <c r="G14" s="222"/>
      <c r="H14" s="222"/>
      <c r="J14" s="3"/>
      <c r="K14" s="3"/>
    </row>
    <row r="15" spans="1:40" s="2" customFormat="1" ht="33.950000000000003" customHeight="1">
      <c r="B15" s="16" t="s">
        <v>25</v>
      </c>
      <c r="C15" s="17"/>
      <c r="D15" s="223" t="str">
        <f>VLOOKUP(K2,拍摄总表!C:Q,15,0)</f>
        <v>待沟通</v>
      </c>
      <c r="E15" s="223"/>
      <c r="F15" s="223"/>
      <c r="G15" s="223"/>
      <c r="H15" s="224"/>
      <c r="J15" s="3"/>
      <c r="K15" s="3"/>
    </row>
    <row r="16" spans="1:40" s="2" customFormat="1" ht="18" customHeight="1">
      <c r="B16" s="18"/>
      <c r="C16" s="19"/>
      <c r="D16" s="20"/>
      <c r="E16" s="20"/>
      <c r="F16" s="20"/>
      <c r="G16" s="20"/>
      <c r="H16" s="20"/>
      <c r="J16" s="3"/>
      <c r="K16" s="3"/>
    </row>
    <row r="17" spans="2:11" s="2" customFormat="1" ht="33.950000000000003" customHeight="1">
      <c r="B17" s="3" t="s">
        <v>614</v>
      </c>
      <c r="C17" s="3"/>
      <c r="D17" s="21" t="str">
        <f>VLOOKUP(K2,拍摄总表!C:AB,19,0)</f>
        <v>/</v>
      </c>
      <c r="E17" s="21"/>
      <c r="F17" s="3" t="s">
        <v>615</v>
      </c>
      <c r="G17" s="21" t="str">
        <f>VLOOKUP(K2,拍摄总表!C:AB,20,0)</f>
        <v>/</v>
      </c>
      <c r="H17" s="22" t="s">
        <v>616</v>
      </c>
      <c r="J17" s="39" t="s">
        <v>617</v>
      </c>
      <c r="K17" s="25"/>
    </row>
    <row r="18" spans="2:11" s="2" customFormat="1" ht="33.950000000000003" customHeight="1">
      <c r="B18" s="3" t="s">
        <v>9</v>
      </c>
      <c r="C18" s="3"/>
      <c r="D18" s="225" t="str">
        <f>VLOOKUP(K2,拍摄总表!C:AB,21,0)</f>
        <v>保时捷员工拍摄券，费用已付。</v>
      </c>
      <c r="E18" s="225"/>
      <c r="F18" s="225"/>
      <c r="G18" s="225"/>
      <c r="H18" s="225"/>
      <c r="J18" s="40"/>
      <c r="K18" s="41"/>
    </row>
    <row r="19" spans="2:11" s="2" customFormat="1" ht="18" customHeight="1">
      <c r="J19" s="40"/>
      <c r="K19" s="3"/>
    </row>
    <row r="20" spans="2:11" s="2" customFormat="1" ht="33.950000000000003" customHeight="1">
      <c r="B20" s="47" t="s">
        <v>618</v>
      </c>
      <c r="C20" s="48"/>
      <c r="D20" s="226" t="s">
        <v>619</v>
      </c>
      <c r="E20" s="226"/>
      <c r="F20" s="226"/>
      <c r="G20" s="226"/>
      <c r="H20" s="227"/>
      <c r="J20" s="39" t="s">
        <v>620</v>
      </c>
      <c r="K20" s="25"/>
    </row>
    <row r="21" spans="2:11" s="2" customFormat="1" ht="33.950000000000003" customHeight="1">
      <c r="B21" s="49" t="s">
        <v>649</v>
      </c>
      <c r="C21" s="50"/>
      <c r="D21" s="51" t="s">
        <v>650</v>
      </c>
      <c r="E21" s="51"/>
      <c r="F21" s="51"/>
      <c r="G21" s="51"/>
      <c r="H21" s="52"/>
      <c r="J21" s="40"/>
      <c r="K21" s="3"/>
    </row>
    <row r="22" spans="2:11" s="2" customFormat="1" ht="33.950000000000003" customHeight="1">
      <c r="B22" s="49" t="s">
        <v>623</v>
      </c>
      <c r="C22" s="50"/>
      <c r="D22" s="51" t="s">
        <v>651</v>
      </c>
      <c r="E22" s="51"/>
      <c r="F22" s="51"/>
      <c r="G22" s="51"/>
      <c r="H22" s="52"/>
      <c r="J22" s="39" t="s">
        <v>625</v>
      </c>
      <c r="K22" s="25"/>
    </row>
    <row r="23" spans="2:11" s="2" customFormat="1" ht="33.950000000000003" customHeight="1">
      <c r="B23" s="49" t="s">
        <v>626</v>
      </c>
      <c r="C23" s="50"/>
      <c r="D23" s="53" t="s">
        <v>652</v>
      </c>
      <c r="E23" s="53"/>
      <c r="F23" s="51"/>
      <c r="G23" s="51"/>
      <c r="H23" s="52"/>
      <c r="J23" s="42"/>
      <c r="K23" s="3"/>
    </row>
    <row r="24" spans="2:11" s="2" customFormat="1" ht="33.950000000000003" customHeight="1">
      <c r="B24" s="49" t="s">
        <v>628</v>
      </c>
      <c r="C24" s="50"/>
      <c r="D24" s="54" t="s">
        <v>653</v>
      </c>
      <c r="E24" s="53"/>
      <c r="F24" s="51"/>
      <c r="G24" s="51"/>
      <c r="H24" s="52"/>
      <c r="J24" s="39" t="s">
        <v>28</v>
      </c>
      <c r="K24" s="25"/>
    </row>
    <row r="25" spans="2:11" s="2" customFormat="1" ht="33.950000000000003" customHeight="1">
      <c r="B25" s="55" t="s">
        <v>654</v>
      </c>
      <c r="C25" s="56"/>
      <c r="D25" s="57" t="s">
        <v>655</v>
      </c>
      <c r="E25" s="58"/>
      <c r="F25" s="59"/>
      <c r="G25" s="59"/>
      <c r="H25" s="60"/>
      <c r="J25" s="39"/>
      <c r="K25" s="3"/>
    </row>
    <row r="26" spans="2:11" s="2" customFormat="1" ht="72.95" customHeight="1"/>
    <row r="27" spans="2:11" s="2" customFormat="1" ht="20.25">
      <c r="F27" s="13" t="s">
        <v>632</v>
      </c>
      <c r="H27" s="25"/>
    </row>
    <row r="28" spans="2:11" s="2" customFormat="1"/>
    <row r="29" spans="2:11" s="2" customFormat="1" ht="9" customHeight="1">
      <c r="B29" s="26"/>
      <c r="C29" s="26"/>
      <c r="D29" s="26"/>
      <c r="E29" s="26"/>
      <c r="F29" s="26"/>
      <c r="G29" s="26"/>
      <c r="H29" s="26"/>
      <c r="I29" s="26"/>
      <c r="J29" s="26"/>
      <c r="K29" s="26"/>
    </row>
    <row r="30" spans="2:11" s="2" customFormat="1" ht="24.95" customHeight="1"/>
    <row r="31" spans="2:11" s="3" customFormat="1" ht="27.95" customHeight="1">
      <c r="B31" s="27" t="s">
        <v>633</v>
      </c>
      <c r="D31" s="25"/>
      <c r="F31" s="219" t="s">
        <v>634</v>
      </c>
      <c r="G31" s="219"/>
      <c r="H31" s="25"/>
      <c r="J31" s="43" t="s">
        <v>635</v>
      </c>
      <c r="K31" s="25"/>
    </row>
    <row r="32" spans="2:11" s="3" customFormat="1" ht="27.95" customHeight="1">
      <c r="B32" s="29"/>
    </row>
    <row r="33" spans="2:15" s="3" customFormat="1" ht="27.95" customHeight="1">
      <c r="B33" s="30" t="s">
        <v>21</v>
      </c>
      <c r="D33" s="31" t="s">
        <v>638</v>
      </c>
      <c r="F33" s="219" t="s">
        <v>637</v>
      </c>
      <c r="G33" s="219"/>
      <c r="H33" s="31" t="s">
        <v>638</v>
      </c>
      <c r="K33" s="25"/>
    </row>
    <row r="34" spans="2:15" s="4" customFormat="1" ht="27.95" customHeight="1">
      <c r="B34" s="30"/>
      <c r="C34" s="32"/>
      <c r="K34" s="3"/>
      <c r="O34" s="4" t="s">
        <v>639</v>
      </c>
    </row>
    <row r="35" spans="2:15" s="4" customFormat="1" ht="27.95" customHeight="1">
      <c r="B35" s="30" t="s">
        <v>23</v>
      </c>
      <c r="D35" s="220" t="s">
        <v>640</v>
      </c>
      <c r="E35" s="220"/>
      <c r="F35" s="220"/>
      <c r="G35" s="220"/>
      <c r="H35" s="220"/>
      <c r="K35" s="25"/>
    </row>
    <row r="36" spans="2:15" s="4" customFormat="1" ht="27.95" customHeight="1">
      <c r="B36" s="27"/>
      <c r="J36" s="44"/>
    </row>
    <row r="37" spans="2:15" s="4" customFormat="1" ht="27.95" customHeight="1">
      <c r="B37" s="30" t="s">
        <v>641</v>
      </c>
      <c r="D37" s="218"/>
      <c r="E37" s="218"/>
      <c r="F37" s="218"/>
      <c r="G37" s="218"/>
      <c r="H37" s="218"/>
      <c r="J37" s="44" t="s">
        <v>625</v>
      </c>
      <c r="K37" s="25"/>
    </row>
    <row r="38" spans="2:15" s="4" customFormat="1" ht="27.95" customHeight="1">
      <c r="J38" s="44"/>
    </row>
    <row r="39" spans="2:15" s="4" customFormat="1" ht="27.95" customHeight="1">
      <c r="D39" s="218"/>
      <c r="E39" s="218"/>
      <c r="F39" s="218"/>
      <c r="G39" s="218"/>
      <c r="H39" s="218"/>
      <c r="J39" s="44" t="s">
        <v>28</v>
      </c>
      <c r="K39" s="25"/>
    </row>
    <row r="40" spans="2:15" s="4" customFormat="1" ht="27.95" customHeight="1">
      <c r="B40" s="33" t="s">
        <v>642</v>
      </c>
      <c r="D40" s="33" t="s">
        <v>643</v>
      </c>
      <c r="E40" s="33"/>
    </row>
    <row r="41" spans="2:15" s="2" customFormat="1" ht="128.1" customHeight="1">
      <c r="F41" s="34" t="s">
        <v>632</v>
      </c>
      <c r="H41" s="25"/>
    </row>
    <row r="42" spans="2:15" s="4" customFormat="1" ht="27.95" customHeight="1"/>
    <row r="43" spans="2:15" s="4" customFormat="1" ht="27.95" customHeight="1"/>
    <row r="44" spans="2:15" s="4" customFormat="1" ht="27.95" customHeight="1"/>
    <row r="45" spans="2:15" s="4" customFormat="1" ht="27.95" customHeight="1"/>
    <row r="46" spans="2:15" s="4" customFormat="1" ht="27.95" customHeight="1"/>
    <row r="47" spans="2:15" s="4" customFormat="1" ht="27.95" customHeight="1"/>
    <row r="48" spans="2:15" s="4" customFormat="1" ht="27.95" customHeight="1"/>
    <row r="49" s="4" customFormat="1" ht="27.95" customHeight="1"/>
    <row r="50" s="4" customFormat="1" ht="27.95" customHeight="1"/>
    <row r="51" s="4" customFormat="1" ht="27.95" customHeight="1"/>
    <row r="52" s="4" customFormat="1" ht="27.95" customHeight="1"/>
    <row r="53" s="4" customFormat="1" ht="27.95" customHeight="1"/>
    <row r="54" s="4" customFormat="1" ht="27.95" customHeight="1"/>
    <row r="55" s="4" customFormat="1" ht="27.95" customHeight="1"/>
    <row r="56" s="4" customFormat="1" ht="27.95" customHeight="1"/>
  </sheetData>
  <mergeCells count="19">
    <mergeCell ref="B2:H2"/>
    <mergeCell ref="G4:H4"/>
    <mergeCell ref="G5:H5"/>
    <mergeCell ref="D7:H7"/>
    <mergeCell ref="D8:H8"/>
    <mergeCell ref="D9:H9"/>
    <mergeCell ref="D10:H10"/>
    <mergeCell ref="D11:H11"/>
    <mergeCell ref="D12:H12"/>
    <mergeCell ref="D13:H13"/>
    <mergeCell ref="F33:G33"/>
    <mergeCell ref="D35:H35"/>
    <mergeCell ref="D37:H37"/>
    <mergeCell ref="D39:H39"/>
    <mergeCell ref="D14:H14"/>
    <mergeCell ref="D15:H15"/>
    <mergeCell ref="D18:H18"/>
    <mergeCell ref="D20:H20"/>
    <mergeCell ref="F31:G31"/>
  </mergeCells>
  <phoneticPr fontId="45" type="noConversion"/>
  <pageMargins left="0.25" right="0.25" top="0.75" bottom="0.75" header="0.3" footer="0.3"/>
  <pageSetup paperSize="9" scale="47" orientation="portrait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-0.249977111117893"/>
  </sheetPr>
  <dimension ref="A1:AN55"/>
  <sheetViews>
    <sheetView showGridLines="0" topLeftCell="A22" workbookViewId="0">
      <selection activeCell="E37" sqref="E37"/>
    </sheetView>
  </sheetViews>
  <sheetFormatPr defaultColWidth="11" defaultRowHeight="17.25"/>
  <cols>
    <col min="1" max="1" width="9.875" style="5" customWidth="1"/>
    <col min="2" max="2" width="14.125" style="5" customWidth="1"/>
    <col min="3" max="3" width="1.25" style="5" customWidth="1"/>
    <col min="4" max="4" width="25.25" style="5" customWidth="1"/>
    <col min="5" max="5" width="24.875" style="5" customWidth="1"/>
    <col min="6" max="6" width="13.875" style="5" customWidth="1"/>
    <col min="7" max="7" width="10.75" style="5" customWidth="1"/>
    <col min="8" max="8" width="31.625" style="5" customWidth="1"/>
    <col min="9" max="9" width="13.75" style="5" customWidth="1"/>
    <col min="10" max="10" width="13.125" style="5" customWidth="1"/>
    <col min="11" max="11" width="24.875" style="5" customWidth="1"/>
    <col min="12" max="12" width="6.375" style="5" customWidth="1"/>
    <col min="13" max="16384" width="11" style="5"/>
  </cols>
  <sheetData>
    <row r="1" spans="1:40" ht="87.75" customHeight="1"/>
    <row r="2" spans="1:40" ht="69.95" customHeight="1">
      <c r="A2" s="6"/>
      <c r="B2" s="234" t="s">
        <v>656</v>
      </c>
      <c r="C2" s="234"/>
      <c r="D2" s="234"/>
      <c r="E2" s="234"/>
      <c r="F2" s="234"/>
      <c r="G2" s="234"/>
      <c r="H2" s="234"/>
      <c r="I2" s="35"/>
      <c r="J2" s="36" t="s">
        <v>11</v>
      </c>
      <c r="K2" s="37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45"/>
      <c r="AM2" s="6"/>
      <c r="AN2" s="6"/>
    </row>
    <row r="3" spans="1:40" ht="11.1" customHeight="1">
      <c r="A3" s="6"/>
      <c r="B3" s="7"/>
      <c r="C3" s="7"/>
      <c r="D3" s="7"/>
      <c r="E3" s="7"/>
      <c r="F3" s="7"/>
      <c r="G3" s="7"/>
      <c r="H3" s="7"/>
      <c r="I3" s="35"/>
      <c r="J3" s="2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45"/>
      <c r="AM3" s="6"/>
      <c r="AN3" s="6"/>
    </row>
    <row r="4" spans="1:40" s="2" customFormat="1" ht="39" customHeight="1">
      <c r="A4" s="8"/>
      <c r="B4" s="9" t="s">
        <v>12</v>
      </c>
      <c r="C4" s="9"/>
      <c r="D4" s="10" t="e">
        <f>VLOOKUP(K2,拍摄总表!C:Q,2,0)</f>
        <v>#N/A</v>
      </c>
      <c r="E4" s="10" t="e">
        <f>VLOOKUP(K2,拍摄总表!C:Q,3,0)</f>
        <v>#N/A</v>
      </c>
      <c r="F4" s="9" t="s">
        <v>612</v>
      </c>
      <c r="G4" s="229" t="e">
        <f>VLOOKUP(K2,拍摄总表!C:Q,4,0)</f>
        <v>#N/A</v>
      </c>
      <c r="H4" s="229"/>
      <c r="I4" s="8"/>
      <c r="J4" s="22" t="s">
        <v>31</v>
      </c>
      <c r="K4" s="22" t="e">
        <f>VLOOKUP(K2,拍摄总表!C:AB,22,0)</f>
        <v>#N/A</v>
      </c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46"/>
      <c r="AM4" s="8"/>
      <c r="AN4" s="8"/>
    </row>
    <row r="5" spans="1:40" s="2" customFormat="1" ht="23.1" customHeight="1">
      <c r="A5" s="8"/>
      <c r="B5" s="9" t="s">
        <v>15</v>
      </c>
      <c r="C5" s="9"/>
      <c r="D5" s="11" t="e">
        <f>VLOOKUP(K2,拍摄总表!C:Q,5,0)</f>
        <v>#N/A</v>
      </c>
      <c r="E5" s="12"/>
      <c r="F5" s="9" t="s">
        <v>16</v>
      </c>
      <c r="G5" s="230" t="e">
        <f>VLOOKUP(K2,拍摄总表!C:Q,6,0)</f>
        <v>#N/A</v>
      </c>
      <c r="H5" s="230"/>
      <c r="I5" s="8"/>
      <c r="J5" s="22" t="s">
        <v>33</v>
      </c>
      <c r="K5" s="22" t="e">
        <f>VLOOKUP(K2,拍摄总表!C:AB,24,0)</f>
        <v>#N/A</v>
      </c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46"/>
      <c r="AM5" s="8"/>
      <c r="AN5" s="8"/>
    </row>
    <row r="6" spans="1:40" s="2" customFormat="1" ht="17.100000000000001" customHeight="1">
      <c r="A6" s="8"/>
      <c r="B6" s="14"/>
      <c r="C6" s="14"/>
      <c r="D6" s="15"/>
      <c r="E6" s="15"/>
      <c r="F6" s="14"/>
      <c r="G6" s="15"/>
      <c r="H6" s="15"/>
      <c r="I6" s="8"/>
      <c r="J6" s="3"/>
      <c r="K6" s="38"/>
      <c r="L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46"/>
      <c r="AM6" s="8"/>
      <c r="AN6" s="8"/>
    </row>
    <row r="7" spans="1:40" s="2" customFormat="1" ht="33.950000000000003" customHeight="1">
      <c r="B7" s="16" t="s">
        <v>17</v>
      </c>
      <c r="C7" s="17"/>
      <c r="D7" s="221" t="e">
        <f>VLOOKUP(K2,拍摄总表!C:Q,7,0)</f>
        <v>#N/A</v>
      </c>
      <c r="E7" s="221"/>
      <c r="F7" s="222"/>
      <c r="G7" s="222"/>
      <c r="H7" s="222"/>
      <c r="J7" s="3" t="s">
        <v>45</v>
      </c>
      <c r="K7" s="25"/>
    </row>
    <row r="8" spans="1:40" s="2" customFormat="1" ht="33.950000000000003" customHeight="1">
      <c r="B8" s="16" t="s">
        <v>18</v>
      </c>
      <c r="C8" s="17"/>
      <c r="D8" s="221" t="e">
        <f>VLOOKUP(K2,拍摄总表!C:Q,8,0)</f>
        <v>#N/A</v>
      </c>
      <c r="E8" s="221"/>
      <c r="F8" s="222"/>
      <c r="G8" s="222"/>
      <c r="H8" s="222"/>
      <c r="J8" s="3" t="s">
        <v>613</v>
      </c>
      <c r="K8" s="25"/>
    </row>
    <row r="9" spans="1:40" s="2" customFormat="1" ht="33.950000000000003" customHeight="1">
      <c r="B9" s="16" t="s">
        <v>19</v>
      </c>
      <c r="C9" s="17"/>
      <c r="D9" s="221" t="e">
        <f>VLOOKUP(K2,拍摄总表!C:Q,9,0)</f>
        <v>#N/A</v>
      </c>
      <c r="E9" s="221"/>
      <c r="F9" s="222"/>
      <c r="G9" s="222"/>
      <c r="H9" s="222"/>
      <c r="J9" s="3" t="s">
        <v>47</v>
      </c>
      <c r="K9" s="25"/>
    </row>
    <row r="10" spans="1:40" s="2" customFormat="1" ht="33.950000000000003" customHeight="1">
      <c r="B10" s="16" t="s">
        <v>20</v>
      </c>
      <c r="C10" s="17"/>
      <c r="D10" s="221" t="e">
        <f>VLOOKUP(K2,拍摄总表!C:Q,10,0)</f>
        <v>#N/A</v>
      </c>
      <c r="E10" s="221"/>
      <c r="F10" s="222"/>
      <c r="G10" s="222"/>
      <c r="H10" s="222"/>
      <c r="J10" s="3"/>
      <c r="K10" s="3"/>
    </row>
    <row r="11" spans="1:40" s="2" customFormat="1" ht="33.950000000000003" customHeight="1">
      <c r="B11" s="16" t="s">
        <v>21</v>
      </c>
      <c r="C11" s="17"/>
      <c r="D11" s="221" t="e">
        <f>VLOOKUP(K2,拍摄总表!C:Q,11,0)</f>
        <v>#N/A</v>
      </c>
      <c r="E11" s="221"/>
      <c r="F11" s="222"/>
      <c r="G11" s="222"/>
      <c r="H11" s="222"/>
      <c r="J11" s="3"/>
      <c r="K11" s="3"/>
    </row>
    <row r="12" spans="1:40" s="2" customFormat="1" ht="33.950000000000003" customHeight="1">
      <c r="B12" s="16" t="s">
        <v>22</v>
      </c>
      <c r="C12" s="17"/>
      <c r="D12" s="221" t="e">
        <f>VLOOKUP(K2,拍摄总表!C:Q,12,0)</f>
        <v>#N/A</v>
      </c>
      <c r="E12" s="221"/>
      <c r="F12" s="222"/>
      <c r="G12" s="222"/>
      <c r="H12" s="222"/>
      <c r="J12" s="3"/>
      <c r="K12" s="3"/>
    </row>
    <row r="13" spans="1:40" s="2" customFormat="1" ht="33.950000000000003" customHeight="1">
      <c r="B13" s="16" t="s">
        <v>23</v>
      </c>
      <c r="C13" s="17"/>
      <c r="D13" s="221" t="e">
        <f>VLOOKUP(K2,拍摄总表!C:Q,13,0)</f>
        <v>#N/A</v>
      </c>
      <c r="E13" s="221"/>
      <c r="F13" s="222"/>
      <c r="G13" s="222"/>
      <c r="H13" s="222"/>
      <c r="J13" s="3"/>
      <c r="K13" s="3"/>
    </row>
    <row r="14" spans="1:40" s="2" customFormat="1" ht="33.950000000000003" customHeight="1">
      <c r="B14" s="16" t="s">
        <v>24</v>
      </c>
      <c r="C14" s="17"/>
      <c r="D14" s="221" t="e">
        <f>VLOOKUP(K2,拍摄总表!C:Q,14,0)</f>
        <v>#N/A</v>
      </c>
      <c r="E14" s="221"/>
      <c r="F14" s="222"/>
      <c r="G14" s="222"/>
      <c r="H14" s="222"/>
      <c r="J14" s="3"/>
      <c r="K14" s="3"/>
    </row>
    <row r="15" spans="1:40" s="2" customFormat="1" ht="33.950000000000003" customHeight="1">
      <c r="B15" s="16" t="s">
        <v>25</v>
      </c>
      <c r="C15" s="17"/>
      <c r="D15" s="223" t="e">
        <f>VLOOKUP(K2,拍摄总表!C:Q,15,0)</f>
        <v>#N/A</v>
      </c>
      <c r="E15" s="223"/>
      <c r="F15" s="223"/>
      <c r="G15" s="223"/>
      <c r="H15" s="224"/>
      <c r="J15" s="3"/>
      <c r="K15" s="3"/>
    </row>
    <row r="16" spans="1:40" s="2" customFormat="1" ht="18" customHeight="1">
      <c r="B16" s="18"/>
      <c r="C16" s="19"/>
      <c r="D16" s="20"/>
      <c r="E16" s="20"/>
      <c r="F16" s="20"/>
      <c r="G16" s="20"/>
      <c r="H16" s="20"/>
      <c r="J16" s="3"/>
      <c r="K16" s="3"/>
    </row>
    <row r="17" spans="2:11" s="2" customFormat="1" ht="33.950000000000003" customHeight="1">
      <c r="B17" s="3" t="s">
        <v>614</v>
      </c>
      <c r="C17" s="3"/>
      <c r="D17" s="21" t="e">
        <f>VLOOKUP(K2,拍摄总表!C:AB,19,0)</f>
        <v>#N/A</v>
      </c>
      <c r="E17" s="21"/>
      <c r="F17" s="3" t="s">
        <v>615</v>
      </c>
      <c r="G17" s="21" t="e">
        <f>VLOOKUP(K2,拍摄总表!C:AB,20,0)</f>
        <v>#N/A</v>
      </c>
      <c r="H17" s="22" t="s">
        <v>616</v>
      </c>
      <c r="J17" s="39" t="s">
        <v>617</v>
      </c>
      <c r="K17" s="25"/>
    </row>
    <row r="18" spans="2:11" s="2" customFormat="1" ht="33.950000000000003" customHeight="1">
      <c r="B18" s="3" t="s">
        <v>9</v>
      </c>
      <c r="C18" s="3"/>
      <c r="D18" s="225" t="e">
        <f>VLOOKUP(K2,拍摄总表!C:AB,21,0)</f>
        <v>#N/A</v>
      </c>
      <c r="E18" s="225"/>
      <c r="F18" s="225"/>
      <c r="G18" s="225"/>
      <c r="H18" s="225"/>
      <c r="J18" s="40"/>
      <c r="K18" s="41"/>
    </row>
    <row r="19" spans="2:11" s="2" customFormat="1" ht="18" customHeight="1">
      <c r="J19" s="40"/>
      <c r="K19" s="3"/>
    </row>
    <row r="20" spans="2:11" s="2" customFormat="1" ht="33.950000000000003" customHeight="1">
      <c r="B20" s="23" t="s">
        <v>618</v>
      </c>
      <c r="C20" s="24"/>
      <c r="D20" s="233" t="s">
        <v>657</v>
      </c>
      <c r="E20" s="233"/>
      <c r="F20" s="233"/>
      <c r="G20" s="233"/>
      <c r="H20" s="233"/>
      <c r="J20" s="39" t="s">
        <v>620</v>
      </c>
      <c r="K20" s="25"/>
    </row>
    <row r="21" spans="2:11" s="2" customFormat="1" ht="33.950000000000003" customHeight="1">
      <c r="B21" s="23" t="s">
        <v>658</v>
      </c>
      <c r="C21" s="24"/>
      <c r="D21" s="24" t="s">
        <v>659</v>
      </c>
      <c r="E21" s="24"/>
      <c r="F21" s="24"/>
      <c r="G21" s="24"/>
      <c r="H21" s="24"/>
      <c r="J21" s="40"/>
      <c r="K21" s="3"/>
    </row>
    <row r="22" spans="2:11" s="2" customFormat="1" ht="33.950000000000003" customHeight="1">
      <c r="B22" s="23" t="s">
        <v>660</v>
      </c>
      <c r="C22" s="24"/>
      <c r="D22" s="24" t="s">
        <v>661</v>
      </c>
      <c r="E22" s="24"/>
      <c r="F22" s="24"/>
      <c r="G22" s="24"/>
      <c r="H22" s="24"/>
      <c r="J22" s="39" t="s">
        <v>625</v>
      </c>
      <c r="K22" s="25"/>
    </row>
    <row r="23" spans="2:11" s="2" customFormat="1" ht="33.950000000000003" customHeight="1">
      <c r="B23" s="23" t="s">
        <v>662</v>
      </c>
      <c r="C23" s="24"/>
      <c r="D23" s="24" t="s">
        <v>663</v>
      </c>
      <c r="E23" s="24"/>
      <c r="F23" s="232" t="s">
        <v>664</v>
      </c>
      <c r="G23" s="232"/>
      <c r="H23" s="24" t="s">
        <v>665</v>
      </c>
      <c r="J23" s="42"/>
      <c r="K23" s="3"/>
    </row>
    <row r="24" spans="2:11" s="2" customFormat="1" ht="33.950000000000003" customHeight="1">
      <c r="B24" s="23" t="s">
        <v>626</v>
      </c>
      <c r="C24" s="24"/>
      <c r="D24" s="24" t="s">
        <v>627</v>
      </c>
      <c r="E24" s="24"/>
      <c r="F24" s="232" t="s">
        <v>628</v>
      </c>
      <c r="G24" s="232"/>
      <c r="H24" s="24" t="s">
        <v>666</v>
      </c>
      <c r="J24" s="39" t="s">
        <v>28</v>
      </c>
      <c r="K24" s="25"/>
    </row>
    <row r="25" spans="2:11" s="2" customFormat="1" ht="89.25" customHeight="1"/>
    <row r="26" spans="2:11" s="2" customFormat="1" ht="20.25">
      <c r="F26" s="13" t="s">
        <v>632</v>
      </c>
      <c r="H26" s="25"/>
    </row>
    <row r="27" spans="2:11" s="2" customFormat="1"/>
    <row r="28" spans="2:11" s="2" customFormat="1" ht="9" customHeight="1">
      <c r="B28" s="26"/>
      <c r="C28" s="26"/>
      <c r="D28" s="26"/>
      <c r="E28" s="26"/>
      <c r="F28" s="26"/>
      <c r="G28" s="26"/>
      <c r="H28" s="26"/>
      <c r="I28" s="26"/>
      <c r="J28" s="26"/>
      <c r="K28" s="26"/>
    </row>
    <row r="29" spans="2:11" s="2" customFormat="1" ht="24.95" customHeight="1"/>
    <row r="30" spans="2:11" s="3" customFormat="1" ht="27.95" customHeight="1">
      <c r="B30" s="27" t="s">
        <v>633</v>
      </c>
      <c r="D30" s="25"/>
      <c r="F30" s="219" t="s">
        <v>634</v>
      </c>
      <c r="G30" s="219"/>
      <c r="H30" s="25"/>
      <c r="J30" s="43" t="s">
        <v>635</v>
      </c>
      <c r="K30" s="25"/>
    </row>
    <row r="31" spans="2:11" s="3" customFormat="1" ht="27.95" customHeight="1">
      <c r="B31" s="29"/>
    </row>
    <row r="32" spans="2:11" s="3" customFormat="1" ht="27.95" customHeight="1">
      <c r="B32" s="30" t="s">
        <v>21</v>
      </c>
      <c r="D32" s="218" t="s">
        <v>636</v>
      </c>
      <c r="E32" s="218"/>
      <c r="F32" s="219" t="s">
        <v>637</v>
      </c>
      <c r="G32" s="219"/>
      <c r="H32" s="31" t="s">
        <v>638</v>
      </c>
      <c r="K32" s="25"/>
    </row>
    <row r="33" spans="2:15" s="4" customFormat="1" ht="27.95" customHeight="1">
      <c r="B33" s="30"/>
      <c r="C33" s="32"/>
      <c r="K33" s="3"/>
      <c r="O33" s="4" t="s">
        <v>639</v>
      </c>
    </row>
    <row r="34" spans="2:15" s="4" customFormat="1" ht="27.95" customHeight="1">
      <c r="B34" s="30" t="s">
        <v>23</v>
      </c>
      <c r="D34" s="220" t="s">
        <v>640</v>
      </c>
      <c r="E34" s="220"/>
      <c r="F34" s="220"/>
      <c r="G34" s="220"/>
      <c r="H34" s="220"/>
      <c r="K34" s="25"/>
    </row>
    <row r="35" spans="2:15" s="4" customFormat="1" ht="27.95" customHeight="1">
      <c r="B35" s="27"/>
      <c r="J35" s="44"/>
    </row>
    <row r="36" spans="2:15" s="4" customFormat="1" ht="27.95" customHeight="1">
      <c r="B36" s="30" t="s">
        <v>641</v>
      </c>
      <c r="D36" s="218"/>
      <c r="E36" s="218"/>
      <c r="F36" s="218"/>
      <c r="G36" s="218"/>
      <c r="H36" s="218"/>
      <c r="J36" s="44" t="s">
        <v>625</v>
      </c>
      <c r="K36" s="25"/>
    </row>
    <row r="37" spans="2:15" s="4" customFormat="1" ht="27.95" customHeight="1">
      <c r="J37" s="44"/>
    </row>
    <row r="38" spans="2:15" s="4" customFormat="1" ht="27.95" customHeight="1">
      <c r="D38" s="218"/>
      <c r="E38" s="218"/>
      <c r="F38" s="218"/>
      <c r="G38" s="218"/>
      <c r="H38" s="218"/>
      <c r="J38" s="44" t="s">
        <v>28</v>
      </c>
      <c r="K38" s="25"/>
    </row>
    <row r="39" spans="2:15" s="4" customFormat="1" ht="27.95" customHeight="1">
      <c r="B39" s="33" t="s">
        <v>642</v>
      </c>
      <c r="D39" s="33" t="s">
        <v>643</v>
      </c>
      <c r="E39" s="33"/>
    </row>
    <row r="40" spans="2:15" s="2" customFormat="1" ht="128.1" customHeight="1">
      <c r="F40" s="34" t="s">
        <v>632</v>
      </c>
      <c r="H40" s="25"/>
    </row>
    <row r="41" spans="2:15" s="4" customFormat="1" ht="27.95" customHeight="1"/>
    <row r="42" spans="2:15" s="4" customFormat="1" ht="27.95" customHeight="1"/>
    <row r="43" spans="2:15" s="4" customFormat="1" ht="27.95" customHeight="1"/>
    <row r="44" spans="2:15" s="4" customFormat="1" ht="27.95" customHeight="1"/>
    <row r="45" spans="2:15" s="4" customFormat="1" ht="27.95" customHeight="1"/>
    <row r="46" spans="2:15" s="4" customFormat="1" ht="27.95" customHeight="1"/>
    <row r="47" spans="2:15" s="4" customFormat="1" ht="27.95" customHeight="1"/>
    <row r="48" spans="2:15" s="4" customFormat="1" ht="27.95" customHeight="1"/>
    <row r="49" s="4" customFormat="1" ht="27.95" customHeight="1"/>
    <row r="50" s="4" customFormat="1" ht="27.95" customHeight="1"/>
    <row r="51" s="4" customFormat="1" ht="27.95" customHeight="1"/>
    <row r="52" s="4" customFormat="1" ht="27.95" customHeight="1"/>
    <row r="53" s="4" customFormat="1" ht="27.95" customHeight="1"/>
    <row r="54" s="4" customFormat="1" ht="27.95" customHeight="1"/>
    <row r="55" s="4" customFormat="1" ht="27.95" customHeight="1"/>
  </sheetData>
  <mergeCells count="22">
    <mergeCell ref="B2:H2"/>
    <mergeCell ref="G4:H4"/>
    <mergeCell ref="G5:H5"/>
    <mergeCell ref="D7:H7"/>
    <mergeCell ref="D8:H8"/>
    <mergeCell ref="D9:H9"/>
    <mergeCell ref="D10:H10"/>
    <mergeCell ref="D11:H11"/>
    <mergeCell ref="D12:H12"/>
    <mergeCell ref="D13:H13"/>
    <mergeCell ref="D14:H14"/>
    <mergeCell ref="D15:H15"/>
    <mergeCell ref="D18:H18"/>
    <mergeCell ref="D20:H20"/>
    <mergeCell ref="F23:G23"/>
    <mergeCell ref="D36:H36"/>
    <mergeCell ref="D38:H38"/>
    <mergeCell ref="F24:G24"/>
    <mergeCell ref="F30:G30"/>
    <mergeCell ref="D32:E32"/>
    <mergeCell ref="F32:G32"/>
    <mergeCell ref="D34:H34"/>
  </mergeCells>
  <phoneticPr fontId="45" type="noConversion"/>
  <pageMargins left="0.25" right="0.25" top="0.75" bottom="0.75" header="0.3" footer="0.3"/>
  <pageSetup paperSize="9" scale="47" orientation="portrait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Views>
    <sheetView workbookViewId="0">
      <selection activeCell="C8" sqref="C8"/>
    </sheetView>
  </sheetViews>
  <sheetFormatPr defaultColWidth="11" defaultRowHeight="14.25"/>
  <cols>
    <col min="1" max="1" width="19.125" customWidth="1"/>
  </cols>
  <sheetData>
    <row r="1" spans="1:1">
      <c r="A1" s="1" t="s">
        <v>118</v>
      </c>
    </row>
    <row r="2" spans="1:1">
      <c r="A2" t="s">
        <v>126</v>
      </c>
    </row>
    <row r="3" spans="1:1">
      <c r="A3" t="s">
        <v>125</v>
      </c>
    </row>
    <row r="4" spans="1:1">
      <c r="A4" t="s">
        <v>348</v>
      </c>
    </row>
    <row r="5" spans="1:1">
      <c r="A5" t="s">
        <v>667</v>
      </c>
    </row>
    <row r="6" spans="1:1">
      <c r="A6" t="s">
        <v>175</v>
      </c>
    </row>
    <row r="7" spans="1:1">
      <c r="A7" t="s">
        <v>668</v>
      </c>
    </row>
    <row r="8" spans="1:1">
      <c r="A8" t="s">
        <v>669</v>
      </c>
    </row>
    <row r="9" spans="1:1">
      <c r="A9" t="s">
        <v>670</v>
      </c>
    </row>
    <row r="10" spans="1:1">
      <c r="A10" t="s">
        <v>176</v>
      </c>
    </row>
    <row r="11" spans="1:1">
      <c r="A11" t="s">
        <v>122</v>
      </c>
    </row>
    <row r="12" spans="1:1">
      <c r="A12" t="s">
        <v>671</v>
      </c>
    </row>
    <row r="13" spans="1:1">
      <c r="A13" t="s">
        <v>260</v>
      </c>
    </row>
    <row r="14" spans="1:1">
      <c r="A14" t="s">
        <v>672</v>
      </c>
    </row>
    <row r="15" spans="1:1">
      <c r="A15" t="s">
        <v>673</v>
      </c>
    </row>
    <row r="16" spans="1:1">
      <c r="A16" t="s">
        <v>167</v>
      </c>
    </row>
    <row r="17" spans="1:1">
      <c r="A17" t="s">
        <v>674</v>
      </c>
    </row>
    <row r="18" spans="1:1">
      <c r="A18" t="s">
        <v>142</v>
      </c>
    </row>
    <row r="19" spans="1:1">
      <c r="A19" t="s">
        <v>675</v>
      </c>
    </row>
    <row r="20" spans="1:1">
      <c r="A20" t="s">
        <v>676</v>
      </c>
    </row>
    <row r="21" spans="1:1">
      <c r="A21" t="s">
        <v>543</v>
      </c>
    </row>
    <row r="22" spans="1:1">
      <c r="A22" t="s">
        <v>677</v>
      </c>
    </row>
    <row r="23" spans="1:1">
      <c r="A23" t="s">
        <v>156</v>
      </c>
    </row>
    <row r="24" spans="1:1">
      <c r="A24" t="s">
        <v>678</v>
      </c>
    </row>
    <row r="25" spans="1:1">
      <c r="A25" t="s">
        <v>190</v>
      </c>
    </row>
    <row r="26" spans="1:1">
      <c r="A26" t="s">
        <v>177</v>
      </c>
    </row>
    <row r="27" spans="1:1">
      <c r="A27" t="s">
        <v>679</v>
      </c>
    </row>
    <row r="28" spans="1:1">
      <c r="A28" t="s">
        <v>680</v>
      </c>
    </row>
    <row r="29" spans="1:1">
      <c r="A29" t="s">
        <v>681</v>
      </c>
    </row>
    <row r="30" spans="1:1">
      <c r="A30" t="s">
        <v>682</v>
      </c>
    </row>
    <row r="31" spans="1:1">
      <c r="A31" t="s">
        <v>129</v>
      </c>
    </row>
    <row r="32" spans="1:1">
      <c r="A32" t="s">
        <v>683</v>
      </c>
    </row>
    <row r="33" spans="1:1">
      <c r="A33" t="s">
        <v>684</v>
      </c>
    </row>
    <row r="34" spans="1:1">
      <c r="A34" t="s">
        <v>685</v>
      </c>
    </row>
    <row r="35" spans="1:1">
      <c r="A35" t="s">
        <v>686</v>
      </c>
    </row>
    <row r="36" spans="1:1">
      <c r="A36" t="s">
        <v>687</v>
      </c>
    </row>
    <row r="37" spans="1:1">
      <c r="A37" t="s">
        <v>688</v>
      </c>
    </row>
    <row r="38" spans="1:1">
      <c r="A38" t="s">
        <v>138</v>
      </c>
    </row>
  </sheetData>
  <phoneticPr fontId="45" type="noConversion"/>
  <pageMargins left="0.75" right="0.75" top="1" bottom="1" header="0.5" footer="0.5"/>
  <pageSetup paperSize="9" orientation="portrait" horizontalDpi="1200" verticalDpi="1200"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4</vt:i4>
      </vt:variant>
    </vt:vector>
  </HeadingPairs>
  <TitlesOfParts>
    <vt:vector size="10" baseType="lpstr">
      <vt:lpstr>拍摄总表</vt:lpstr>
      <vt:lpstr>棚内</vt:lpstr>
      <vt:lpstr>哺乳照</vt:lpstr>
      <vt:lpstr>职业照</vt:lpstr>
      <vt:lpstr>外景</vt:lpstr>
      <vt:lpstr>所有套餐列表</vt:lpstr>
      <vt:lpstr>哺乳照!Print_Area</vt:lpstr>
      <vt:lpstr>棚内!Print_Area</vt:lpstr>
      <vt:lpstr>外景!Print_Area</vt:lpstr>
      <vt:lpstr>职业照!Print_Area</vt:lpstr>
    </vt:vector>
  </TitlesOfParts>
  <Company>Tess&amp;Sean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Tess Wang</dc:creator>
  <cp:lastModifiedBy>Huang</cp:lastModifiedBy>
  <cp:lastPrinted>2019-12-13T14:55:00Z</cp:lastPrinted>
  <dcterms:created xsi:type="dcterms:W3CDTF">2019-12-09T08:37:00Z</dcterms:created>
  <dcterms:modified xsi:type="dcterms:W3CDTF">2020-01-11T06:49:31Z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2052-11.1.0.9305</vt:lpwstr>
  </property>
</Properties>
</file>