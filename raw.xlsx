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1680" yWindow="2380" windowWidth="34220" windowHeight="18100" tabRatio="500"/>
  </bookViews>
  <sheets>
    <sheet name="拍摄总表" sheetId="11" r:id="rId1"/>
    <sheet name="棚内" sheetId="1" r:id="rId2"/>
    <sheet name="哺乳照" sheetId="5" r:id="rId3"/>
    <sheet name="职业照" sheetId="6" r:id="rId4"/>
    <sheet name="外景" sheetId="7" r:id="rId5"/>
    <sheet name="所有套餐列表" sheetId="9" r:id="rId6"/>
  </sheets>
  <definedNames>
    <definedName name="_xlnm._FilterDatabase" localSheetId="0" hidden="1">拍摄总表!$A$2:$IW$80</definedName>
    <definedName name="_xlnm.Print_Area" localSheetId="2">哺乳照!$A$1:$L$42</definedName>
    <definedName name="_xlnm.Print_Area" localSheetId="1">棚内!$A$1:$L$41</definedName>
    <definedName name="_xlnm.Print_Area" localSheetId="4">外景!$A$1:$L$41</definedName>
    <definedName name="_xlnm.Print_Area" localSheetId="3">职业照!$A$1:$L$42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7" l="1"/>
  <c r="G17" i="7"/>
  <c r="D17" i="7"/>
  <c r="D15" i="7"/>
  <c r="D14" i="7"/>
  <c r="D13" i="7"/>
  <c r="D12" i="7"/>
  <c r="D11" i="7"/>
  <c r="D10" i="7"/>
  <c r="D9" i="7"/>
  <c r="D8" i="7"/>
  <c r="D7" i="7"/>
  <c r="K5" i="7"/>
  <c r="G5" i="7"/>
  <c r="D5" i="7"/>
  <c r="K4" i="7"/>
  <c r="G4" i="7"/>
  <c r="E4" i="7"/>
  <c r="D4" i="7"/>
  <c r="D18" i="6"/>
  <c r="G17" i="6"/>
  <c r="D17" i="6"/>
  <c r="D15" i="6"/>
  <c r="D14" i="6"/>
  <c r="D13" i="6"/>
  <c r="D12" i="6"/>
  <c r="D11" i="6"/>
  <c r="D10" i="6"/>
  <c r="D9" i="6"/>
  <c r="D8" i="6"/>
  <c r="D7" i="6"/>
  <c r="K5" i="6"/>
  <c r="G5" i="6"/>
  <c r="D5" i="6"/>
  <c r="K4" i="6"/>
  <c r="G4" i="6"/>
  <c r="E4" i="6"/>
  <c r="D4" i="6"/>
  <c r="D18" i="5"/>
  <c r="G17" i="5"/>
  <c r="D17" i="5"/>
  <c r="D15" i="5"/>
  <c r="D14" i="5"/>
  <c r="D13" i="5"/>
  <c r="D12" i="5"/>
  <c r="D11" i="5"/>
  <c r="D10" i="5"/>
  <c r="D9" i="5"/>
  <c r="D8" i="5"/>
  <c r="D7" i="5"/>
  <c r="K5" i="5"/>
  <c r="G5" i="5"/>
  <c r="D5" i="5"/>
  <c r="K4" i="5"/>
  <c r="G4" i="5"/>
  <c r="E4" i="5"/>
  <c r="D4" i="5"/>
  <c r="D18" i="1"/>
  <c r="G17" i="1"/>
  <c r="D17" i="1"/>
  <c r="D15" i="1"/>
  <c r="D14" i="1"/>
  <c r="D13" i="1"/>
  <c r="D12" i="1"/>
  <c r="D11" i="1"/>
  <c r="D10" i="1"/>
  <c r="D9" i="1"/>
  <c r="D8" i="1"/>
  <c r="D7" i="1"/>
  <c r="K5" i="1"/>
  <c r="G5" i="1"/>
  <c r="D5" i="1"/>
  <c r="K4" i="1"/>
  <c r="G4" i="1"/>
  <c r="E4" i="1"/>
  <c r="D4" i="1"/>
</calcChain>
</file>

<file path=xl/sharedStrings.xml><?xml version="1.0" encoding="utf-8"?>
<sst xmlns="http://schemas.openxmlformats.org/spreadsheetml/2006/main" count="1843" uniqueCount="689">
  <si>
    <t>订单信息（小拍填）-- 必填</t>
  </si>
  <si>
    <t>定金明细（小拍填）</t>
  </si>
  <si>
    <t>渠道市场（小拍填）</t>
  </si>
  <si>
    <t>家人信息（小秘书填）</t>
  </si>
  <si>
    <t>拍摄团队（小秘书填）</t>
  </si>
  <si>
    <t>裂变情况（小秘书填）</t>
  </si>
  <si>
    <t>选片加片（小秘书填）</t>
  </si>
  <si>
    <t>续订情况（小秘书填）</t>
  </si>
  <si>
    <t>回家另加（小秘书填）</t>
  </si>
  <si>
    <t>备注</t>
  </si>
  <si>
    <t>录入人</t>
  </si>
  <si>
    <t>订单编号</t>
  </si>
  <si>
    <t>客户微信名</t>
  </si>
  <si>
    <t>客户姓名</t>
  </si>
  <si>
    <t>手机</t>
  </si>
  <si>
    <t>到店时间</t>
  </si>
  <si>
    <t>拍摄地点</t>
  </si>
  <si>
    <t>套餐名称</t>
  </si>
  <si>
    <t>拍摄对象</t>
  </si>
  <si>
    <t>拍摄内容</t>
  </si>
  <si>
    <t>拍摄时长</t>
  </si>
  <si>
    <t>精修张数</t>
  </si>
  <si>
    <t>未选底片</t>
  </si>
  <si>
    <t>印刷品</t>
  </si>
  <si>
    <t>化妆发型</t>
  </si>
  <si>
    <t>拍摄心愿</t>
  </si>
  <si>
    <t>定金时间</t>
  </si>
  <si>
    <t>定金金额</t>
  </si>
  <si>
    <t>付款方式</t>
  </si>
  <si>
    <t>套餐金额</t>
  </si>
  <si>
    <t>应付尾款</t>
  </si>
  <si>
    <t>介绍人</t>
  </si>
  <si>
    <t>媒介渠道</t>
  </si>
  <si>
    <t>参加活动</t>
  </si>
  <si>
    <t>接单人</t>
  </si>
  <si>
    <t>类型</t>
  </si>
  <si>
    <t>大宝姓名</t>
  </si>
  <si>
    <t>昵称</t>
  </si>
  <si>
    <t>性别</t>
  </si>
  <si>
    <t>出生日期</t>
  </si>
  <si>
    <t>小宝姓名</t>
  </si>
  <si>
    <t>其他家人信息</t>
  </si>
  <si>
    <t>地址</t>
  </si>
  <si>
    <t>电子邮件</t>
  </si>
  <si>
    <t>拍摄日期</t>
  </si>
  <si>
    <t>摄影师</t>
  </si>
  <si>
    <t>满意度</t>
  </si>
  <si>
    <t>化妆师</t>
  </si>
  <si>
    <t>引导师/助理</t>
  </si>
  <si>
    <t>尾款时间</t>
  </si>
  <si>
    <t>尾款金额</t>
  </si>
  <si>
    <t>尾款方式</t>
  </si>
  <si>
    <t>本单服务金额</t>
  </si>
  <si>
    <t>是否参加点评活动</t>
  </si>
  <si>
    <t>是否发朋友圈</t>
  </si>
  <si>
    <t>选片人员</t>
  </si>
  <si>
    <t>付款时间</t>
  </si>
  <si>
    <t>金额</t>
  </si>
  <si>
    <t>内容</t>
  </si>
  <si>
    <t>续订金额</t>
  </si>
  <si>
    <t>续订内容</t>
  </si>
  <si>
    <t>丹丹</t>
  </si>
  <si>
    <t>祖祖</t>
  </si>
  <si>
    <t>之一</t>
  </si>
  <si>
    <t>团子</t>
  </si>
  <si>
    <t>乐乐</t>
  </si>
  <si>
    <t>马韵</t>
  </si>
  <si>
    <t>summer</t>
  </si>
  <si>
    <t>女</t>
  </si>
  <si>
    <t>陆小姐</t>
  </si>
  <si>
    <t>一蒙</t>
  </si>
  <si>
    <t>朱婧</t>
  </si>
  <si>
    <t>祎祎</t>
  </si>
  <si>
    <t>/</t>
  </si>
  <si>
    <t>罗斯玛丽朱小妹</t>
  </si>
  <si>
    <t>男</t>
  </si>
  <si>
    <t>老客户</t>
  </si>
  <si>
    <t>yan</t>
  </si>
  <si>
    <t>小圆手</t>
  </si>
  <si>
    <t>吕小姐</t>
  </si>
  <si>
    <t>熊妈</t>
  </si>
  <si>
    <t>大众点评</t>
  </si>
  <si>
    <t>奶牛宝宝</t>
  </si>
  <si>
    <t>一家三口</t>
  </si>
  <si>
    <t>Irene Wang</t>
  </si>
  <si>
    <t>汪沁懿</t>
  </si>
  <si>
    <t>mich</t>
  </si>
  <si>
    <t>朱一菡</t>
  </si>
  <si>
    <t>Alice</t>
  </si>
  <si>
    <t>牛佳</t>
  </si>
  <si>
    <t>微信</t>
  </si>
  <si>
    <t>唐欣慧</t>
  </si>
  <si>
    <t>支付宝</t>
  </si>
  <si>
    <t>加印刷</t>
  </si>
  <si>
    <t>双</t>
  </si>
  <si>
    <t>hengyi</t>
  </si>
  <si>
    <t>赵恒谊</t>
  </si>
  <si>
    <t>立衡</t>
  </si>
  <si>
    <t>pos</t>
  </si>
  <si>
    <t>正价折扣</t>
  </si>
  <si>
    <t>正价</t>
  </si>
  <si>
    <t>2880F</t>
  </si>
  <si>
    <t>超低价促销</t>
  </si>
  <si>
    <t>2980self</t>
  </si>
  <si>
    <t>？</t>
  </si>
  <si>
    <t>加精修</t>
  </si>
  <si>
    <t>无</t>
  </si>
  <si>
    <t>米加</t>
  </si>
  <si>
    <t>明珠</t>
  </si>
  <si>
    <t>果冻</t>
  </si>
  <si>
    <t>毛阿毛</t>
  </si>
  <si>
    <t>免费圣诞照</t>
  </si>
  <si>
    <t>免拍</t>
  </si>
  <si>
    <t>台历活动</t>
  </si>
  <si>
    <t>299台历活动</t>
  </si>
  <si>
    <t>保时捷</t>
  </si>
  <si>
    <t>果冻/熊妈</t>
  </si>
  <si>
    <t>4880全家福</t>
  </si>
  <si>
    <t>2880全家福</t>
  </si>
  <si>
    <t>君</t>
  </si>
  <si>
    <t>Yuki</t>
  </si>
  <si>
    <t>S20192001</t>
  </si>
  <si>
    <t>2980儿童肖像</t>
  </si>
  <si>
    <t>S20192002</t>
  </si>
  <si>
    <t>咩咩新年照</t>
  </si>
  <si>
    <t>4480主题定制</t>
  </si>
  <si>
    <t>3980全家福</t>
  </si>
  <si>
    <t>Maggie</t>
  </si>
  <si>
    <t>祝颖</t>
  </si>
  <si>
    <t>1000职业照</t>
  </si>
  <si>
    <t>熊妈/果冻</t>
  </si>
  <si>
    <t>续订</t>
  </si>
  <si>
    <t>大众点评团购</t>
  </si>
  <si>
    <t>sue</t>
  </si>
  <si>
    <t>金聪颖</t>
  </si>
  <si>
    <t>xinhui</t>
  </si>
  <si>
    <t>淇淇</t>
  </si>
  <si>
    <t>周霞</t>
  </si>
  <si>
    <t>其他</t>
  </si>
  <si>
    <t>雪梅</t>
  </si>
  <si>
    <t>张雪梅</t>
  </si>
  <si>
    <t>3280亲子+哺乳</t>
  </si>
  <si>
    <t>3680宝宝+亲子</t>
  </si>
  <si>
    <t>2套家庭照</t>
  </si>
  <si>
    <t>3小时</t>
  </si>
  <si>
    <t>全送</t>
  </si>
  <si>
    <t>20寸油画框</t>
  </si>
  <si>
    <t>包含</t>
  </si>
  <si>
    <t>朋友圈</t>
  </si>
  <si>
    <t>郑伊婷</t>
  </si>
  <si>
    <t>上海银行</t>
  </si>
  <si>
    <t>待定</t>
  </si>
  <si>
    <t>任湘怡</t>
  </si>
  <si>
    <t>其他（活动外拍）</t>
  </si>
  <si>
    <t>立衡/之一</t>
  </si>
  <si>
    <t>grace</t>
  </si>
  <si>
    <t>1980mini外景</t>
  </si>
  <si>
    <t>御姐萌妹</t>
  </si>
  <si>
    <t>未定</t>
  </si>
  <si>
    <t>Yvonne</t>
  </si>
  <si>
    <t>张慧</t>
  </si>
  <si>
    <t>朋友推荐</t>
  </si>
  <si>
    <t>葫芦娃</t>
  </si>
  <si>
    <t>曲霞</t>
  </si>
  <si>
    <t>两人哺乳照</t>
  </si>
  <si>
    <t>S20192003</t>
  </si>
  <si>
    <t>pos和支付宝</t>
  </si>
  <si>
    <t>1680哺乳照</t>
  </si>
  <si>
    <t>sam</t>
  </si>
  <si>
    <t>880哺乳照</t>
  </si>
  <si>
    <t>KOL-Miki</t>
  </si>
  <si>
    <t>周咩咩</t>
  </si>
  <si>
    <t>陆海源</t>
  </si>
  <si>
    <t>Ollie</t>
  </si>
  <si>
    <t>尤嘉</t>
  </si>
  <si>
    <t>3580闺蜜照</t>
  </si>
  <si>
    <t>3580孕照</t>
  </si>
  <si>
    <t>3280跟拍</t>
  </si>
  <si>
    <t>胡悠</t>
  </si>
  <si>
    <t>S20192004</t>
  </si>
  <si>
    <t>邓小邓加印刷</t>
  </si>
  <si>
    <t>6880两次</t>
  </si>
  <si>
    <t>S20192005</t>
  </si>
  <si>
    <t>tinyhands拍摄</t>
  </si>
  <si>
    <t>Carrie</t>
  </si>
  <si>
    <t>王婵</t>
  </si>
  <si>
    <t>CC.JC</t>
  </si>
  <si>
    <t>3980F</t>
  </si>
  <si>
    <t>陈晓</t>
  </si>
  <si>
    <t>4480定制</t>
  </si>
  <si>
    <t>3980外景</t>
  </si>
  <si>
    <t>5900steps3</t>
  </si>
  <si>
    <t>1400小主题</t>
  </si>
  <si>
    <t>5900steps</t>
  </si>
  <si>
    <t>POS</t>
  </si>
  <si>
    <t>李晓鸥</t>
  </si>
  <si>
    <t>4990每年全家福</t>
  </si>
  <si>
    <t>鼓鼓</t>
  </si>
  <si>
    <t>99证件照</t>
  </si>
  <si>
    <t>1400圣诞照</t>
  </si>
  <si>
    <t>S20192006</t>
  </si>
  <si>
    <t>Jihui Zhang</t>
  </si>
  <si>
    <t>149证件照</t>
  </si>
  <si>
    <t>蛋黄小噗噗</t>
  </si>
  <si>
    <t>吴佳琳</t>
  </si>
  <si>
    <t>小马驹</t>
  </si>
  <si>
    <t>S20192007</t>
  </si>
  <si>
    <t>胖雪闹闹</t>
  </si>
  <si>
    <t>吴姝丽</t>
  </si>
  <si>
    <t>小茹/阿哲</t>
  </si>
  <si>
    <t>阿池池</t>
  </si>
  <si>
    <t>池小姐</t>
  </si>
  <si>
    <t>不懒了</t>
  </si>
  <si>
    <t>已打印</t>
  </si>
  <si>
    <t>S20192025</t>
  </si>
  <si>
    <t>Steps四袋拍摄影棚内</t>
  </si>
  <si>
    <t>棚内1套宝宝单人</t>
  </si>
  <si>
    <t>1小时左右</t>
  </si>
  <si>
    <t>不含</t>
  </si>
  <si>
    <t>7寸精致摆台 一个</t>
  </si>
  <si>
    <t>提供</t>
  </si>
  <si>
    <t>待沟通</t>
  </si>
  <si>
    <t>老客户续拍额外赠送一个摆台。</t>
  </si>
  <si>
    <t>S20192026</t>
  </si>
  <si>
    <t>金钥匙</t>
  </si>
  <si>
    <t>曹晓</t>
  </si>
  <si>
    <t>兴宝（2013.8.25男孩)+妈妈</t>
  </si>
  <si>
    <t>棚内1套</t>
  </si>
  <si>
    <t>8+2=10</t>
  </si>
  <si>
    <t>1400+500=1900</t>
  </si>
  <si>
    <t>另外增加妈妈入镜，额外增加500，多2张精修。</t>
  </si>
  <si>
    <t>果冻/小茹</t>
  </si>
  <si>
    <t>果冻/胡清</t>
  </si>
  <si>
    <t>S20192016</t>
  </si>
  <si>
    <t>葛晓滢</t>
  </si>
  <si>
    <t>2020.12.22.10：00</t>
  </si>
  <si>
    <t>兜兜（2019.9.10男孩）+爸爸妈妈+外公外婆</t>
  </si>
  <si>
    <t>宝宝单人照2组，全家福1组</t>
  </si>
  <si>
    <t>2-3小时左右</t>
  </si>
  <si>
    <t>20+4=24张</t>
  </si>
  <si>
    <r>
      <rPr>
        <sz val="10"/>
        <rFont val="微软雅黑"/>
        <charset val="134"/>
      </rPr>
      <t>10寸轻相册一本</t>
    </r>
    <r>
      <rPr>
        <sz val="10"/>
        <rFont val="微软雅黑"/>
        <charset val="134"/>
      </rPr>
      <t xml:space="preserve"> </t>
    </r>
  </si>
  <si>
    <t>棚内有适合兜兜的服装可提供</t>
  </si>
  <si>
    <t>点评</t>
  </si>
  <si>
    <t>S20192029</t>
  </si>
  <si>
    <t>袁佳</t>
  </si>
  <si>
    <t>袁佳（预产期2月初）+准爸爸</t>
  </si>
  <si>
    <t>棚内2套</t>
  </si>
  <si>
    <t xml:space="preserve"> 21寸油画框一个</t>
  </si>
  <si>
    <t>S20192032</t>
  </si>
  <si>
    <t>KoKi</t>
  </si>
  <si>
    <t>胡琪</t>
  </si>
  <si>
    <t>Lucas（2015.1.27男孩）+爸爸妈妈</t>
  </si>
  <si>
    <t>全家福1组，光影</t>
  </si>
  <si>
    <t>2小时左右</t>
  </si>
  <si>
    <t>12+1=13</t>
  </si>
  <si>
    <t xml:space="preserve"> 20寸油画框一个</t>
  </si>
  <si>
    <t>点评活动，平日拍2980，特殊安排周末。</t>
  </si>
  <si>
    <t>S20192061</t>
  </si>
  <si>
    <t>桉树柠檬</t>
  </si>
  <si>
    <t>圣诞+新年样片</t>
  </si>
  <si>
    <t>4480儿童肖像</t>
  </si>
  <si>
    <t>S20192051</t>
  </si>
  <si>
    <t>微信/支付宝</t>
  </si>
  <si>
    <t>S20192021</t>
  </si>
  <si>
    <t>Richie</t>
  </si>
  <si>
    <t>陈周平</t>
  </si>
  <si>
    <t>陈不染（2019.9.15女孩）+爸爸妈妈</t>
  </si>
  <si>
    <t>宝宝单人照2组，全家福1组，哺乳照1组。</t>
  </si>
  <si>
    <t>20+2=22</t>
  </si>
  <si>
    <t>点评活动，平日拍折后3680。</t>
  </si>
  <si>
    <t>S20192038</t>
  </si>
  <si>
    <t>8880成长2次</t>
  </si>
  <si>
    <t>钖钖（2015.7.13哥哥）+阿端（2016.4.1弟弟）</t>
  </si>
  <si>
    <t>10寸轻相册一本
40寸相框 一个</t>
  </si>
  <si>
    <t>产品相框要不要做选照片时确认，成长第一次。</t>
  </si>
  <si>
    <t>S20192010</t>
  </si>
  <si>
    <t>1080F</t>
  </si>
  <si>
    <t>小茹/胡清</t>
  </si>
  <si>
    <t>S20192020</t>
  </si>
  <si>
    <t>万丽</t>
  </si>
  <si>
    <t>2980全家福+光影</t>
  </si>
  <si>
    <t>Mario（2015.4.26弟弟）+姐姐（2013.06.19）+爸爸妈妈</t>
  </si>
  <si>
    <t>家庭照</t>
  </si>
  <si>
    <t>2个小时左右</t>
  </si>
  <si>
    <t>12+1</t>
  </si>
  <si>
    <t>全家福风格正常沟通，另外可再拍一组剪影照或者表情包，现场确认。</t>
  </si>
  <si>
    <t>老客户续拍，免费多一人入镜。</t>
  </si>
  <si>
    <t>S20192037</t>
  </si>
  <si>
    <t>茗芳</t>
  </si>
  <si>
    <t xml:space="preserve">单女士 </t>
  </si>
  <si>
    <t xml:space="preserve">2020新年照 </t>
  </si>
  <si>
    <t>蟠蟠2012.12.6男孩）+爸爸妈妈</t>
  </si>
  <si>
    <t>6+2=8</t>
  </si>
  <si>
    <t>之一同学妈妈推荐，额外多送2张精修。</t>
  </si>
  <si>
    <t>S20192063</t>
  </si>
  <si>
    <t>宋小姐</t>
  </si>
  <si>
    <t>逗逗（2017.7.10男孩）</t>
  </si>
  <si>
    <t>拍圣诞照</t>
  </si>
  <si>
    <t>S20192062</t>
  </si>
  <si>
    <t>nicongai</t>
  </si>
  <si>
    <t>倪雯娇</t>
  </si>
  <si>
    <t>一克拉（2019.4月女孩）+妈妈</t>
  </si>
  <si>
    <t>1-2小时左右</t>
  </si>
  <si>
    <t>先约880，拍摄完确定要不要更换套餐。</t>
  </si>
  <si>
    <t>小茹/徐珍</t>
  </si>
  <si>
    <t>S20192070</t>
  </si>
  <si>
    <t>成长steps3</t>
  </si>
  <si>
    <t>S20192065</t>
  </si>
  <si>
    <t>Rachelting</t>
  </si>
  <si>
    <t>陈丽婷</t>
  </si>
  <si>
    <t>陈丽婷+爸爸妈妈</t>
  </si>
  <si>
    <t>可拍其他风格</t>
  </si>
  <si>
    <t>套餐待定2020，拍摄当天或选照片的时候确认要不要换2880。</t>
  </si>
  <si>
    <t>S20192073</t>
  </si>
  <si>
    <t>Becky</t>
  </si>
  <si>
    <t>形象照</t>
  </si>
  <si>
    <t>三位老师</t>
  </si>
  <si>
    <t>每人各一张</t>
  </si>
  <si>
    <t>muzika老师，价格500/人，1张精修</t>
  </si>
  <si>
    <t>10/summer</t>
  </si>
  <si>
    <t>S20192013</t>
  </si>
  <si>
    <t>yanghx</t>
  </si>
  <si>
    <t>杨女士</t>
  </si>
  <si>
    <r>
      <rPr>
        <sz val="10"/>
        <rFont val="微软雅黑"/>
        <charset val="134"/>
      </rPr>
      <t>2020</t>
    </r>
    <r>
      <rPr>
        <sz val="10"/>
        <rFont val="微软雅黑"/>
        <charset val="134"/>
      </rPr>
      <t>.</t>
    </r>
    <r>
      <rPr>
        <sz val="10"/>
        <rFont val="微软雅黑"/>
        <charset val="134"/>
      </rPr>
      <t>1.1  10:00:00</t>
    </r>
  </si>
  <si>
    <t>3680亲子+儿童</t>
  </si>
  <si>
    <t>可可（2019.1.12妹妹）+哥哥+爸爸妈妈</t>
  </si>
  <si>
    <t>宝宝单人照1组，全家福1组</t>
  </si>
  <si>
    <t>2-3小时</t>
  </si>
  <si>
    <t>8寸萝莉册</t>
  </si>
  <si>
    <t>套餐先待定3680，沟通过风格后可更换其他套餐</t>
  </si>
  <si>
    <t>全家福哥哥免费出镜，另外再拍点哥哥和妹妹的合影</t>
  </si>
  <si>
    <t>S20192011</t>
  </si>
  <si>
    <t>陆应</t>
  </si>
  <si>
    <t>古羊路158号</t>
  </si>
  <si>
    <t>个人</t>
  </si>
  <si>
    <t>1套职业照</t>
  </si>
  <si>
    <t>1小时</t>
  </si>
  <si>
    <t>3张</t>
  </si>
  <si>
    <t>不包含</t>
  </si>
  <si>
    <t>多拍几张全身</t>
  </si>
  <si>
    <t>y</t>
  </si>
  <si>
    <t>S20192008</t>
  </si>
  <si>
    <t>athena</t>
  </si>
  <si>
    <t>RRT</t>
  </si>
  <si>
    <t>2小时</t>
  </si>
  <si>
    <t>8寸precious相框1个</t>
  </si>
  <si>
    <t>1套家庭照，1套孩子单人照</t>
  </si>
  <si>
    <t>8寸萝莉册 一本</t>
  </si>
  <si>
    <t>2980个人肖像</t>
  </si>
  <si>
    <t>森小蝶</t>
  </si>
  <si>
    <t>李之晶</t>
  </si>
  <si>
    <t>2880F+1080表情包</t>
  </si>
  <si>
    <t>50分钟</t>
  </si>
  <si>
    <t>自备</t>
  </si>
  <si>
    <t>S20192009</t>
  </si>
  <si>
    <t>S20192012</t>
  </si>
  <si>
    <t>2020-12月</t>
  </si>
  <si>
    <t>Winston（2017.11.25弟弟）+Wilson（2013.2.7哥哥）+爸爸妈妈</t>
  </si>
  <si>
    <t>妈妈拍好看，单人照哥哥和弟弟各一组。</t>
  </si>
  <si>
    <t>支付宝500+现金1500</t>
  </si>
  <si>
    <t>老客户续约，拍摄时间暂定12月左右，提前一个月确认具体时间</t>
  </si>
  <si>
    <t>S20192014</t>
  </si>
  <si>
    <t>ultraman</t>
  </si>
  <si>
    <t>韩晓晨</t>
  </si>
  <si>
    <t>2020.3月-2021.3月</t>
  </si>
  <si>
    <t>小太阳（2019.3.22男孩）</t>
  </si>
  <si>
    <t>宝宝单人照2组</t>
  </si>
  <si>
    <t>套餐可转闺蜜照，如果闺蜜照只拍1组价格可按照2980个人self的基础上额外增加500/人，另外多2张精修的费用算，如果拍宝宝单人照或者全家福可在2年左右拍完。</t>
  </si>
  <si>
    <t>老客户续约，套餐暂定2480，后期可更换其他正价套餐。</t>
  </si>
  <si>
    <t>平日特惠</t>
  </si>
  <si>
    <t>S20192015</t>
  </si>
  <si>
    <t>2020.9月左右</t>
  </si>
  <si>
    <t>弟弟（2019.9.3）+暖暖（2015.12.23姐姐）+爸爸妈妈</t>
  </si>
  <si>
    <t>棚内家庭照1组</t>
  </si>
  <si>
    <t>弟弟单人照和姐姐单人照都拍一点</t>
  </si>
  <si>
    <t>老客户续约，拍摄时间暂定弟弟9月生日前后。</t>
  </si>
  <si>
    <t>S20192017</t>
  </si>
  <si>
    <t>2020.1.11.16：30</t>
  </si>
  <si>
    <t>安康（2019.1.16男孩）+爸爸妈妈+爷爷奶奶</t>
  </si>
  <si>
    <t>15+2=17张</t>
  </si>
  <si>
    <t>成长套餐最后一次拍摄。</t>
  </si>
  <si>
    <t>安康</t>
  </si>
  <si>
    <t>S20192018</t>
  </si>
  <si>
    <t>齐齐（2019.2月男孩）+爸爸妈妈</t>
  </si>
  <si>
    <t>20+2=22张</t>
  </si>
  <si>
    <t>要拍一点抓周照。</t>
  </si>
  <si>
    <t>3680平日特惠</t>
  </si>
  <si>
    <t>老客户续约，平日拍摄活动折后3680，另外拍1组哺乳照。</t>
  </si>
  <si>
    <t>S20192019</t>
  </si>
  <si>
    <t>Karen  niu</t>
  </si>
  <si>
    <t>2020-12月左右</t>
  </si>
  <si>
    <t>黄金城道/新虹桥中心花园</t>
  </si>
  <si>
    <t>11（2012.11.9姐姐）+22（2017.7.7妹妹）+爸爸妈妈</t>
  </si>
  <si>
    <t>可带长辈出镜</t>
  </si>
  <si>
    <t>老客户续约，拍摄黄金雨或者新虹桥中心花园待定，提前一个月确认。</t>
  </si>
  <si>
    <t>S20192022</t>
  </si>
  <si>
    <t>蓝天皓</t>
  </si>
  <si>
    <t>2020-2月下旬</t>
  </si>
  <si>
    <t>菜菜（2015.11.28姐姐）+肉肉（2019.11.9妹妹）+爸爸妈妈</t>
  </si>
  <si>
    <t>单人照可姐姐妹妹各一组。</t>
  </si>
  <si>
    <t>老客户续拍，平日拍摄套餐折后3680，百日大概2.27号左右，时间暂定百日，最晚周岁前拍摄完成</t>
  </si>
  <si>
    <t>S20192023</t>
  </si>
  <si>
    <t>又欢（2014.3.16姐姐）+又乐（2017.1月妹妹）+爸爸妈妈</t>
  </si>
  <si>
    <t>参加转发活动套系-300，老客户预约新套餐套系85折</t>
  </si>
  <si>
    <t>S20192024</t>
  </si>
  <si>
    <t>2020-11-12月左右</t>
  </si>
  <si>
    <t>球球（2016.11.10男孩）+爸爸妈妈</t>
  </si>
  <si>
    <t>20张</t>
  </si>
  <si>
    <t>10寸轻相册一本
 20寸油画框一个</t>
  </si>
  <si>
    <t>老客户续拍，点评活动折后3580。拍摄时间暂定12月左右，提前一个月左右确认时间。拍黄金雨。</t>
  </si>
  <si>
    <t>S20192027</t>
  </si>
  <si>
    <t>周公子（danny）</t>
  </si>
  <si>
    <t>danny</t>
  </si>
  <si>
    <t>果果（2016.12.06男孩）+妈妈+外公外婆</t>
  </si>
  <si>
    <t>额外增加一位长辈出镜，增加120，仅限此单。</t>
  </si>
  <si>
    <t>S20192028</t>
  </si>
  <si>
    <t>2020-4月</t>
  </si>
  <si>
    <t>Ollie（2016.4.12女孩）</t>
  </si>
  <si>
    <t>一套拍油画风，另外一套待定。</t>
  </si>
  <si>
    <t>平日拍套餐-500，折后2480，拍摄时间4月具体待定。</t>
  </si>
  <si>
    <t>S20192030</t>
  </si>
  <si>
    <t>橙非比 Phoebe</t>
  </si>
  <si>
    <t>程序</t>
  </si>
  <si>
    <t>米多多（2014.9月女孩）+爸爸妈妈+外公外婆</t>
  </si>
  <si>
    <t>全家福1组，光影/表情包1组。</t>
  </si>
  <si>
    <t>12+1+4=17张</t>
  </si>
  <si>
    <t>想拍油画风</t>
  </si>
  <si>
    <t>额外增加外公外婆出镜，多1000出镜费用，多4张精修。</t>
  </si>
  <si>
    <t>S20192031</t>
  </si>
  <si>
    <t>栗子</t>
  </si>
  <si>
    <t>刘玮玮</t>
  </si>
  <si>
    <t>窈窈（201512女孩）+爸爸妈妈</t>
  </si>
  <si>
    <t>12+3=15</t>
  </si>
  <si>
    <t>绒面桌摆</t>
  </si>
  <si>
    <t>拍摄1组，团子推荐额外赠送一个绒面小桌摆，原套餐相框不要换3张精修。</t>
  </si>
  <si>
    <t>S20192033</t>
  </si>
  <si>
    <t>2020-4-5月</t>
  </si>
  <si>
    <t>晞晞（2012.3.3姐姐）+翰翰（2018.1.30弟弟）+待定</t>
  </si>
  <si>
    <t>圣诞照续约，预付500定金，套餐待定，提前微信确认。</t>
  </si>
  <si>
    <t>S20192034</t>
  </si>
  <si>
    <t>祎祎（2017.1.11女孩）+爸爸妈妈</t>
  </si>
  <si>
    <t>成长套餐第二次</t>
  </si>
  <si>
    <t>S20192035</t>
  </si>
  <si>
    <t>高书恒</t>
  </si>
  <si>
    <t>阳阳（2015.09.11哥哥）+沐沐（2018.04.04弟弟）+爸爸妈妈</t>
  </si>
  <si>
    <t>拍新年照，哥哥120弟弟90，80/110也可以穿</t>
  </si>
  <si>
    <t>2020+500=2520</t>
  </si>
  <si>
    <t>S20192036</t>
  </si>
  <si>
    <t>晓晓（2018.12.11女孩）+爸爸妈妈</t>
  </si>
  <si>
    <t>周岁照续约，套餐暂定2880，提前一个月确定拍摄时间和套餐，风格待定。</t>
  </si>
  <si>
    <t>S20192039</t>
  </si>
  <si>
    <t>Sabrina</t>
  </si>
  <si>
    <t>格格（2012.2.7女孩）+爸爸妈妈</t>
  </si>
  <si>
    <t>希望化妆化得自然一点，妆感淡一点，</t>
  </si>
  <si>
    <t>原套餐内20寸油画框不要换3张精修</t>
  </si>
  <si>
    <t>S20192041</t>
  </si>
  <si>
    <t>郑艳华</t>
  </si>
  <si>
    <t>2021-1月</t>
  </si>
  <si>
    <t>毛毛（2019.1.10男孩）</t>
  </si>
  <si>
    <t>周岁照续约，套餐暂定2980儿童肖像，平日拍折后2480，拍摄前具体确认需不需要更换套餐，时间暂定1月。</t>
  </si>
  <si>
    <t>S20192043</t>
  </si>
  <si>
    <t>Ro</t>
  </si>
  <si>
    <t>王芸卿</t>
  </si>
  <si>
    <t>2980平日特惠</t>
  </si>
  <si>
    <t>萌萌（2018.1.25女孩）+爸爸妈妈</t>
  </si>
  <si>
    <t>全家福1组，表情包1组。</t>
  </si>
  <si>
    <t>13张</t>
  </si>
  <si>
    <t>点评活动，平日拍摄特惠2980。</t>
  </si>
  <si>
    <t>S20192044</t>
  </si>
  <si>
    <t>Pinpinpop</t>
  </si>
  <si>
    <t>照清（2017.7.17男孩）+爸爸妈妈</t>
  </si>
  <si>
    <t>12+1+3=16张</t>
  </si>
  <si>
    <t>8寸相册  一本</t>
  </si>
  <si>
    <t>全家福选新年主题；加拍一张宝宝的证件照</t>
  </si>
  <si>
    <t>可能再带一位长辈；拍完写点评免费送宝宝证件照</t>
  </si>
  <si>
    <t>S20192045</t>
  </si>
  <si>
    <t>雪梅（30岁）</t>
  </si>
  <si>
    <t>单人肖像2套</t>
  </si>
  <si>
    <t>10张</t>
  </si>
  <si>
    <t>30岁留念</t>
  </si>
  <si>
    <t>S20192046</t>
  </si>
  <si>
    <t>Lucy（2018.2女孩）+爸爸妈妈</t>
  </si>
  <si>
    <t>全家福1组，宝宝单人照1组。</t>
  </si>
  <si>
    <t>18+3=21</t>
  </si>
  <si>
    <t>老客户续拍套餐9折，仅限此单。</t>
  </si>
  <si>
    <t>S20192047</t>
  </si>
  <si>
    <t>好姑娘vs女流氓</t>
  </si>
  <si>
    <t>岑怿裴</t>
  </si>
  <si>
    <t>佳佳（2016.1.13女孩）+爸爸妈妈</t>
  </si>
  <si>
    <t>团子的朋友，额外多给宝宝拍1组单人照。</t>
  </si>
  <si>
    <t>S20192048</t>
  </si>
  <si>
    <t>吴丹翔</t>
  </si>
  <si>
    <t>煦煦（2016.1哥哥）+阿琪（2018.9妹妹）+爸爸妈妈+爷爷奶奶外公外婆</t>
  </si>
  <si>
    <t>6+8=14</t>
  </si>
  <si>
    <t>之一朋友，免费多1人出镜，另外4人额外增加500/人的费用，多8张精修。套餐待定4020，拍摄当天确认要不要改4880大家庭套餐。</t>
  </si>
  <si>
    <t>S20192049</t>
  </si>
  <si>
    <t>Chloe(2016.7.15 女)Celine(2011.4.16女) Tom(2009.9.16男)+爸爸妈妈</t>
  </si>
  <si>
    <t>原定699套餐，更换699套餐，多2人入镜。</t>
  </si>
  <si>
    <t>S20192050</t>
  </si>
  <si>
    <t>StaroO</t>
  </si>
  <si>
    <t>邢亚星</t>
  </si>
  <si>
    <t>小朵拉（2019.02.27女孩）+爸爸妈妈</t>
  </si>
  <si>
    <t>孩子单人照2组，全家福1组，哺乳照1组。</t>
  </si>
  <si>
    <t>点评活动平日拍摄折后3680。</t>
  </si>
  <si>
    <t>小红书</t>
  </si>
  <si>
    <t>S20192052</t>
  </si>
  <si>
    <t>jorin zhou</t>
  </si>
  <si>
    <t>哩哩（2016.11.20 女孩）</t>
  </si>
  <si>
    <t>S20192053</t>
  </si>
  <si>
    <t>S20192054</t>
  </si>
  <si>
    <t>Leo（2012.1.13男孩）+妈妈</t>
  </si>
  <si>
    <t>老客户续订，多送一个1400小主题，仅限此单</t>
  </si>
  <si>
    <t>Leo</t>
  </si>
  <si>
    <t>2012.1.13</t>
  </si>
  <si>
    <t>S20192055</t>
  </si>
  <si>
    <t>汤圆（2017.02.07男孩）</t>
  </si>
  <si>
    <t>棚内2组</t>
  </si>
  <si>
    <t>两个套餐一起约，平日价格 可安排周末拍摄。</t>
  </si>
  <si>
    <t>S20192056</t>
  </si>
  <si>
    <t>瑞瑞（2016.12.29女孩）+爸爸妈妈</t>
  </si>
  <si>
    <t>老客户续拍。</t>
  </si>
  <si>
    <t>S20192057</t>
  </si>
  <si>
    <t>沄</t>
  </si>
  <si>
    <t>江润芸</t>
  </si>
  <si>
    <t>杨杨（2017.1.14男孩）+爸爸妈妈</t>
  </si>
  <si>
    <t>S20192058</t>
  </si>
  <si>
    <t>2020-待定</t>
  </si>
  <si>
    <t>姐姐（12岁）+妹妹（6岁）+爸爸妈妈</t>
  </si>
  <si>
    <t>老客户续拍，免费多一人出镜，拍摄时间待定。</t>
  </si>
  <si>
    <t>S20192059</t>
  </si>
  <si>
    <t>2020-9月</t>
  </si>
  <si>
    <t>兜兜（2019.9.10男孩）</t>
  </si>
  <si>
    <t>套餐待定宝宝个人照，拍摄前确认，预付1500定金。</t>
  </si>
  <si>
    <t>S20192060</t>
  </si>
  <si>
    <t>weihong</t>
  </si>
  <si>
    <t>魏红</t>
  </si>
  <si>
    <t>张嘉怡（2012.10姐姐）+张佩霖（2016.4弟弟）+爸爸妈妈</t>
  </si>
  <si>
    <t>想拍新年照风格</t>
  </si>
  <si>
    <t>之一朋友，套餐8折，免费多1人入镜。</t>
  </si>
  <si>
    <t>S20192064</t>
  </si>
  <si>
    <t>老客户续拍，预付500定金，拍摄时间暂定2020.12月左右，提前一个月确定时间和套餐</t>
  </si>
  <si>
    <t>S20192066</t>
  </si>
  <si>
    <t>2020-2月左右</t>
  </si>
  <si>
    <t>2980新生儿</t>
  </si>
  <si>
    <t>宝宝（预产期2月初）</t>
  </si>
  <si>
    <t>2套服装</t>
  </si>
  <si>
    <t>10寸精致摆台 一个</t>
  </si>
  <si>
    <t>孕照续订，约百日照送新生儿上门，家人可以出镜拍一些。</t>
  </si>
  <si>
    <t>S20192067</t>
  </si>
  <si>
    <t>6880孕照+百日</t>
  </si>
  <si>
    <t>宝宝（预产期2月初）+爸爸妈妈</t>
  </si>
  <si>
    <t>孩子单人照2组，全家福1组，对比照1组。</t>
  </si>
  <si>
    <t>20+1</t>
  </si>
  <si>
    <t>孕照续订，约百日照送新生儿上门，额外赠送对比照1组，额外多1张精修。</t>
  </si>
  <si>
    <t>S20192068</t>
  </si>
  <si>
    <t>雷蒙德</t>
  </si>
  <si>
    <t>李衡</t>
  </si>
  <si>
    <t>1000元职业照</t>
  </si>
  <si>
    <t>保时捷员工拍摄券，费用已付。</t>
  </si>
  <si>
    <t>S20192069</t>
  </si>
  <si>
    <t>Kathyyy</t>
  </si>
  <si>
    <t>荆小纯</t>
  </si>
  <si>
    <t>韬韬（2016.1.5男孩）+爸爸妈妈</t>
  </si>
  <si>
    <t>点评活动平日拍折后2980</t>
  </si>
  <si>
    <t>S20192071</t>
  </si>
  <si>
    <t>乐烨</t>
  </si>
  <si>
    <t>遥遥（2019.7.25女孩）+爸爸妈妈+外公外婆</t>
  </si>
  <si>
    <t>全家福1组，哺乳照1组。</t>
  </si>
  <si>
    <t>12+4=16</t>
  </si>
  <si>
    <t>额外增加外公外婆出镜，多500/人的费用，多2张精修。</t>
  </si>
  <si>
    <t>S20192072</t>
  </si>
  <si>
    <t>2020-2021/12月</t>
  </si>
  <si>
    <t>高期获（2015.1.4男孩）</t>
  </si>
  <si>
    <t>套餐暂定宝宝单人照，拍摄前确认，2年有效。</t>
  </si>
  <si>
    <t>S20192074</t>
  </si>
  <si>
    <t>XtineSoup</t>
  </si>
  <si>
    <t>汤储君</t>
  </si>
  <si>
    <t>4480主题定制+1080哺乳照</t>
  </si>
  <si>
    <t>小猪蹄（2019.09.28男孩）+爸爸妈妈+2位长辈</t>
  </si>
  <si>
    <t>孩子单人照1组，全家福1组，哺乳照1组。</t>
  </si>
  <si>
    <t>宝宝单人照少拍1组，免费多2位长辈入镜。点评活动平日拍折后3680。</t>
  </si>
  <si>
    <t>S20192075</t>
  </si>
  <si>
    <t>惠慧Amy（DG）</t>
  </si>
  <si>
    <t>惠慧</t>
  </si>
  <si>
    <t>6980平日大全家福</t>
  </si>
  <si>
    <t>俞嘉浩（2004.08.26男生）+Yu Kawo（2010，9.25男生）+爸爸妈妈
孙文琦（2003.1.22女生）+孙可可（2014.08.26女生）+爸爸妈妈+两位长辈</t>
  </si>
  <si>
    <t>3-4小时</t>
  </si>
  <si>
    <r>
      <rPr>
        <sz val="10"/>
        <rFont val="微软雅黑"/>
        <charset val="134"/>
      </rPr>
      <t>10</t>
    </r>
    <r>
      <rPr>
        <sz val="11"/>
        <color rgb="FF333333"/>
        <rFont val="宋体"/>
        <charset val="134"/>
      </rPr>
      <t>寸轻相册</t>
    </r>
    <r>
      <rPr>
        <sz val="11"/>
        <color rgb="FF333333"/>
        <rFont val="Hiragino Sans GB"/>
        <charset val="134"/>
      </rPr>
      <t xml:space="preserve">  </t>
    </r>
    <r>
      <rPr>
        <sz val="11"/>
        <color rgb="FF333333"/>
        <rFont val="宋体"/>
        <charset val="134"/>
      </rPr>
      <t>一本</t>
    </r>
    <r>
      <rPr>
        <sz val="11"/>
        <color rgb="FF333333"/>
        <rFont val="Hiragino Sans GB"/>
        <charset val="134"/>
      </rPr>
      <t xml:space="preserve"> 
24</t>
    </r>
    <r>
      <rPr>
        <sz val="11"/>
        <color rgb="FF333333"/>
        <rFont val="宋体"/>
        <charset val="134"/>
      </rPr>
      <t>寸油画框</t>
    </r>
    <r>
      <rPr>
        <sz val="11"/>
        <color rgb="FF333333"/>
        <rFont val="Hiragino Sans GB"/>
        <charset val="134"/>
      </rPr>
      <t xml:space="preserve"> </t>
    </r>
    <r>
      <rPr>
        <sz val="11"/>
        <color rgb="FF333333"/>
        <rFont val="宋体"/>
        <charset val="134"/>
      </rPr>
      <t>一个
10寸精致摆台 一个</t>
    </r>
  </si>
  <si>
    <t>点评活动平日特惠6980</t>
  </si>
  <si>
    <t>S20192076</t>
  </si>
  <si>
    <t>刘佩成</t>
  </si>
  <si>
    <t>预产期4.10日</t>
  </si>
  <si>
    <t>S20192077</t>
  </si>
  <si>
    <t>2020/12月</t>
  </si>
  <si>
    <t>每年拍圣诞照，套餐暂定1400，如果明年圣诞主题更合算可更换其他套餐，预付500。</t>
  </si>
  <si>
    <t>S20192078</t>
  </si>
  <si>
    <t>Alice.Wang</t>
  </si>
  <si>
    <t>Selina（200.707.07女孩）+爸爸妈妈</t>
  </si>
  <si>
    <t>棚内1组</t>
  </si>
  <si>
    <t>S20192079</t>
  </si>
  <si>
    <t>滕小小</t>
  </si>
  <si>
    <t>滕美珠</t>
  </si>
  <si>
    <t>张智宸（2011.04.09男孩）</t>
  </si>
  <si>
    <t>16+3=19</t>
  </si>
  <si>
    <t>想拍新年照和小面包师，小朋友身高140。</t>
  </si>
  <si>
    <t>点评活动平日拍折后2480，油画框不要更换3张精修。</t>
  </si>
  <si>
    <t>S20200001</t>
  </si>
  <si>
    <t>pooh的蜂蜜</t>
  </si>
  <si>
    <t>倪惠珏</t>
  </si>
  <si>
    <t>Emilia（2012.12.23女孩）+爸爸妈妈+CC（金毛）奶酪（柴犬）</t>
  </si>
  <si>
    <t>免费多一直狗狗入镜，另外一只额外总价200入镜费用。给狗狗拍点合影。</t>
  </si>
  <si>
    <t>拍摄确认单</t>
  </si>
  <si>
    <t>手机号</t>
  </si>
  <si>
    <t>引导/助理</t>
  </si>
  <si>
    <t>总金额（元）</t>
  </si>
  <si>
    <t>尾款（元）</t>
  </si>
  <si>
    <t>（需在拍摄当天付清）</t>
  </si>
  <si>
    <t>另加费用</t>
  </si>
  <si>
    <t>* 关于改期</t>
  </si>
  <si>
    <r>
      <rPr>
        <sz val="12"/>
        <color theme="0" tint="-0.499984740745262"/>
        <rFont val="Microsoft YaHei"/>
        <charset val="134"/>
      </rPr>
      <t>改期费</t>
    </r>
    <r>
      <rPr>
        <sz val="12"/>
        <color theme="3" tint="0.39988402966399123"/>
        <rFont val="Microsoft YaHei"/>
        <charset val="134"/>
      </rPr>
      <t>300元</t>
    </r>
    <r>
      <rPr>
        <sz val="12"/>
        <color theme="0" tint="-0.499984740745262"/>
        <rFont val="Microsoft YaHei"/>
        <charset val="134"/>
      </rPr>
      <t>（提前7天以上不收改期费）。每一场拍摄团队只服务一组客人，请勿随意改期哦。</t>
    </r>
  </si>
  <si>
    <t>实收尾款</t>
  </si>
  <si>
    <t>* 加家人拍摄</t>
  </si>
  <si>
    <r>
      <rPr>
        <sz val="12"/>
        <color theme="3" tint="0.39988402966399123"/>
        <rFont val="Microsoft YaHei"/>
        <charset val="134"/>
      </rPr>
      <t>500元/位</t>
    </r>
    <r>
      <rPr>
        <sz val="12"/>
        <color theme="0" tint="-0.499984740745262"/>
        <rFont val="Microsoft YaHei"/>
        <charset val="134"/>
      </rPr>
      <t>，包含妆发，多2张精修</t>
    </r>
  </si>
  <si>
    <t>* 加背景及服装</t>
  </si>
  <si>
    <r>
      <rPr>
        <sz val="12"/>
        <color theme="3" tint="0.39988402966399123"/>
        <rFont val="Microsoft YaHei"/>
        <charset val="134"/>
      </rPr>
      <t>1400元/组</t>
    </r>
    <r>
      <rPr>
        <sz val="12"/>
        <color theme="0" tint="-0.499984740745262"/>
        <rFont val="Microsoft YaHei"/>
        <charset val="134"/>
      </rPr>
      <t>，精修多</t>
    </r>
    <r>
      <rPr>
        <sz val="12"/>
        <color theme="3" tint="0.39988402966399123"/>
        <rFont val="Microsoft YaHei"/>
        <charset val="134"/>
      </rPr>
      <t>6张</t>
    </r>
  </si>
  <si>
    <t>付款日期</t>
  </si>
  <si>
    <t>* 另加精修</t>
  </si>
  <si>
    <t>100元/张</t>
  </si>
  <si>
    <t>* 何时选片</t>
  </si>
  <si>
    <r>
      <rPr>
        <sz val="12"/>
        <color theme="0" tint="-0.499984740745262"/>
        <rFont val="Microsoft YaHei"/>
        <charset val="134"/>
      </rPr>
      <t>拍摄完</t>
    </r>
    <r>
      <rPr>
        <sz val="12"/>
        <color theme="3" tint="0.39988402966399123"/>
        <rFont val="Microsoft YaHei"/>
        <charset val="134"/>
      </rPr>
      <t>一周</t>
    </r>
    <r>
      <rPr>
        <sz val="12"/>
        <color theme="0" tint="-0.499984740745262"/>
        <rFont val="Microsoft YaHei"/>
        <charset val="134"/>
      </rPr>
      <t>左右</t>
    </r>
  </si>
  <si>
    <t>* 修片&amp;印刷周期</t>
  </si>
  <si>
    <r>
      <rPr>
        <sz val="12"/>
        <color theme="0" tint="-0.499984740745262"/>
        <rFont val="Microsoft YaHei"/>
        <charset val="134"/>
      </rPr>
      <t>修片</t>
    </r>
    <r>
      <rPr>
        <sz val="12"/>
        <color theme="3" tint="0.39988402966399123"/>
        <rFont val="Microsoft YaHei"/>
        <charset val="134"/>
      </rPr>
      <t>20天，</t>
    </r>
    <r>
      <rPr>
        <sz val="12"/>
        <color theme="0" tint="-0.499984740745262"/>
        <rFont val="Microsoft YaHei"/>
        <charset val="134"/>
      </rPr>
      <t>印刷</t>
    </r>
    <r>
      <rPr>
        <sz val="12"/>
        <color theme="3" tint="0.39988402966399123"/>
        <rFont val="Microsoft YaHei"/>
        <charset val="134"/>
      </rPr>
      <t>2周</t>
    </r>
  </si>
  <si>
    <t>客户确认签字</t>
  </si>
  <si>
    <t>选片日期</t>
  </si>
  <si>
    <t>选片人</t>
  </si>
  <si>
    <t>选片另加费用</t>
  </si>
  <si>
    <t xml:space="preserve">              张（是否参加点评： 是  /  否  ）</t>
  </si>
  <si>
    <t>未修底片</t>
  </si>
  <si>
    <t>张</t>
  </si>
  <si>
    <t>z</t>
  </si>
  <si>
    <t>（颜色、款式、尺寸、照片序号）</t>
  </si>
  <si>
    <t>修片要求</t>
  </si>
  <si>
    <t>注：</t>
  </si>
  <si>
    <t>由于相框为易碎品，为避免意外，如需发快递只发本市，且24寸以上相框需到店自取。</t>
  </si>
  <si>
    <t>改期费300元（提前7天以上不收改期费）。每一场拍摄团队只服务一组客人，请勿随意改期哦。</t>
  </si>
  <si>
    <t>500元/位，包含妆发，多2张精修</t>
  </si>
  <si>
    <t>1400元/组，精修多6张</t>
  </si>
  <si>
    <t>200元/张</t>
  </si>
  <si>
    <r>
      <rPr>
        <sz val="12"/>
        <color theme="0" tint="-0.499984740745262"/>
        <rFont val="Microsoft YaHei"/>
        <charset val="134"/>
      </rPr>
      <t>修片</t>
    </r>
    <r>
      <rPr>
        <sz val="12"/>
        <color theme="3" tint="0.39988402966399123"/>
        <rFont val="Microsoft YaHei"/>
        <charset val="134"/>
      </rPr>
      <t>1周，</t>
    </r>
    <r>
      <rPr>
        <sz val="12"/>
        <color theme="0" tint="-0.499984740745262"/>
        <rFont val="Microsoft YaHei"/>
        <charset val="134"/>
      </rPr>
      <t>印刷</t>
    </r>
    <r>
      <rPr>
        <sz val="12"/>
        <color theme="3" tint="0.39988402966399123"/>
        <rFont val="Microsoft YaHei"/>
        <charset val="134"/>
      </rPr>
      <t>2周</t>
    </r>
  </si>
  <si>
    <t>* 加团队合影</t>
  </si>
  <si>
    <r>
      <rPr>
        <sz val="12"/>
        <color theme="0" tint="-0.499984740745262"/>
        <rFont val="Microsoft YaHei"/>
        <charset val="134"/>
      </rPr>
      <t>加成员，</t>
    </r>
    <r>
      <rPr>
        <sz val="12"/>
        <color theme="3" tint="0.39988402966399123"/>
        <rFont val="Microsoft YaHei"/>
        <charset val="134"/>
      </rPr>
      <t>480元/位</t>
    </r>
    <r>
      <rPr>
        <sz val="12"/>
        <color theme="0" tint="-0.499984740745262"/>
        <rFont val="Microsoft YaHei"/>
        <charset val="134"/>
      </rPr>
      <t>，多1张精修。合影精修价格=人数*100元/张</t>
    </r>
  </si>
  <si>
    <r>
      <rPr>
        <sz val="12"/>
        <color theme="3" tint="0.39988402966399123"/>
        <rFont val="Microsoft YaHei"/>
        <charset val="134"/>
      </rPr>
      <t>1000元/组</t>
    </r>
    <r>
      <rPr>
        <sz val="12"/>
        <color theme="0" tint="-0.499984740745262"/>
        <rFont val="Microsoft YaHei"/>
        <charset val="134"/>
      </rPr>
      <t>，精修多3张</t>
    </r>
  </si>
  <si>
    <t>300元/张</t>
  </si>
  <si>
    <r>
      <rPr>
        <sz val="12"/>
        <color theme="0" tint="-0.499984740745262"/>
        <rFont val="Microsoft YaHei"/>
        <charset val="134"/>
      </rPr>
      <t>拍摄完</t>
    </r>
    <r>
      <rPr>
        <sz val="12"/>
        <color rgb="FF538DD5"/>
        <rFont val="Microsoft YaHei"/>
        <charset val="134"/>
      </rPr>
      <t>一周</t>
    </r>
    <r>
      <rPr>
        <sz val="12"/>
        <color theme="0" tint="-0.499984740745262"/>
        <rFont val="Microsoft YaHei"/>
        <charset val="134"/>
      </rPr>
      <t xml:space="preserve"> or </t>
    </r>
    <r>
      <rPr>
        <sz val="12"/>
        <color rgb="FF538DD5"/>
        <rFont val="Microsoft YaHei"/>
        <charset val="134"/>
      </rPr>
      <t>当场</t>
    </r>
    <r>
      <rPr>
        <sz val="12"/>
        <color theme="0" tint="-0.499984740745262"/>
        <rFont val="Microsoft YaHei"/>
        <charset val="134"/>
      </rPr>
      <t>选片</t>
    </r>
  </si>
  <si>
    <t>* 修片周期</t>
  </si>
  <si>
    <r>
      <rPr>
        <sz val="12"/>
        <color theme="0" tint="-0.499984740745262"/>
        <rFont val="Microsoft YaHei"/>
        <charset val="134"/>
      </rPr>
      <t>单人套餐：</t>
    </r>
    <r>
      <rPr>
        <sz val="12"/>
        <color rgb="FF538DD5"/>
        <rFont val="Microsoft YaHei"/>
        <charset val="134"/>
      </rPr>
      <t>1周；</t>
    </r>
    <r>
      <rPr>
        <sz val="12"/>
        <color theme="0" tint="-0.499984740745262"/>
        <rFont val="Microsoft YaHei"/>
        <charset val="134"/>
      </rPr>
      <t>多人团队：</t>
    </r>
    <r>
      <rPr>
        <sz val="12"/>
        <color rgb="FF538DD5"/>
        <rFont val="Microsoft YaHei"/>
        <charset val="134"/>
      </rPr>
      <t>20天</t>
    </r>
  </si>
  <si>
    <t>外景 拍摄确认单</t>
  </si>
  <si>
    <t>改期费300元（提前7天以上不收改期费）。每一场拍摄团队只服务一组客人，请勿随意改期哦。如遇天气不佳，可免费另约拍摄时间，或视情况改拍棚内套餐。</t>
  </si>
  <si>
    <t>* 加家庭拍摄</t>
  </si>
  <si>
    <t>800元/家庭，多3张精修</t>
  </si>
  <si>
    <t>* 加拍时长</t>
  </si>
  <si>
    <t>1000元/小时</t>
  </si>
  <si>
    <t>* 另加化妆</t>
  </si>
  <si>
    <t>500元/小家庭3人</t>
  </si>
  <si>
    <t>* 另加长辈化妆</t>
  </si>
  <si>
    <t xml:space="preserve">  200元/人</t>
  </si>
  <si>
    <t xml:space="preserve">  拍摄完一周左右</t>
  </si>
  <si>
    <t>4280个人肖像</t>
  </si>
  <si>
    <t>4880大家庭</t>
  </si>
  <si>
    <t>7580大家庭</t>
  </si>
  <si>
    <t>婚纱肖像</t>
  </si>
  <si>
    <t>2480儿童平日</t>
  </si>
  <si>
    <t>3580儿童平日</t>
  </si>
  <si>
    <t>880单张</t>
  </si>
  <si>
    <t>3280哺乳+亲子</t>
  </si>
  <si>
    <t>1400儿童小主题</t>
  </si>
  <si>
    <t>3680家有二宝</t>
  </si>
  <si>
    <t>3980新生儿</t>
  </si>
  <si>
    <t>3880mini外景2次</t>
  </si>
  <si>
    <t>1080系列</t>
  </si>
  <si>
    <t>6980成长</t>
  </si>
  <si>
    <t>8880成长</t>
  </si>
  <si>
    <t>150证件照</t>
  </si>
  <si>
    <t>4980 Steps</t>
  </si>
  <si>
    <t>团购-3680百日+哺乳</t>
  </si>
  <si>
    <t>团购-2980全家福+1080</t>
  </si>
  <si>
    <t>团购-6980大家庭</t>
  </si>
  <si>
    <t>团购-3580外景</t>
  </si>
  <si>
    <t>团购-6880孕+百日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</si>
</sst>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80" formatCode="&quot;￥&quot;#,##0;&quot;￥&quot;\-#,##0"/>
    <numFmt numFmtId="182" formatCode="0_ "/>
    <numFmt numFmtId="183" formatCode="yyyy/m/d;@"/>
    <numFmt numFmtId="184" formatCode="yyyy/mm/dd"/>
  </numFmts>
  <fonts count="47" x14ac:knownFonts="1">
    <font>
      <sz val="12"/>
      <color theme="1"/>
      <name val="宋体"/>
      <family val="2"/>
      <charset val="134"/>
      <scheme val="minor"/>
    </font>
    <font>
      <sz val="12"/>
      <color theme="1"/>
      <name val="Microsoft YaHei"/>
      <charset val="134"/>
    </font>
    <font>
      <sz val="14"/>
      <color theme="1"/>
      <name val="Microsoft YaHei"/>
      <charset val="134"/>
    </font>
    <font>
      <b/>
      <sz val="10"/>
      <color theme="0"/>
      <name val="Microsoft YaHei"/>
      <charset val="134"/>
    </font>
    <font>
      <b/>
      <sz val="24"/>
      <color theme="6" tint="-0.249977111117893"/>
      <name val="Microsoft YaHei"/>
      <charset val="134"/>
    </font>
    <font>
      <b/>
      <sz val="20"/>
      <color theme="9" tint="-0.249977111117893"/>
      <name val="Microsoft YaHei"/>
      <charset val="134"/>
    </font>
    <font>
      <b/>
      <sz val="14"/>
      <name val="Microsoft YaHei"/>
      <charset val="134"/>
    </font>
    <font>
      <sz val="14"/>
      <name val="Microsoft YaHei"/>
      <charset val="134"/>
    </font>
    <font>
      <b/>
      <sz val="14"/>
      <color theme="9" tint="-0.249977111117893"/>
      <name val="Microsoft YaHei"/>
      <charset val="134"/>
    </font>
    <font>
      <sz val="14"/>
      <color theme="9" tint="-0.249977111117893"/>
      <name val="Microsoft YaHei"/>
      <charset val="134"/>
    </font>
    <font>
      <b/>
      <sz val="12"/>
      <name val="Microsoft YaHei"/>
      <charset val="134"/>
    </font>
    <font>
      <b/>
      <sz val="10"/>
      <name val="Microsoft YaHei"/>
      <charset val="134"/>
    </font>
    <font>
      <b/>
      <sz val="14"/>
      <color theme="0" tint="-0.499984740745262"/>
      <name val="Microsoft YaHei"/>
      <charset val="134"/>
    </font>
    <font>
      <sz val="12"/>
      <color theme="0" tint="-0.499984740745262"/>
      <name val="Microsoft YaHei"/>
      <charset val="134"/>
    </font>
    <font>
      <b/>
      <sz val="18"/>
      <color theme="9" tint="-0.249977111117893"/>
      <name val="Microsoft YaHei"/>
      <charset val="134"/>
    </font>
    <font>
      <sz val="14"/>
      <color theme="0" tint="-0.499984740745262"/>
      <name val="Microsoft YaHei"/>
      <charset val="134"/>
    </font>
    <font>
      <sz val="12"/>
      <color theme="1" tint="0.499984740745262"/>
      <name val="Microsoft YaHei"/>
      <charset val="134"/>
    </font>
    <font>
      <sz val="12"/>
      <color theme="0"/>
      <name val="Microsoft YaHei"/>
      <charset val="134"/>
    </font>
    <font>
      <sz val="12"/>
      <color theme="4" tint="-0.499984740745262"/>
      <name val="Microsoft YaHei"/>
      <charset val="134"/>
    </font>
    <font>
      <sz val="14"/>
      <color theme="0"/>
      <name val="Microsoft YaHei"/>
      <charset val="134"/>
    </font>
    <font>
      <sz val="14"/>
      <color theme="0" tint="-0.249977111117893"/>
      <name val="Microsoft YaHei"/>
      <charset val="134"/>
    </font>
    <font>
      <sz val="14"/>
      <color theme="5" tint="-0.249977111117893"/>
      <name val="Microsoft YaHei"/>
      <charset val="134"/>
    </font>
    <font>
      <b/>
      <sz val="20"/>
      <color theme="0"/>
      <name val="Microsoft YaHei"/>
      <charset val="134"/>
    </font>
    <font>
      <b/>
      <sz val="12"/>
      <color theme="1" tint="4.9989318521683403E-2"/>
      <name val="Microsoft YaHei"/>
      <charset val="134"/>
    </font>
    <font>
      <sz val="10"/>
      <name val="微软雅黑"/>
      <charset val="134"/>
    </font>
    <font>
      <b/>
      <sz val="14"/>
      <color theme="0"/>
      <name val="Microsoft YaHei"/>
      <charset val="134"/>
    </font>
    <font>
      <b/>
      <sz val="14"/>
      <color theme="6" tint="-0.249977111117893"/>
      <name val="Microsoft YaHei"/>
      <charset val="134"/>
    </font>
    <font>
      <b/>
      <sz val="14"/>
      <color theme="6" tint="-0.499984740745262"/>
      <name val="Microsoft YaHei"/>
      <charset val="134"/>
    </font>
    <font>
      <sz val="14"/>
      <color rgb="FF000000"/>
      <name val="Microsoft YaHei"/>
      <charset val="134"/>
    </font>
    <font>
      <b/>
      <sz val="12"/>
      <color theme="6" tint="-0.499984740745262"/>
      <name val="Microsoft YaHei"/>
      <charset val="134"/>
    </font>
    <font>
      <sz val="14"/>
      <color theme="8" tint="-0.249977111117893"/>
      <name val="Microsoft YaHei"/>
      <charset val="134"/>
    </font>
    <font>
      <b/>
      <sz val="10"/>
      <color rgb="FFFF0000"/>
      <name val="Microsoft YaHei"/>
      <charset val="134"/>
    </font>
    <font>
      <b/>
      <sz val="24"/>
      <color theme="8" tint="-0.249977111117893"/>
      <name val="Microsoft YaHei"/>
      <charset val="134"/>
    </font>
    <font>
      <sz val="12"/>
      <color theme="3" tint="-0.249977111117893"/>
      <name val="Microsoft YaHei"/>
      <charset val="134"/>
    </font>
    <font>
      <sz val="12"/>
      <color theme="3" tint="0.39988402966399123"/>
      <name val="Microsoft YaHei"/>
      <charset val="134"/>
    </font>
    <font>
      <sz val="12"/>
      <color rgb="FF538DD5"/>
      <name val="Microsoft YaHei"/>
      <charset val="134"/>
    </font>
    <font>
      <b/>
      <sz val="24"/>
      <color theme="9" tint="-0.249977111117893"/>
      <name val="Microsoft YaHei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color rgb="FFC00000"/>
      <name val="微软雅黑"/>
      <charset val="134"/>
    </font>
    <font>
      <b/>
      <sz val="14"/>
      <color theme="0"/>
      <name val="微软雅黑"/>
      <charset val="134"/>
    </font>
    <font>
      <b/>
      <sz val="10"/>
      <color theme="0"/>
      <name val="微软雅黑"/>
      <charset val="134"/>
    </font>
    <font>
      <sz val="14"/>
      <color theme="0"/>
      <name val="微软雅黑"/>
      <charset val="134"/>
    </font>
    <font>
      <sz val="10"/>
      <color theme="0"/>
      <name val="微软雅黑"/>
      <charset val="134"/>
    </font>
    <font>
      <sz val="11"/>
      <color rgb="FF333333"/>
      <name val="宋体"/>
      <charset val="134"/>
    </font>
    <font>
      <sz val="11"/>
      <color rgb="FF333333"/>
      <name val="Hiragino Sans GB"/>
      <charset val="134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E2EBF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EEFF6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41"/>
      </patternFill>
    </fill>
    <fill>
      <patternFill patternType="solid">
        <fgColor theme="9" tint="-0.249977111117893"/>
        <bgColor indexed="26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A279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844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1000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26"/>
      </patternFill>
    </fill>
    <fill>
      <patternFill patternType="solid">
        <fgColor theme="8" tint="-0.249977111117893"/>
        <bgColor indexed="31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89008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6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theme="8" tint="-0.24997711111789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9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/>
    <xf numFmtId="0" fontId="1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22" fontId="8" fillId="0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Fill="1" applyBorder="1" applyAlignment="1">
      <alignment horizontal="left" vertical="center"/>
    </xf>
    <xf numFmtId="0" fontId="15" fillId="0" borderId="0" xfId="0" applyNumberFormat="1" applyFont="1" applyFill="1" applyBorder="1" applyAlignment="1">
      <alignment horizontal="left" vertical="center"/>
    </xf>
    <xf numFmtId="0" fontId="17" fillId="3" borderId="0" xfId="0" applyNumberFormat="1" applyFont="1" applyFill="1" applyBorder="1" applyAlignment="1">
      <alignment horizontal="left" vertical="center"/>
    </xf>
    <xf numFmtId="0" fontId="18" fillId="4" borderId="0" xfId="0" applyNumberFormat="1" applyFont="1" applyFill="1" applyBorder="1" applyAlignment="1">
      <alignment horizontal="left" vertical="center"/>
    </xf>
    <xf numFmtId="0" fontId="2" fillId="0" borderId="6" xfId="0" applyNumberFormat="1" applyFont="1" applyFill="1" applyBorder="1" applyAlignment="1">
      <alignment horizontal="left" vertical="center"/>
    </xf>
    <xf numFmtId="0" fontId="1" fillId="5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left"/>
    </xf>
    <xf numFmtId="0" fontId="22" fillId="0" borderId="0" xfId="0" applyNumberFormat="1" applyFont="1" applyFill="1" applyBorder="1" applyAlignment="1">
      <alignment vertical="center"/>
    </xf>
    <xf numFmtId="0" fontId="23" fillId="0" borderId="0" xfId="0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25" fillId="0" borderId="0" xfId="0" applyNumberFormat="1" applyFont="1" applyFill="1" applyBorder="1" applyAlignment="1">
      <alignment horizontal="left" vertical="center"/>
    </xf>
    <xf numFmtId="0" fontId="26" fillId="0" borderId="0" xfId="0" applyNumberFormat="1" applyFont="1" applyFill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left" vertical="center"/>
    </xf>
    <xf numFmtId="0" fontId="28" fillId="0" borderId="7" xfId="0" applyNumberFormat="1" applyFont="1" applyBorder="1" applyAlignment="1">
      <alignment horizontal="left" vertical="center"/>
    </xf>
    <xf numFmtId="0" fontId="29" fillId="0" borderId="0" xfId="0" applyNumberFormat="1" applyFont="1" applyFill="1" applyBorder="1" applyAlignment="1">
      <alignment horizontal="left" vertical="center"/>
    </xf>
    <xf numFmtId="0" fontId="30" fillId="0" borderId="0" xfId="0" applyNumberFormat="1" applyFont="1" applyFill="1" applyBorder="1" applyAlignment="1">
      <alignment horizontal="left" vertical="center"/>
    </xf>
    <xf numFmtId="0" fontId="30" fillId="0" borderId="0" xfId="0" applyNumberFormat="1" applyFont="1" applyFill="1" applyBorder="1"/>
    <xf numFmtId="0" fontId="31" fillId="0" borderId="0" xfId="0" applyNumberFormat="1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horizontal="left" vertical="center"/>
    </xf>
    <xf numFmtId="0" fontId="33" fillId="0" borderId="9" xfId="0" applyNumberFormat="1" applyFont="1" applyFill="1" applyBorder="1" applyAlignment="1">
      <alignment horizontal="left" vertical="center"/>
    </xf>
    <xf numFmtId="0" fontId="18" fillId="0" borderId="10" xfId="0" applyNumberFormat="1" applyFont="1" applyFill="1" applyBorder="1" applyAlignment="1">
      <alignment horizontal="left" vertical="center"/>
    </xf>
    <xf numFmtId="0" fontId="33" fillId="0" borderId="12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 vertical="center"/>
    </xf>
    <xf numFmtId="0" fontId="13" fillId="0" borderId="13" xfId="0" applyNumberFormat="1" applyFont="1" applyFill="1" applyBorder="1" applyAlignment="1">
      <alignment horizontal="left" vertical="center"/>
    </xf>
    <xf numFmtId="0" fontId="34" fillId="0" borderId="0" xfId="0" applyNumberFormat="1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3" fillId="0" borderId="14" xfId="0" applyNumberFormat="1" applyFont="1" applyFill="1" applyBorder="1" applyAlignment="1">
      <alignment horizontal="left" vertical="center"/>
    </xf>
    <xf numFmtId="0" fontId="18" fillId="0" borderId="15" xfId="0" applyNumberFormat="1" applyFont="1" applyFill="1" applyBorder="1" applyAlignment="1">
      <alignment horizontal="left" vertical="center"/>
    </xf>
    <xf numFmtId="0" fontId="35" fillId="0" borderId="15" xfId="0" applyFont="1" applyBorder="1" applyAlignment="1">
      <alignment horizontal="left" vertical="center"/>
    </xf>
    <xf numFmtId="0" fontId="34" fillId="0" borderId="15" xfId="0" applyNumberFormat="1" applyFont="1" applyFill="1" applyBorder="1" applyAlignment="1">
      <alignment horizontal="left" vertical="center"/>
    </xf>
    <xf numFmtId="0" fontId="13" fillId="0" borderId="15" xfId="0" applyNumberFormat="1" applyFont="1" applyFill="1" applyBorder="1" applyAlignment="1">
      <alignment horizontal="left" vertical="center"/>
    </xf>
    <xf numFmtId="0" fontId="13" fillId="0" borderId="16" xfId="0" applyNumberFormat="1" applyFont="1" applyFill="1" applyBorder="1" applyAlignment="1">
      <alignment horizontal="left" vertical="center"/>
    </xf>
    <xf numFmtId="0" fontId="24" fillId="0" borderId="17" xfId="0" applyFont="1" applyFill="1" applyBorder="1" applyAlignment="1">
      <alignment horizontal="center" vertical="center"/>
    </xf>
    <xf numFmtId="0" fontId="1" fillId="0" borderId="15" xfId="0" applyNumberFormat="1" applyFont="1" applyFill="1" applyBorder="1" applyAlignment="1">
      <alignment horizontal="left" vertical="center"/>
    </xf>
    <xf numFmtId="0" fontId="1" fillId="0" borderId="16" xfId="0" applyNumberFormat="1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center" vertical="center"/>
    </xf>
    <xf numFmtId="0" fontId="38" fillId="6" borderId="17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9" fillId="7" borderId="17" xfId="0" applyFont="1" applyFill="1" applyBorder="1" applyAlignment="1">
      <alignment horizontal="center" vertical="center"/>
    </xf>
    <xf numFmtId="0" fontId="24" fillId="7" borderId="19" xfId="0" applyFont="1" applyFill="1" applyBorder="1" applyAlignment="1">
      <alignment horizontal="center" vertical="center"/>
    </xf>
    <xf numFmtId="0" fontId="24" fillId="7" borderId="17" xfId="0" applyFont="1" applyFill="1" applyBorder="1" applyAlignment="1">
      <alignment horizontal="center" vertical="center"/>
    </xf>
    <xf numFmtId="22" fontId="24" fillId="7" borderId="17" xfId="0" applyNumberFormat="1" applyFont="1" applyFill="1" applyBorder="1" applyAlignment="1">
      <alignment horizontal="center" vertical="center"/>
    </xf>
    <xf numFmtId="183" fontId="24" fillId="0" borderId="17" xfId="0" applyNumberFormat="1" applyFont="1" applyFill="1" applyBorder="1" applyAlignment="1">
      <alignment horizontal="center" vertical="center"/>
    </xf>
    <xf numFmtId="180" fontId="24" fillId="0" borderId="17" xfId="0" applyNumberFormat="1" applyFont="1" applyFill="1" applyBorder="1" applyAlignment="1">
      <alignment horizontal="center" vertical="center"/>
    </xf>
    <xf numFmtId="182" fontId="24" fillId="0" borderId="17" xfId="0" applyNumberFormat="1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4" fillId="8" borderId="17" xfId="0" applyFont="1" applyFill="1" applyBorder="1" applyAlignment="1">
      <alignment horizontal="center" vertical="center"/>
    </xf>
    <xf numFmtId="183" fontId="24" fillId="9" borderId="17" xfId="0" applyNumberFormat="1" applyFont="1" applyFill="1" applyBorder="1" applyAlignment="1">
      <alignment horizontal="center" vertical="center"/>
    </xf>
    <xf numFmtId="0" fontId="24" fillId="9" borderId="17" xfId="0" applyFont="1" applyFill="1" applyBorder="1" applyAlignment="1">
      <alignment horizontal="center" vertical="center"/>
    </xf>
    <xf numFmtId="180" fontId="24" fillId="9" borderId="17" xfId="0" applyNumberFormat="1" applyFont="1" applyFill="1" applyBorder="1" applyAlignment="1">
      <alignment horizontal="center" vertical="center"/>
    </xf>
    <xf numFmtId="183" fontId="24" fillId="10" borderId="17" xfId="0" applyNumberFormat="1" applyFont="1" applyFill="1" applyBorder="1" applyAlignment="1">
      <alignment horizontal="center" vertical="center"/>
    </xf>
    <xf numFmtId="180" fontId="24" fillId="10" borderId="17" xfId="0" applyNumberFormat="1" applyFont="1" applyFill="1" applyBorder="1" applyAlignment="1">
      <alignment horizontal="center" vertical="center"/>
    </xf>
    <xf numFmtId="183" fontId="24" fillId="11" borderId="17" xfId="0" applyNumberFormat="1" applyFont="1" applyFill="1" applyBorder="1" applyAlignment="1">
      <alignment horizontal="center" vertical="center"/>
    </xf>
    <xf numFmtId="180" fontId="24" fillId="11" borderId="17" xfId="0" applyNumberFormat="1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/>
    </xf>
    <xf numFmtId="0" fontId="37" fillId="0" borderId="17" xfId="0" applyFont="1" applyFill="1" applyBorder="1" applyAlignment="1">
      <alignment horizontal="center" vertical="center"/>
    </xf>
    <xf numFmtId="0" fontId="37" fillId="0" borderId="20" xfId="0" applyFont="1" applyFill="1" applyBorder="1" applyAlignment="1">
      <alignment horizontal="center" vertical="center"/>
    </xf>
    <xf numFmtId="0" fontId="41" fillId="13" borderId="17" xfId="0" applyFont="1" applyFill="1" applyBorder="1" applyAlignment="1">
      <alignment horizontal="center" vertical="center"/>
    </xf>
    <xf numFmtId="22" fontId="41" fillId="14" borderId="17" xfId="0" applyNumberFormat="1" applyFont="1" applyFill="1" applyBorder="1" applyAlignment="1">
      <alignment horizontal="center" vertical="center"/>
    </xf>
    <xf numFmtId="0" fontId="41" fillId="14" borderId="17" xfId="0" applyFont="1" applyFill="1" applyBorder="1" applyAlignment="1">
      <alignment horizontal="center" vertical="center"/>
    </xf>
    <xf numFmtId="0" fontId="0" fillId="0" borderId="17" xfId="0" applyBorder="1"/>
    <xf numFmtId="0" fontId="0" fillId="0" borderId="0" xfId="0" applyBorder="1"/>
    <xf numFmtId="0" fontId="0" fillId="0" borderId="0" xfId="0" applyBorder="1"/>
    <xf numFmtId="0" fontId="24" fillId="7" borderId="0" xfId="0" applyFont="1" applyFill="1" applyBorder="1" applyAlignment="1">
      <alignment horizontal="center" vertical="center"/>
    </xf>
    <xf numFmtId="22" fontId="24" fillId="7" borderId="0" xfId="0" applyNumberFormat="1" applyFont="1" applyFill="1" applyBorder="1" applyAlignment="1">
      <alignment horizontal="center" vertical="center"/>
    </xf>
    <xf numFmtId="184" fontId="41" fillId="13" borderId="17" xfId="0" applyNumberFormat="1" applyFont="1" applyFill="1" applyBorder="1" applyAlignment="1">
      <alignment horizontal="center" vertical="center"/>
    </xf>
    <xf numFmtId="183" fontId="41" fillId="17" borderId="17" xfId="0" applyNumberFormat="1" applyFont="1" applyFill="1" applyBorder="1" applyAlignment="1">
      <alignment horizontal="center" vertical="center"/>
    </xf>
    <xf numFmtId="180" fontId="41" fillId="17" borderId="17" xfId="0" applyNumberFormat="1" applyFont="1" applyFill="1" applyBorder="1" applyAlignment="1">
      <alignment horizontal="center" vertical="center"/>
    </xf>
    <xf numFmtId="184" fontId="41" fillId="17" borderId="17" xfId="0" applyNumberFormat="1" applyFont="1" applyFill="1" applyBorder="1" applyAlignment="1">
      <alignment horizontal="center" vertical="center"/>
    </xf>
    <xf numFmtId="182" fontId="41" fillId="17" borderId="17" xfId="0" applyNumberFormat="1" applyFont="1" applyFill="1" applyBorder="1" applyAlignment="1">
      <alignment horizontal="center" vertical="center"/>
    </xf>
    <xf numFmtId="0" fontId="41" fillId="18" borderId="17" xfId="0" applyFont="1" applyFill="1" applyBorder="1" applyAlignment="1">
      <alignment horizontal="center" vertical="center"/>
    </xf>
    <xf numFmtId="183" fontId="0" fillId="0" borderId="17" xfId="0" applyNumberFormat="1" applyBorder="1"/>
    <xf numFmtId="0" fontId="24" fillId="0" borderId="0" xfId="0" applyFont="1" applyFill="1" applyBorder="1" applyAlignment="1">
      <alignment horizontal="center" vertical="center"/>
    </xf>
    <xf numFmtId="183" fontId="0" fillId="0" borderId="0" xfId="0" applyNumberFormat="1" applyBorder="1"/>
    <xf numFmtId="0" fontId="24" fillId="0" borderId="0" xfId="0" applyFont="1" applyFill="1" applyAlignment="1">
      <alignment horizontal="center" vertical="center"/>
    </xf>
    <xf numFmtId="184" fontId="41" fillId="18" borderId="17" xfId="0" applyNumberFormat="1" applyFont="1" applyFill="1" applyBorder="1" applyAlignment="1">
      <alignment horizontal="center" vertical="center"/>
    </xf>
    <xf numFmtId="0" fontId="41" fillId="20" borderId="17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14" fontId="24" fillId="0" borderId="17" xfId="0" applyNumberFormat="1" applyFont="1" applyFill="1" applyBorder="1" applyAlignment="1">
      <alignment horizontal="center" vertical="center"/>
    </xf>
    <xf numFmtId="14" fontId="24" fillId="0" borderId="0" xfId="0" applyNumberFormat="1" applyFont="1" applyFill="1" applyBorder="1" applyAlignment="1">
      <alignment horizontal="center" vertical="center"/>
    </xf>
    <xf numFmtId="183" fontId="41" fillId="22" borderId="17" xfId="0" applyNumberFormat="1" applyFont="1" applyFill="1" applyBorder="1" applyAlignment="1">
      <alignment horizontal="center" vertical="center"/>
    </xf>
    <xf numFmtId="183" fontId="24" fillId="9" borderId="0" xfId="0" applyNumberFormat="1" applyFont="1" applyFill="1" applyBorder="1" applyAlignment="1">
      <alignment horizontal="center" vertical="center"/>
    </xf>
    <xf numFmtId="0" fontId="41" fillId="22" borderId="17" xfId="0" applyFont="1" applyFill="1" applyBorder="1" applyAlignment="1">
      <alignment horizontal="center" vertical="center"/>
    </xf>
    <xf numFmtId="183" fontId="41" fillId="23" borderId="17" xfId="0" applyNumberFormat="1" applyFont="1" applyFill="1" applyBorder="1" applyAlignment="1">
      <alignment horizontal="center" vertical="center"/>
    </xf>
    <xf numFmtId="180" fontId="41" fillId="23" borderId="17" xfId="0" applyNumberFormat="1" applyFont="1" applyFill="1" applyBorder="1" applyAlignment="1">
      <alignment horizontal="center" vertical="center"/>
    </xf>
    <xf numFmtId="0" fontId="24" fillId="9" borderId="0" xfId="0" applyFont="1" applyFill="1" applyBorder="1" applyAlignment="1">
      <alignment horizontal="center" vertical="center"/>
    </xf>
    <xf numFmtId="180" fontId="24" fillId="9" borderId="0" xfId="0" applyNumberFormat="1" applyFont="1" applyFill="1" applyBorder="1" applyAlignment="1">
      <alignment horizontal="center" vertical="center"/>
    </xf>
    <xf numFmtId="0" fontId="41" fillId="23" borderId="17" xfId="0" applyFont="1" applyFill="1" applyBorder="1" applyAlignment="1">
      <alignment horizontal="center" vertical="center"/>
    </xf>
    <xf numFmtId="0" fontId="41" fillId="25" borderId="17" xfId="0" applyFont="1" applyFill="1" applyBorder="1" applyAlignment="1">
      <alignment horizontal="center" vertical="center"/>
    </xf>
    <xf numFmtId="183" fontId="41" fillId="25" borderId="17" xfId="0" applyNumberFormat="1" applyFont="1" applyFill="1" applyBorder="1" applyAlignment="1">
      <alignment horizontal="center" vertical="center"/>
    </xf>
    <xf numFmtId="180" fontId="41" fillId="25" borderId="17" xfId="0" applyNumberFormat="1" applyFont="1" applyFill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/>
    </xf>
    <xf numFmtId="183" fontId="24" fillId="10" borderId="0" xfId="0" applyNumberFormat="1" applyFont="1" applyFill="1" applyBorder="1" applyAlignment="1">
      <alignment horizontal="center" vertical="center"/>
    </xf>
    <xf numFmtId="183" fontId="43" fillId="28" borderId="17" xfId="0" applyNumberFormat="1" applyFont="1" applyFill="1" applyBorder="1" applyAlignment="1">
      <alignment horizontal="center" vertical="center"/>
    </xf>
    <xf numFmtId="180" fontId="43" fillId="28" borderId="17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183" fontId="43" fillId="29" borderId="17" xfId="0" applyNumberFormat="1" applyFont="1" applyFill="1" applyBorder="1" applyAlignment="1">
      <alignment horizontal="center" vertical="center"/>
    </xf>
    <xf numFmtId="180" fontId="43" fillId="29" borderId="17" xfId="0" applyNumberFormat="1" applyFont="1" applyFill="1" applyBorder="1" applyAlignment="1">
      <alignment horizontal="center" vertical="center"/>
    </xf>
    <xf numFmtId="0" fontId="43" fillId="29" borderId="17" xfId="0" applyFont="1" applyFill="1" applyBorder="1" applyAlignment="1">
      <alignment horizontal="center" vertical="center"/>
    </xf>
    <xf numFmtId="183" fontId="24" fillId="11" borderId="0" xfId="0" applyNumberFormat="1" applyFont="1" applyFill="1" applyBorder="1" applyAlignment="1">
      <alignment horizontal="center" vertical="center"/>
    </xf>
    <xf numFmtId="0" fontId="24" fillId="11" borderId="0" xfId="0" applyFont="1" applyFill="1" applyBorder="1" applyAlignment="1">
      <alignment horizontal="center" vertical="center"/>
    </xf>
    <xf numFmtId="0" fontId="38" fillId="0" borderId="19" xfId="0" applyFont="1" applyFill="1" applyBorder="1" applyAlignment="1">
      <alignment horizontal="center" vertical="center"/>
    </xf>
    <xf numFmtId="0" fontId="38" fillId="0" borderId="17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180" fontId="24" fillId="0" borderId="0" xfId="0" applyNumberFormat="1" applyFont="1" applyFill="1" applyBorder="1" applyAlignment="1">
      <alignment horizontal="center" vertical="center"/>
    </xf>
    <xf numFmtId="180" fontId="24" fillId="0" borderId="0" xfId="0" applyNumberFormat="1" applyFont="1" applyFill="1" applyAlignment="1">
      <alignment horizontal="center" vertical="center"/>
    </xf>
    <xf numFmtId="183" fontId="24" fillId="10" borderId="0" xfId="0" applyNumberFormat="1" applyFont="1" applyFill="1" applyAlignment="1">
      <alignment horizontal="center" vertical="center"/>
    </xf>
    <xf numFmtId="0" fontId="24" fillId="0" borderId="17" xfId="0" applyFont="1" applyFill="1" applyBorder="1" applyAlignment="1">
      <alignment horizontal="center" vertical="center" wrapText="1"/>
    </xf>
    <xf numFmtId="180" fontId="24" fillId="10" borderId="0" xfId="0" applyNumberFormat="1" applyFont="1" applyFill="1" applyBorder="1" applyAlignment="1">
      <alignment horizontal="center" vertical="center"/>
    </xf>
    <xf numFmtId="183" fontId="24" fillId="0" borderId="0" xfId="0" applyNumberFormat="1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183" fontId="0" fillId="0" borderId="0" xfId="0" applyNumberFormat="1"/>
    <xf numFmtId="183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183" fontId="0" fillId="0" borderId="17" xfId="0" applyNumberFormat="1" applyBorder="1" applyAlignment="1">
      <alignment horizontal="center"/>
    </xf>
    <xf numFmtId="183" fontId="0" fillId="0" borderId="0" xfId="0" applyNumberFormat="1" applyBorder="1" applyAlignment="1">
      <alignment horizontal="center"/>
    </xf>
    <xf numFmtId="183" fontId="24" fillId="0" borderId="0" xfId="0" applyNumberFormat="1" applyFont="1" applyFill="1" applyBorder="1" applyAlignment="1">
      <alignment horizontal="center" vertical="center" wrapText="1"/>
    </xf>
    <xf numFmtId="180" fontId="24" fillId="0" borderId="17" xfId="0" applyNumberFormat="1" applyFont="1" applyFill="1" applyBorder="1" applyAlignment="1">
      <alignment horizontal="center" vertical="center" wrapText="1"/>
    </xf>
    <xf numFmtId="0" fontId="0" fillId="0" borderId="19" xfId="0" applyBorder="1"/>
    <xf numFmtId="0" fontId="39" fillId="30" borderId="17" xfId="0" applyFont="1" applyFill="1" applyBorder="1" applyAlignment="1">
      <alignment horizontal="center" vertical="center" wrapText="1"/>
    </xf>
    <xf numFmtId="0" fontId="24" fillId="30" borderId="17" xfId="0" applyFont="1" applyFill="1" applyBorder="1" applyAlignment="1">
      <alignment horizontal="center" vertical="center" wrapText="1"/>
    </xf>
    <xf numFmtId="22" fontId="24" fillId="30" borderId="0" xfId="0" applyNumberFormat="1" applyFont="1" applyFill="1" applyBorder="1" applyAlignment="1">
      <alignment horizontal="center" vertical="center" wrapText="1"/>
    </xf>
    <xf numFmtId="0" fontId="24" fillId="30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39" fillId="7" borderId="17" xfId="0" applyFont="1" applyFill="1" applyBorder="1" applyAlignment="1">
      <alignment horizontal="center" vertical="center" wrapText="1"/>
    </xf>
    <xf numFmtId="0" fontId="24" fillId="7" borderId="17" xfId="0" applyFont="1" applyFill="1" applyBorder="1" applyAlignment="1">
      <alignment horizontal="center" vertical="center" wrapText="1"/>
    </xf>
    <xf numFmtId="22" fontId="24" fillId="30" borderId="17" xfId="0" applyNumberFormat="1" applyFont="1" applyFill="1" applyBorder="1" applyAlignment="1">
      <alignment horizontal="center" vertical="center" wrapText="1"/>
    </xf>
    <xf numFmtId="0" fontId="39" fillId="30" borderId="17" xfId="0" applyFont="1" applyFill="1" applyBorder="1" applyAlignment="1">
      <alignment horizontal="center" vertical="center"/>
    </xf>
    <xf numFmtId="0" fontId="24" fillId="30" borderId="17" xfId="0" applyFont="1" applyFill="1" applyBorder="1" applyAlignment="1">
      <alignment horizontal="center" vertical="center"/>
    </xf>
    <xf numFmtId="0" fontId="39" fillId="31" borderId="17" xfId="0" applyFont="1" applyFill="1" applyBorder="1" applyAlignment="1">
      <alignment horizontal="center" vertical="center" wrapText="1"/>
    </xf>
    <xf numFmtId="0" fontId="24" fillId="31" borderId="17" xfId="0" applyFont="1" applyFill="1" applyBorder="1" applyAlignment="1">
      <alignment horizontal="center" vertical="center" wrapText="1"/>
    </xf>
    <xf numFmtId="22" fontId="24" fillId="31" borderId="17" xfId="0" applyNumberFormat="1" applyFont="1" applyFill="1" applyBorder="1" applyAlignment="1">
      <alignment horizontal="center" vertical="center" wrapText="1"/>
    </xf>
    <xf numFmtId="0" fontId="24" fillId="8" borderId="17" xfId="0" applyFont="1" applyFill="1" applyBorder="1" applyAlignment="1">
      <alignment horizontal="center" vertical="center" wrapText="1"/>
    </xf>
    <xf numFmtId="183" fontId="24" fillId="0" borderId="17" xfId="0" applyNumberFormat="1" applyFont="1" applyFill="1" applyBorder="1" applyAlignment="1">
      <alignment horizontal="center" vertical="center" wrapText="1"/>
    </xf>
    <xf numFmtId="182" fontId="24" fillId="0" borderId="0" xfId="0" applyNumberFormat="1" applyFont="1" applyFill="1" applyBorder="1" applyAlignment="1">
      <alignment horizontal="center" vertical="center" wrapText="1"/>
    </xf>
    <xf numFmtId="182" fontId="0" fillId="0" borderId="0" xfId="0" applyNumberFormat="1" applyBorder="1" applyAlignment="1">
      <alignment horizontal="center"/>
    </xf>
    <xf numFmtId="182" fontId="0" fillId="0" borderId="17" xfId="0" applyNumberFormat="1" applyBorder="1" applyAlignment="1">
      <alignment horizontal="center"/>
    </xf>
    <xf numFmtId="0" fontId="24" fillId="8" borderId="0" xfId="0" applyFont="1" applyFill="1" applyBorder="1" applyAlignment="1">
      <alignment horizontal="center" vertical="center" wrapText="1"/>
    </xf>
    <xf numFmtId="182" fontId="24" fillId="0" borderId="17" xfId="0" applyNumberFormat="1" applyFont="1" applyFill="1" applyBorder="1" applyAlignment="1">
      <alignment horizontal="center" vertical="center" wrapText="1"/>
    </xf>
    <xf numFmtId="180" fontId="24" fillId="32" borderId="17" xfId="0" applyNumberFormat="1" applyFont="1" applyFill="1" applyBorder="1" applyAlignment="1">
      <alignment horizontal="center" vertical="center"/>
    </xf>
    <xf numFmtId="0" fontId="0" fillId="0" borderId="24" xfId="0" applyBorder="1"/>
    <xf numFmtId="183" fontId="24" fillId="0" borderId="24" xfId="0" applyNumberFormat="1" applyFont="1" applyFill="1" applyBorder="1" applyAlignment="1">
      <alignment horizontal="center" vertical="center"/>
    </xf>
    <xf numFmtId="183" fontId="24" fillId="0" borderId="24" xfId="0" applyNumberFormat="1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83" fontId="24" fillId="9" borderId="24" xfId="0" applyNumberFormat="1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horizontal="center" vertical="center"/>
    </xf>
    <xf numFmtId="0" fontId="24" fillId="7" borderId="19" xfId="0" applyFont="1" applyFill="1" applyBorder="1" applyAlignment="1">
      <alignment horizontal="center" vertical="center" wrapText="1"/>
    </xf>
    <xf numFmtId="22" fontId="24" fillId="7" borderId="17" xfId="0" applyNumberFormat="1" applyFont="1" applyFill="1" applyBorder="1" applyAlignment="1">
      <alignment horizontal="center" vertical="center" wrapText="1"/>
    </xf>
    <xf numFmtId="0" fontId="24" fillId="31" borderId="17" xfId="0" applyFont="1" applyFill="1" applyBorder="1" applyAlignment="1">
      <alignment horizontal="center" vertical="center"/>
    </xf>
    <xf numFmtId="0" fontId="24" fillId="31" borderId="19" xfId="0" applyFont="1" applyFill="1" applyBorder="1" applyAlignment="1">
      <alignment horizontal="center" vertical="center" wrapText="1"/>
    </xf>
    <xf numFmtId="22" fontId="24" fillId="31" borderId="17" xfId="0" applyNumberFormat="1" applyFont="1" applyFill="1" applyBorder="1" applyAlignment="1">
      <alignment horizontal="center" vertical="center" wrapText="1"/>
    </xf>
    <xf numFmtId="0" fontId="24" fillId="31" borderId="19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38" fillId="31" borderId="17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83" fontId="24" fillId="9" borderId="0" xfId="0" applyNumberFormat="1" applyFont="1" applyFill="1" applyAlignment="1">
      <alignment horizontal="center" vertical="center"/>
    </xf>
    <xf numFmtId="180" fontId="24" fillId="9" borderId="0" xfId="0" applyNumberFormat="1" applyFont="1" applyFill="1" applyAlignment="1">
      <alignment horizontal="center" vertical="center"/>
    </xf>
    <xf numFmtId="180" fontId="24" fillId="10" borderId="0" xfId="0" applyNumberFormat="1" applyFont="1" applyFill="1" applyAlignment="1">
      <alignment horizontal="center" vertical="center"/>
    </xf>
    <xf numFmtId="183" fontId="24" fillId="11" borderId="0" xfId="0" applyNumberFormat="1" applyFont="1" applyFill="1" applyAlignment="1">
      <alignment horizontal="center" vertical="center"/>
    </xf>
    <xf numFmtId="180" fontId="24" fillId="11" borderId="0" xfId="0" applyNumberFormat="1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40" fillId="12" borderId="21" xfId="0" applyFont="1" applyFill="1" applyBorder="1" applyAlignment="1">
      <alignment horizontal="center" vertical="center"/>
    </xf>
    <xf numFmtId="0" fontId="40" fillId="12" borderId="22" xfId="0" applyFont="1" applyFill="1" applyBorder="1" applyAlignment="1">
      <alignment horizontal="center" vertical="center"/>
    </xf>
    <xf numFmtId="0" fontId="40" fillId="12" borderId="23" xfId="0" applyFont="1" applyFill="1" applyBorder="1" applyAlignment="1">
      <alignment horizontal="center" vertical="center"/>
    </xf>
    <xf numFmtId="183" fontId="40" fillId="15" borderId="17" xfId="0" applyNumberFormat="1" applyFont="1" applyFill="1" applyBorder="1" applyAlignment="1">
      <alignment horizontal="center" vertical="center"/>
    </xf>
    <xf numFmtId="182" fontId="40" fillId="15" borderId="17" xfId="0" applyNumberFormat="1" applyFont="1" applyFill="1" applyBorder="1" applyAlignment="1">
      <alignment horizontal="center" vertical="center"/>
    </xf>
    <xf numFmtId="0" fontId="42" fillId="16" borderId="17" xfId="0" applyFont="1" applyFill="1" applyBorder="1" applyAlignment="1">
      <alignment horizontal="center" vertical="center"/>
    </xf>
    <xf numFmtId="0" fontId="40" fillId="19" borderId="17" xfId="0" applyFont="1" applyFill="1" applyBorder="1" applyAlignment="1">
      <alignment horizontal="center" vertical="center"/>
    </xf>
    <xf numFmtId="183" fontId="42" fillId="21" borderId="17" xfId="0" applyNumberFormat="1" applyFont="1" applyFill="1" applyBorder="1" applyAlignment="1">
      <alignment horizontal="center" vertical="center"/>
    </xf>
    <xf numFmtId="180" fontId="42" fillId="15" borderId="17" xfId="0" applyNumberFormat="1" applyFont="1" applyFill="1" applyBorder="1" applyAlignment="1">
      <alignment horizontal="center" vertical="center"/>
    </xf>
    <xf numFmtId="183" fontId="42" fillId="24" borderId="17" xfId="0" applyNumberFormat="1" applyFont="1" applyFill="1" applyBorder="1" applyAlignment="1">
      <alignment horizontal="center" vertical="center"/>
    </xf>
    <xf numFmtId="183" fontId="42" fillId="26" borderId="17" xfId="0" applyNumberFormat="1" applyFont="1" applyFill="1" applyBorder="1" applyAlignment="1">
      <alignment horizontal="center" vertical="center"/>
    </xf>
    <xf numFmtId="183" fontId="42" fillId="27" borderId="17" xfId="0" applyNumberFormat="1" applyFont="1" applyFill="1" applyBorder="1" applyAlignment="1">
      <alignment horizontal="center" vertical="center"/>
    </xf>
    <xf numFmtId="0" fontId="36" fillId="0" borderId="18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5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16" fillId="0" borderId="0" xfId="0" applyNumberFormat="1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horizontal="left" vertical="center" wrapText="1"/>
    </xf>
    <xf numFmtId="0" fontId="13" fillId="0" borderId="1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0" fillId="0" borderId="6" xfId="0" applyNumberFormat="1" applyFont="1" applyFill="1" applyBorder="1" applyAlignment="1">
      <alignment horizontal="left" vertical="center"/>
    </xf>
    <xf numFmtId="0" fontId="32" fillId="0" borderId="8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8" fillId="4" borderId="0" xfId="0" applyNumberFormat="1" applyFont="1" applyFill="1" applyBorder="1" applyAlignment="1">
      <alignment horizontal="left" vertical="center" wrapText="1"/>
    </xf>
    <xf numFmtId="0" fontId="17" fillId="3" borderId="0" xfId="0" applyNumberFormat="1" applyFont="1" applyFill="1" applyBorder="1" applyAlignment="1">
      <alignment horizontal="left" vertical="center"/>
    </xf>
    <xf numFmtId="0" fontId="24" fillId="0" borderId="24" xfId="0" applyFont="1" applyFill="1" applyBorder="1" applyAlignment="1">
      <alignment horizontal="center" vertical="center" wrapText="1"/>
    </xf>
    <xf numFmtId="0" fontId="39" fillId="30" borderId="24" xfId="0" applyFont="1" applyFill="1" applyBorder="1" applyAlignment="1">
      <alignment horizontal="center" vertical="center" wrapText="1"/>
    </xf>
    <xf numFmtId="0" fontId="24" fillId="30" borderId="23" xfId="0" applyFont="1" applyFill="1" applyBorder="1" applyAlignment="1">
      <alignment horizontal="center" vertical="center" wrapText="1"/>
    </xf>
    <xf numFmtId="0" fontId="24" fillId="30" borderId="24" xfId="0" applyFont="1" applyFill="1" applyBorder="1" applyAlignment="1">
      <alignment horizontal="center" vertical="center" wrapText="1"/>
    </xf>
    <xf numFmtId="22" fontId="24" fillId="30" borderId="24" xfId="0" applyNumberFormat="1" applyFont="1" applyFill="1" applyBorder="1" applyAlignment="1">
      <alignment horizontal="center" vertical="center" wrapText="1"/>
    </xf>
    <xf numFmtId="180" fontId="24" fillId="0" borderId="24" xfId="0" applyNumberFormat="1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8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183" fontId="0" fillId="0" borderId="24" xfId="0" applyNumberFormat="1" applyBorder="1" applyAlignment="1">
      <alignment horizontal="center"/>
    </xf>
    <xf numFmtId="183" fontId="24" fillId="32" borderId="17" xfId="0" applyNumberFormat="1" applyFont="1" applyFill="1" applyBorder="1" applyAlignment="1">
      <alignment horizontal="center" vertical="center"/>
    </xf>
    <xf numFmtId="0" fontId="24" fillId="32" borderId="17" xfId="0" applyFont="1" applyFill="1" applyBorder="1" applyAlignment="1">
      <alignment horizontal="center" vertical="center"/>
    </xf>
    <xf numFmtId="180" fontId="24" fillId="11" borderId="0" xfId="0" applyNumberFormat="1" applyFont="1" applyFill="1" applyBorder="1" applyAlignment="1">
      <alignment horizontal="center" vertical="center"/>
    </xf>
  </cellXfs>
  <cellStyles count="1">
    <cellStyle name="普通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101599</xdr:rowOff>
    </xdr:from>
    <xdr:to>
      <xdr:col>1</xdr:col>
      <xdr:colOff>1165225</xdr:colOff>
      <xdr:row>1</xdr:row>
      <xdr:rowOff>800924</xdr:rowOff>
    </xdr:to>
    <xdr:pic>
      <xdr:nvPicPr>
        <xdr:cNvPr id="3" name="图片 2" descr="logo5_03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76" b="24675"/>
        <a:stretch>
          <a:fillRect/>
        </a:stretch>
      </xdr:blipFill>
      <xdr:spPr>
        <a:xfrm>
          <a:off x="990600" y="777240"/>
          <a:ext cx="1165225" cy="699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101599</xdr:rowOff>
    </xdr:from>
    <xdr:to>
      <xdr:col>1</xdr:col>
      <xdr:colOff>1165225</xdr:colOff>
      <xdr:row>1</xdr:row>
      <xdr:rowOff>800924</xdr:rowOff>
    </xdr:to>
    <xdr:pic>
      <xdr:nvPicPr>
        <xdr:cNvPr id="2" name="图片 1" descr="logo5_03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76" b="24675"/>
        <a:stretch>
          <a:fillRect/>
        </a:stretch>
      </xdr:blipFill>
      <xdr:spPr>
        <a:xfrm>
          <a:off x="981075" y="1205865"/>
          <a:ext cx="1165225" cy="699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413385</xdr:colOff>
      <xdr:row>1</xdr:row>
      <xdr:rowOff>39708</xdr:rowOff>
    </xdr:from>
    <xdr:to>
      <xdr:col>1</xdr:col>
      <xdr:colOff>638175</xdr:colOff>
      <xdr:row>1</xdr:row>
      <xdr:rowOff>824104</xdr:rowOff>
    </xdr:to>
    <xdr:pic>
      <xdr:nvPicPr>
        <xdr:cNvPr id="3" name="图片 2" descr="logo5_03-02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54" b="19158"/>
        <a:stretch>
          <a:fillRect/>
        </a:stretch>
      </xdr:blipFill>
      <xdr:spPr>
        <a:xfrm>
          <a:off x="413385" y="1515745"/>
          <a:ext cx="1110615" cy="784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101599</xdr:rowOff>
    </xdr:from>
    <xdr:to>
      <xdr:col>2</xdr:col>
      <xdr:colOff>88900</xdr:colOff>
      <xdr:row>1</xdr:row>
      <xdr:rowOff>800924</xdr:rowOff>
    </xdr:to>
    <xdr:pic>
      <xdr:nvPicPr>
        <xdr:cNvPr id="2" name="图片 1" descr="logo5_03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76" b="24675"/>
        <a:stretch>
          <a:fillRect/>
        </a:stretch>
      </xdr:blipFill>
      <xdr:spPr>
        <a:xfrm>
          <a:off x="752475" y="1215390"/>
          <a:ext cx="1165225" cy="699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71"/>
  <sheetViews>
    <sheetView tabSelected="1" zoomScale="85" zoomScaleNormal="85" zoomScalePageLayoutView="85" workbookViewId="0">
      <pane xSplit="4" ySplit="2" topLeftCell="E66" activePane="bottomRight" state="frozen"/>
      <selection pane="topRight"/>
      <selection pane="bottomLeft"/>
      <selection pane="bottomRight" activeCell="I75" sqref="I75"/>
    </sheetView>
  </sheetViews>
  <sheetFormatPr baseColWidth="10" defaultColWidth="9" defaultRowHeight="15" x14ac:dyDescent="0"/>
  <cols>
    <col min="1" max="1" width="13.140625" style="61" customWidth="1"/>
    <col min="2" max="3" width="10.140625" style="61" customWidth="1"/>
    <col min="4" max="4" width="14.85546875" style="67" customWidth="1"/>
    <col min="5" max="5" width="12.7109375" style="68" customWidth="1"/>
    <col min="6" max="6" width="23.7109375" style="69" customWidth="1"/>
    <col min="7" max="7" width="29.42578125" style="70" customWidth="1"/>
    <col min="8" max="8" width="12.7109375" style="69" customWidth="1"/>
    <col min="9" max="9" width="20.7109375" style="69" customWidth="1"/>
    <col min="10" max="10" width="19.28515625" style="69" customWidth="1"/>
    <col min="11" max="11" width="15.42578125" style="69" customWidth="1"/>
    <col min="12" max="12" width="11.28515625" style="69" customWidth="1"/>
    <col min="13" max="13" width="10.140625" style="69" customWidth="1"/>
    <col min="14" max="17" width="16" style="69" customWidth="1"/>
    <col min="18" max="18" width="11" style="71" customWidth="1"/>
    <col min="19" max="19" width="7.28515625" style="72" customWidth="1"/>
    <col min="20" max="20" width="13.7109375" style="61" customWidth="1"/>
    <col min="21" max="21" width="13.7109375" style="73" customWidth="1"/>
    <col min="22" max="22" width="12.7109375" style="61" customWidth="1"/>
    <col min="23" max="23" width="12.7109375" style="74" customWidth="1"/>
    <col min="24" max="25" width="14.7109375" style="75" customWidth="1"/>
    <col min="26" max="26" width="16.7109375" style="75" customWidth="1"/>
    <col min="27" max="27" width="11.7109375" style="75" customWidth="1"/>
    <col min="28" max="28" width="13.85546875" style="75" customWidth="1"/>
    <col min="29" max="29" width="14.7109375" style="61" customWidth="1"/>
    <col min="30" max="31" width="9" style="61" customWidth="1"/>
    <col min="32" max="32" width="13.140625" style="61" customWidth="1"/>
    <col min="33" max="33" width="11.140625" style="61" customWidth="1"/>
    <col min="34" max="35" width="9" style="61" customWidth="1"/>
    <col min="36" max="36" width="14.7109375" style="61" customWidth="1"/>
    <col min="37" max="37" width="16.140625" style="61" customWidth="1"/>
    <col min="38" max="38" width="40" style="61" customWidth="1"/>
    <col min="39" max="39" width="15.7109375" style="61" customWidth="1"/>
    <col min="40" max="40" width="11" style="76" customWidth="1"/>
    <col min="41" max="41" width="9" style="77" customWidth="1"/>
    <col min="42" max="42" width="9" style="77" hidden="1" customWidth="1"/>
    <col min="43" max="43" width="13.140625" style="77" customWidth="1"/>
    <col min="44" max="44" width="9" style="77" hidden="1" customWidth="1"/>
    <col min="45" max="45" width="17.85546875" style="77" customWidth="1"/>
    <col min="46" max="46" width="9" style="77" hidden="1" customWidth="1"/>
    <col min="47" max="47" width="12" style="76" customWidth="1"/>
    <col min="48" max="48" width="11" style="78" customWidth="1"/>
    <col min="49" max="49" width="9.85546875" style="77" customWidth="1"/>
    <col min="50" max="50" width="15.7109375" style="78" customWidth="1"/>
    <col min="51" max="52" width="15.7109375" style="72" customWidth="1"/>
    <col min="53" max="54" width="11" style="79" customWidth="1"/>
    <col min="55" max="55" width="11" style="80" customWidth="1"/>
    <col min="56" max="57" width="11" style="79" customWidth="1"/>
    <col min="58" max="58" width="13.140625" style="71" customWidth="1"/>
    <col min="59" max="59" width="11.7109375" style="72" customWidth="1"/>
    <col min="60" max="60" width="12.28515625" style="61" customWidth="1"/>
    <col min="61" max="61" width="13.42578125" style="61" customWidth="1"/>
    <col min="62" max="62" width="9" style="81"/>
    <col min="63" max="63" width="11.140625" style="82" customWidth="1"/>
    <col min="64" max="64" width="13.140625" style="83" customWidth="1"/>
    <col min="65" max="65" width="9" style="83"/>
    <col min="66" max="257" width="9" style="61"/>
    <col min="258" max="16384" width="9" style="66"/>
  </cols>
  <sheetData>
    <row r="1" spans="1:257" s="64" customFormat="1" ht="39" customHeight="1">
      <c r="A1" s="84"/>
      <c r="B1" s="84"/>
      <c r="C1" s="85"/>
      <c r="D1" s="193" t="s">
        <v>0</v>
      </c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5"/>
      <c r="R1" s="196" t="s">
        <v>1</v>
      </c>
      <c r="S1" s="196"/>
      <c r="T1" s="196"/>
      <c r="U1" s="197"/>
      <c r="V1" s="196"/>
      <c r="W1" s="196"/>
      <c r="X1" s="198" t="s">
        <v>2</v>
      </c>
      <c r="Y1" s="198"/>
      <c r="Z1" s="198"/>
      <c r="AA1" s="198"/>
      <c r="AB1" s="198"/>
      <c r="AC1" s="199" t="s">
        <v>3</v>
      </c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200" t="s">
        <v>4</v>
      </c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1" t="s">
        <v>5</v>
      </c>
      <c r="AZ1" s="201"/>
      <c r="BA1" s="202" t="s">
        <v>6</v>
      </c>
      <c r="BB1" s="202"/>
      <c r="BC1" s="202"/>
      <c r="BD1" s="202"/>
      <c r="BE1" s="202"/>
      <c r="BF1" s="203" t="s">
        <v>7</v>
      </c>
      <c r="BG1" s="203"/>
      <c r="BH1" s="203"/>
      <c r="BI1" s="203"/>
      <c r="BJ1" s="204" t="s">
        <v>8</v>
      </c>
      <c r="BK1" s="204"/>
      <c r="BL1" s="204"/>
      <c r="BM1" s="204"/>
    </row>
    <row r="2" spans="1:257" s="65" customFormat="1" ht="21" customHeight="1">
      <c r="A2" s="65" t="s">
        <v>9</v>
      </c>
      <c r="B2" s="65" t="s">
        <v>10</v>
      </c>
      <c r="C2" s="65" t="s">
        <v>11</v>
      </c>
      <c r="D2" s="86" t="s">
        <v>12</v>
      </c>
      <c r="E2" s="86" t="s">
        <v>13</v>
      </c>
      <c r="F2" s="86" t="s">
        <v>14</v>
      </c>
      <c r="G2" s="87" t="s">
        <v>15</v>
      </c>
      <c r="H2" s="88" t="s">
        <v>16</v>
      </c>
      <c r="I2" s="94" t="s">
        <v>17</v>
      </c>
      <c r="J2" s="94" t="s">
        <v>18</v>
      </c>
      <c r="K2" s="94" t="s">
        <v>19</v>
      </c>
      <c r="L2" s="94" t="s">
        <v>20</v>
      </c>
      <c r="M2" s="94" t="s">
        <v>21</v>
      </c>
      <c r="N2" s="94" t="s">
        <v>22</v>
      </c>
      <c r="O2" s="94" t="s">
        <v>23</v>
      </c>
      <c r="P2" s="94" t="s">
        <v>24</v>
      </c>
      <c r="Q2" s="94" t="s">
        <v>25</v>
      </c>
      <c r="R2" s="95" t="s">
        <v>26</v>
      </c>
      <c r="S2" s="96" t="s">
        <v>27</v>
      </c>
      <c r="T2" s="97" t="s">
        <v>28</v>
      </c>
      <c r="U2" s="98" t="s">
        <v>29</v>
      </c>
      <c r="V2" s="97" t="s">
        <v>30</v>
      </c>
      <c r="W2" s="97" t="s">
        <v>9</v>
      </c>
      <c r="X2" s="99" t="s">
        <v>31</v>
      </c>
      <c r="Y2" s="99" t="s">
        <v>32</v>
      </c>
      <c r="Z2" s="99" t="s">
        <v>33</v>
      </c>
      <c r="AA2" s="104" t="s">
        <v>34</v>
      </c>
      <c r="AB2" s="104" t="s">
        <v>35</v>
      </c>
      <c r="AC2" s="105" t="s">
        <v>36</v>
      </c>
      <c r="AD2" s="105" t="s">
        <v>37</v>
      </c>
      <c r="AE2" s="105" t="s">
        <v>38</v>
      </c>
      <c r="AF2" s="105" t="s">
        <v>39</v>
      </c>
      <c r="AG2" s="105" t="s">
        <v>40</v>
      </c>
      <c r="AH2" s="105" t="s">
        <v>37</v>
      </c>
      <c r="AI2" s="105" t="s">
        <v>38</v>
      </c>
      <c r="AJ2" s="105" t="s">
        <v>39</v>
      </c>
      <c r="AK2" s="105" t="s">
        <v>41</v>
      </c>
      <c r="AL2" s="105" t="s">
        <v>42</v>
      </c>
      <c r="AM2" s="105" t="s">
        <v>43</v>
      </c>
      <c r="AN2" s="109" t="s">
        <v>44</v>
      </c>
      <c r="AO2" s="111" t="s">
        <v>45</v>
      </c>
      <c r="AP2" s="111" t="s">
        <v>46</v>
      </c>
      <c r="AQ2" s="111" t="s">
        <v>47</v>
      </c>
      <c r="AR2" s="111" t="s">
        <v>46</v>
      </c>
      <c r="AS2" s="111" t="s">
        <v>48</v>
      </c>
      <c r="AT2" s="111" t="s">
        <v>46</v>
      </c>
      <c r="AU2" s="112" t="s">
        <v>49</v>
      </c>
      <c r="AV2" s="113" t="s">
        <v>50</v>
      </c>
      <c r="AW2" s="116" t="s">
        <v>51</v>
      </c>
      <c r="AX2" s="113" t="s">
        <v>52</v>
      </c>
      <c r="AY2" s="96" t="s">
        <v>53</v>
      </c>
      <c r="AZ2" s="96" t="s">
        <v>54</v>
      </c>
      <c r="BA2" s="117" t="s">
        <v>55</v>
      </c>
      <c r="BB2" s="118" t="s">
        <v>56</v>
      </c>
      <c r="BC2" s="119" t="s">
        <v>57</v>
      </c>
      <c r="BD2" s="117" t="s">
        <v>28</v>
      </c>
      <c r="BE2" s="117" t="s">
        <v>58</v>
      </c>
      <c r="BF2" s="122" t="s">
        <v>56</v>
      </c>
      <c r="BG2" s="123" t="s">
        <v>59</v>
      </c>
      <c r="BH2" s="124" t="s">
        <v>28</v>
      </c>
      <c r="BI2" s="124" t="s">
        <v>60</v>
      </c>
      <c r="BJ2" s="125" t="s">
        <v>56</v>
      </c>
      <c r="BK2" s="126" t="s">
        <v>57</v>
      </c>
      <c r="BL2" s="127" t="s">
        <v>28</v>
      </c>
      <c r="BM2" s="127" t="s">
        <v>58</v>
      </c>
      <c r="BN2" s="130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1"/>
      <c r="FF2" s="131"/>
      <c r="FG2" s="131"/>
      <c r="FH2" s="131"/>
      <c r="FI2" s="131"/>
      <c r="FJ2" s="131"/>
      <c r="FK2" s="131"/>
      <c r="FL2" s="131"/>
      <c r="FM2" s="131"/>
      <c r="FN2" s="131"/>
      <c r="FO2" s="131"/>
      <c r="FP2" s="131"/>
      <c r="FQ2" s="131"/>
      <c r="FR2" s="131"/>
      <c r="FS2" s="131"/>
      <c r="FT2" s="131"/>
      <c r="FU2" s="131"/>
      <c r="FV2" s="131"/>
    </row>
    <row r="3" spans="1:257" ht="17">
      <c r="A3" s="89"/>
      <c r="B3" s="61" t="s">
        <v>61</v>
      </c>
      <c r="C3" s="61" t="s">
        <v>121</v>
      </c>
      <c r="D3" s="67" t="s">
        <v>78</v>
      </c>
      <c r="E3" s="69"/>
      <c r="F3" s="89"/>
      <c r="G3" s="89"/>
      <c r="H3" s="89"/>
      <c r="I3" s="69" t="s">
        <v>114</v>
      </c>
      <c r="J3" s="89"/>
      <c r="K3" s="89"/>
      <c r="L3" s="89"/>
      <c r="M3" s="89"/>
      <c r="N3" s="89"/>
      <c r="O3" s="89"/>
      <c r="P3" s="89"/>
      <c r="Q3" s="89"/>
      <c r="R3" s="102"/>
      <c r="S3" s="72">
        <v>299</v>
      </c>
      <c r="T3" s="91"/>
      <c r="U3" s="89"/>
      <c r="V3" s="89"/>
      <c r="W3" s="61"/>
      <c r="X3" s="75" t="s">
        <v>76</v>
      </c>
      <c r="Y3" s="89"/>
      <c r="Z3" s="106" t="s">
        <v>113</v>
      </c>
      <c r="AA3" s="89"/>
      <c r="AB3" s="75" t="s">
        <v>102</v>
      </c>
      <c r="AC3" s="90"/>
      <c r="AF3" s="107"/>
      <c r="AG3" s="90"/>
      <c r="AH3" s="107"/>
      <c r="AI3" s="107"/>
      <c r="AJ3" s="107"/>
      <c r="AK3" s="107"/>
      <c r="AL3" s="90"/>
      <c r="AM3"/>
      <c r="AN3" s="76">
        <v>43454</v>
      </c>
      <c r="AO3" s="114" t="s">
        <v>107</v>
      </c>
      <c r="AP3" s="90"/>
      <c r="AQ3" s="114" t="s">
        <v>106</v>
      </c>
      <c r="AR3" s="90"/>
      <c r="AS3" s="110" t="s">
        <v>80</v>
      </c>
      <c r="AT3" s="90"/>
      <c r="AU3" s="110" t="s">
        <v>73</v>
      </c>
      <c r="AV3" s="78">
        <v>0</v>
      </c>
      <c r="AW3" s="89"/>
      <c r="AX3" s="78">
        <v>299</v>
      </c>
      <c r="AY3" s="61"/>
      <c r="AZ3" s="61"/>
      <c r="BA3" s="120"/>
      <c r="BB3" s="90"/>
      <c r="BC3" s="120"/>
      <c r="BD3" s="120"/>
      <c r="BE3" s="120"/>
      <c r="BF3" s="141">
        <v>43456</v>
      </c>
      <c r="BG3" s="72">
        <v>2880</v>
      </c>
      <c r="BH3" s="142" t="s">
        <v>98</v>
      </c>
      <c r="BI3" s="142" t="s">
        <v>101</v>
      </c>
      <c r="BJ3" s="102"/>
      <c r="BK3" s="83"/>
      <c r="BL3" s="90"/>
      <c r="BM3" s="90"/>
      <c r="BN3" s="66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 s="91"/>
      <c r="FT3" s="91"/>
      <c r="FU3" s="91"/>
      <c r="FV3" s="91"/>
      <c r="FW3" s="91"/>
      <c r="FX3" s="91"/>
      <c r="FY3" s="91"/>
      <c r="FZ3" s="91"/>
      <c r="GA3" s="91"/>
      <c r="GB3" s="91"/>
      <c r="GC3" s="91"/>
      <c r="GD3" s="91"/>
      <c r="GE3" s="91"/>
      <c r="GF3" s="91"/>
      <c r="GG3" s="91"/>
      <c r="GH3" s="91"/>
      <c r="GI3" s="91"/>
      <c r="GJ3" s="91"/>
      <c r="GK3" s="91"/>
      <c r="GL3" s="91"/>
      <c r="GM3" s="91"/>
      <c r="GN3" s="91"/>
      <c r="GO3" s="91"/>
      <c r="GP3" s="91"/>
      <c r="GQ3" s="91"/>
      <c r="GR3" s="91"/>
      <c r="GS3" s="91"/>
      <c r="GT3" s="91"/>
      <c r="GU3" s="91"/>
      <c r="GV3" s="91"/>
      <c r="GW3" s="91"/>
      <c r="GX3" s="91"/>
      <c r="GY3" s="91"/>
      <c r="GZ3" s="91"/>
      <c r="HA3" s="91"/>
      <c r="HB3" s="91"/>
      <c r="HC3" s="91"/>
      <c r="HD3" s="91"/>
      <c r="HE3" s="91"/>
      <c r="HF3" s="91"/>
      <c r="HG3" s="91"/>
      <c r="HH3" s="91"/>
      <c r="HI3" s="91"/>
      <c r="HJ3" s="91"/>
      <c r="HK3" s="91"/>
      <c r="HL3" s="91"/>
      <c r="HM3" s="91"/>
      <c r="HN3" s="91"/>
      <c r="HO3" s="91"/>
      <c r="HP3" s="91"/>
      <c r="HQ3" s="91"/>
      <c r="HR3" s="91"/>
      <c r="HS3" s="91"/>
      <c r="HT3" s="91"/>
      <c r="HU3" s="91"/>
      <c r="HV3" s="91"/>
      <c r="HW3" s="91"/>
      <c r="HX3" s="91"/>
      <c r="HY3" s="91"/>
      <c r="HZ3" s="91"/>
      <c r="IA3" s="91"/>
      <c r="IB3" s="91"/>
      <c r="IC3" s="91"/>
      <c r="ID3" s="91"/>
      <c r="IE3" s="91"/>
      <c r="IF3" s="91"/>
      <c r="IG3" s="91"/>
      <c r="IH3" s="91"/>
      <c r="II3" s="91"/>
      <c r="IJ3" s="91"/>
      <c r="IK3" s="91"/>
      <c r="IL3" s="91"/>
      <c r="IM3" s="91"/>
      <c r="IN3" s="91"/>
      <c r="IO3" s="91"/>
      <c r="IP3" s="91"/>
      <c r="IQ3" s="91"/>
      <c r="IR3" s="91"/>
      <c r="IS3" s="91"/>
      <c r="IT3" s="91"/>
      <c r="IU3" s="91"/>
      <c r="IV3" s="91"/>
      <c r="IW3" s="91"/>
    </row>
    <row r="4" spans="1:257" ht="17">
      <c r="A4"/>
      <c r="B4" s="61" t="s">
        <v>61</v>
      </c>
      <c r="C4" s="61" t="s">
        <v>123</v>
      </c>
      <c r="D4" s="67" t="s">
        <v>124</v>
      </c>
      <c r="E4" s="69"/>
      <c r="F4" s="89"/>
      <c r="G4" s="91"/>
      <c r="H4" s="91"/>
      <c r="I4" s="89"/>
      <c r="J4" s="89"/>
      <c r="K4" s="89"/>
      <c r="L4" s="89"/>
      <c r="M4" s="89"/>
      <c r="N4" s="89"/>
      <c r="O4" s="89"/>
      <c r="P4" s="89"/>
      <c r="Q4" s="89"/>
      <c r="R4" s="102"/>
      <c r="S4" s="61"/>
      <c r="T4" s="89"/>
      <c r="U4" s="89"/>
      <c r="V4" s="91"/>
      <c r="W4" s="61"/>
      <c r="X4" s="89"/>
      <c r="Y4" s="89"/>
      <c r="Z4" s="106" t="s">
        <v>111</v>
      </c>
      <c r="AA4" s="89"/>
      <c r="AB4" s="75" t="s">
        <v>112</v>
      </c>
      <c r="AC4" s="89"/>
      <c r="AF4" s="107"/>
      <c r="AG4" s="89"/>
      <c r="AH4" s="107"/>
      <c r="AI4" s="107"/>
      <c r="AJ4" s="107"/>
      <c r="AK4" s="107"/>
      <c r="AL4" s="90"/>
      <c r="AM4" s="89"/>
      <c r="AN4" s="76">
        <v>43463</v>
      </c>
      <c r="AO4" s="114" t="s">
        <v>64</v>
      </c>
      <c r="AP4" s="89"/>
      <c r="AQ4" s="114" t="s">
        <v>108</v>
      </c>
      <c r="AR4" s="89"/>
      <c r="AS4" s="76" t="s">
        <v>80</v>
      </c>
      <c r="AT4" s="89"/>
      <c r="AU4" s="76" t="s">
        <v>73</v>
      </c>
      <c r="AV4" s="78">
        <v>0</v>
      </c>
      <c r="AW4" s="114" t="s">
        <v>73</v>
      </c>
      <c r="AX4" s="78">
        <v>0</v>
      </c>
      <c r="AY4" s="61"/>
      <c r="AZ4" s="61"/>
      <c r="BA4" s="120"/>
      <c r="BB4" s="90"/>
      <c r="BC4" s="120"/>
      <c r="BD4" s="120"/>
      <c r="BE4" s="120"/>
      <c r="BF4" s="90"/>
      <c r="BG4" s="61"/>
      <c r="BH4" s="89"/>
      <c r="BI4" s="89"/>
      <c r="BJ4" s="100"/>
      <c r="BK4" s="83"/>
      <c r="BL4" s="89"/>
      <c r="BM4" s="89"/>
      <c r="BN4" s="142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</row>
    <row r="5" spans="1:257" ht="17">
      <c r="A5" s="91"/>
      <c r="B5" s="61" t="s">
        <v>61</v>
      </c>
      <c r="C5" s="61" t="s">
        <v>165</v>
      </c>
      <c r="D5" s="67" t="s">
        <v>164</v>
      </c>
      <c r="E5" s="69"/>
      <c r="F5" s="89"/>
      <c r="G5" s="89"/>
      <c r="H5" s="89"/>
      <c r="I5" s="89"/>
      <c r="J5" s="90"/>
      <c r="K5" s="90"/>
      <c r="L5" s="90"/>
      <c r="M5" s="90"/>
      <c r="N5" s="90"/>
      <c r="O5" s="90"/>
      <c r="P5" s="90"/>
      <c r="Q5" s="90"/>
      <c r="R5" s="100"/>
      <c r="S5" s="71"/>
      <c r="T5" s="91"/>
      <c r="U5" s="91"/>
      <c r="V5" s="89"/>
      <c r="W5" s="61"/>
      <c r="X5" s="89"/>
      <c r="Y5" s="90"/>
      <c r="Z5" s="91"/>
      <c r="AA5" s="106" t="s">
        <v>138</v>
      </c>
      <c r="AB5" s="75" t="s">
        <v>112</v>
      </c>
      <c r="AC5"/>
      <c r="AF5" s="107"/>
      <c r="AG5"/>
      <c r="AH5" s="89"/>
      <c r="AI5" s="89"/>
      <c r="AJ5" s="89"/>
      <c r="AK5" s="89"/>
      <c r="AL5" s="89"/>
      <c r="AM5" s="90"/>
      <c r="AN5" s="76">
        <v>43593</v>
      </c>
      <c r="AO5" s="114" t="s">
        <v>73</v>
      </c>
      <c r="AQ5" s="114" t="s">
        <v>73</v>
      </c>
      <c r="AR5" s="114"/>
      <c r="AS5" s="114" t="s">
        <v>73</v>
      </c>
      <c r="AT5" s="114"/>
      <c r="AU5" s="110" t="s">
        <v>73</v>
      </c>
      <c r="AV5" s="78" t="s">
        <v>73</v>
      </c>
      <c r="AW5" s="114" t="s">
        <v>73</v>
      </c>
      <c r="AX5" s="78" t="s">
        <v>73</v>
      </c>
      <c r="AY5" s="61"/>
      <c r="AZ5" s="61"/>
      <c r="BA5" s="120"/>
      <c r="BB5" s="90"/>
      <c r="BC5" s="120"/>
      <c r="BD5" s="120"/>
      <c r="BE5" s="120"/>
      <c r="BF5" s="141">
        <v>43605</v>
      </c>
      <c r="BG5" s="72">
        <v>1500</v>
      </c>
      <c r="BH5" s="103" t="s">
        <v>166</v>
      </c>
      <c r="BI5" s="103" t="s">
        <v>101</v>
      </c>
      <c r="BJ5" s="128"/>
      <c r="BK5" s="83"/>
      <c r="BL5" s="129"/>
      <c r="BM5" s="129"/>
      <c r="BN5" s="142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</row>
    <row r="6" spans="1:257" ht="17">
      <c r="A6" s="91"/>
      <c r="B6" s="61" t="s">
        <v>61</v>
      </c>
      <c r="C6" s="61" t="s">
        <v>179</v>
      </c>
      <c r="D6" s="67" t="s">
        <v>180</v>
      </c>
      <c r="E6" s="69"/>
      <c r="F6" s="91"/>
      <c r="G6" s="91"/>
      <c r="H6" s="91"/>
      <c r="I6" s="89"/>
      <c r="J6" s="92"/>
      <c r="K6" s="92"/>
      <c r="L6" s="92"/>
      <c r="M6" s="92"/>
      <c r="N6" s="92"/>
      <c r="O6" s="92"/>
      <c r="P6" s="92"/>
      <c r="Q6" s="92"/>
      <c r="R6" s="100"/>
      <c r="S6" s="61"/>
      <c r="T6" s="91"/>
      <c r="U6" s="91"/>
      <c r="V6" s="91"/>
      <c r="W6" s="61"/>
      <c r="X6" s="89"/>
      <c r="Y6" s="91"/>
      <c r="Z6" s="91"/>
      <c r="AA6" s="91"/>
      <c r="AB6" s="89"/>
      <c r="AC6" s="91"/>
      <c r="AF6" s="107"/>
      <c r="AG6" s="91"/>
      <c r="AH6" s="89"/>
      <c r="AI6" s="89"/>
      <c r="AJ6" s="89"/>
      <c r="AK6" s="89"/>
      <c r="AL6" s="91"/>
      <c r="AM6" s="91"/>
      <c r="AN6" s="76">
        <v>43653</v>
      </c>
      <c r="AO6" s="89"/>
      <c r="AP6" s="91"/>
      <c r="AQ6" s="114"/>
      <c r="AR6" s="114"/>
      <c r="AS6" s="114"/>
      <c r="AT6" s="114"/>
      <c r="AU6" s="100"/>
      <c r="AV6" s="77"/>
      <c r="AW6" s="89"/>
      <c r="AX6" s="77"/>
      <c r="AY6" s="61"/>
      <c r="AZ6" s="61"/>
      <c r="BA6" s="120"/>
      <c r="BB6" s="90"/>
      <c r="BC6" s="120"/>
      <c r="BD6" s="120"/>
      <c r="BE6" s="120"/>
      <c r="BF6" s="89"/>
      <c r="BG6" s="61"/>
      <c r="BH6" s="89"/>
      <c r="BI6"/>
      <c r="BJ6" s="128">
        <v>43696</v>
      </c>
      <c r="BK6" s="83">
        <v>234</v>
      </c>
      <c r="BL6" s="129" t="s">
        <v>92</v>
      </c>
      <c r="BM6" s="129" t="s">
        <v>93</v>
      </c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  <c r="EY6" s="66"/>
      <c r="EZ6" s="66"/>
      <c r="FA6" s="66"/>
      <c r="FB6" s="66"/>
      <c r="FC6" s="66"/>
      <c r="FD6" s="66"/>
      <c r="FE6" s="66"/>
      <c r="FF6" s="66"/>
      <c r="FG6" s="66"/>
      <c r="FH6" s="66"/>
      <c r="FI6" s="66"/>
      <c r="FJ6" s="66"/>
      <c r="FK6" s="66"/>
      <c r="FL6" s="66"/>
      <c r="FM6" s="66"/>
      <c r="FN6" s="66"/>
      <c r="FO6" s="66"/>
      <c r="FP6" s="66"/>
      <c r="FQ6" s="66"/>
      <c r="FR6" s="66"/>
    </row>
    <row r="7" spans="1:257" ht="17">
      <c r="A7" s="89"/>
      <c r="B7" s="61" t="s">
        <v>61</v>
      </c>
      <c r="C7" s="61" t="s">
        <v>182</v>
      </c>
      <c r="D7" s="67" t="s">
        <v>183</v>
      </c>
      <c r="E7" s="69"/>
      <c r="F7" s="90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61"/>
      <c r="T7" s="91"/>
      <c r="U7" s="61"/>
      <c r="V7"/>
      <c r="W7" s="61"/>
      <c r="X7" s="89"/>
      <c r="Y7" s="89"/>
      <c r="Z7" s="89"/>
      <c r="AA7" s="91"/>
      <c r="AB7" s="75" t="s">
        <v>153</v>
      </c>
      <c r="AC7" s="91"/>
      <c r="AF7" s="107"/>
      <c r="AG7" s="89"/>
      <c r="AH7" s="89"/>
      <c r="AI7" s="89"/>
      <c r="AJ7" s="89"/>
      <c r="AK7" s="89"/>
      <c r="AL7" s="89"/>
      <c r="AM7" s="90"/>
      <c r="AN7" s="76">
        <v>43663</v>
      </c>
      <c r="AO7" s="77" t="s">
        <v>154</v>
      </c>
      <c r="AP7" s="90"/>
      <c r="AQ7" s="114" t="s">
        <v>73</v>
      </c>
      <c r="AR7" s="114"/>
      <c r="AS7" s="114" t="s">
        <v>80</v>
      </c>
      <c r="AT7" s="90"/>
      <c r="AU7" s="76">
        <v>43713</v>
      </c>
      <c r="AV7" s="78">
        <v>3000</v>
      </c>
      <c r="AW7" s="77" t="s">
        <v>150</v>
      </c>
      <c r="AX7" s="78">
        <v>3000</v>
      </c>
      <c r="AY7" s="61"/>
      <c r="AZ7" s="61"/>
      <c r="BA7" s="120"/>
      <c r="BB7" s="91"/>
      <c r="BC7" s="120"/>
      <c r="BD7" s="120"/>
      <c r="BE7" s="120"/>
      <c r="BF7" s="90"/>
      <c r="BG7" s="61"/>
      <c r="BH7" s="89"/>
      <c r="BI7" s="89"/>
      <c r="BJ7" s="102"/>
      <c r="BK7" s="83"/>
      <c r="BL7" s="90"/>
      <c r="BM7" s="90"/>
      <c r="BN7" s="132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  <c r="IR7" s="89"/>
      <c r="IS7" s="89"/>
      <c r="IT7" s="89"/>
      <c r="IU7" s="89"/>
      <c r="IV7" s="89"/>
      <c r="IW7" s="89"/>
    </row>
    <row r="8" spans="1:257" ht="17">
      <c r="A8" s="144"/>
      <c r="B8" s="61" t="s">
        <v>62</v>
      </c>
      <c r="C8" s="61" t="s">
        <v>200</v>
      </c>
      <c r="D8" s="67" t="s">
        <v>201</v>
      </c>
      <c r="E8" s="69"/>
      <c r="F8" s="143"/>
      <c r="G8" s="144"/>
      <c r="H8" s="144"/>
      <c r="I8" s="69" t="s">
        <v>202</v>
      </c>
      <c r="J8" s="143"/>
      <c r="K8" s="143"/>
      <c r="L8" s="143"/>
      <c r="M8" s="143"/>
      <c r="N8" s="143"/>
      <c r="O8" s="143"/>
      <c r="P8" s="143"/>
      <c r="Q8" s="143"/>
      <c r="R8" s="146"/>
      <c r="S8" s="61"/>
      <c r="T8" s="143"/>
      <c r="U8" s="89"/>
      <c r="V8" s="61">
        <v>134</v>
      </c>
      <c r="W8" s="61"/>
      <c r="X8" s="144"/>
      <c r="Y8" s="144"/>
      <c r="Z8" s="143"/>
      <c r="AA8" s="106" t="s">
        <v>120</v>
      </c>
      <c r="AB8" s="75" t="s">
        <v>102</v>
      </c>
      <c r="AC8" s="144"/>
      <c r="AD8" s="89"/>
      <c r="AE8" s="89"/>
      <c r="AF8" s="107"/>
      <c r="AG8" s="143"/>
      <c r="AH8" s="144"/>
      <c r="AI8" s="144"/>
      <c r="AJ8" s="144"/>
      <c r="AK8" s="144"/>
      <c r="AL8" s="144"/>
      <c r="AM8" s="143"/>
      <c r="AN8" s="76">
        <v>43806</v>
      </c>
      <c r="AO8" s="77" t="s">
        <v>107</v>
      </c>
      <c r="AP8" s="91"/>
      <c r="AQ8" s="114" t="s">
        <v>73</v>
      </c>
      <c r="AR8" s="114"/>
      <c r="AS8" s="114" t="s">
        <v>73</v>
      </c>
      <c r="AT8" s="90"/>
      <c r="AU8" s="76">
        <v>43806</v>
      </c>
      <c r="AV8" s="78">
        <v>134</v>
      </c>
      <c r="AW8" s="114" t="s">
        <v>98</v>
      </c>
      <c r="AX8" s="78">
        <v>134</v>
      </c>
      <c r="AY8" s="61"/>
      <c r="AZ8" s="61"/>
      <c r="BA8" s="120"/>
      <c r="BB8" s="121"/>
      <c r="BC8" s="120"/>
      <c r="BD8" s="120"/>
      <c r="BE8" s="120"/>
      <c r="BF8" s="144"/>
      <c r="BG8" s="61"/>
      <c r="BH8" s="144"/>
      <c r="BJ8" s="143"/>
      <c r="BK8" s="83"/>
      <c r="BL8" s="143"/>
      <c r="BM8" s="143"/>
      <c r="BN8" s="150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 s="91"/>
      <c r="FT8" s="91"/>
      <c r="FU8" s="91"/>
      <c r="FV8" s="91"/>
      <c r="FW8" s="91"/>
      <c r="FX8" s="91"/>
      <c r="FY8" s="91"/>
      <c r="FZ8" s="91"/>
      <c r="GA8" s="91"/>
      <c r="GB8" s="91"/>
      <c r="GC8" s="91"/>
      <c r="GD8" s="91"/>
      <c r="GE8" s="91"/>
      <c r="GF8" s="91"/>
      <c r="GG8" s="91"/>
      <c r="GH8" s="91"/>
      <c r="GI8" s="91"/>
      <c r="GJ8" s="91"/>
      <c r="GK8" s="91"/>
      <c r="GL8" s="91"/>
      <c r="GM8" s="91"/>
      <c r="GN8" s="91"/>
      <c r="GO8" s="91"/>
      <c r="GP8" s="91"/>
      <c r="GQ8" s="91"/>
      <c r="GR8" s="91"/>
      <c r="GS8" s="91"/>
      <c r="GT8" s="91"/>
      <c r="GU8" s="91"/>
      <c r="GV8" s="91"/>
      <c r="GW8" s="91"/>
      <c r="GX8" s="91"/>
      <c r="GY8" s="91"/>
      <c r="GZ8" s="91"/>
      <c r="HA8" s="91"/>
      <c r="HB8" s="91"/>
      <c r="HC8" s="91"/>
      <c r="HD8" s="91"/>
      <c r="HE8" s="91"/>
      <c r="HF8" s="91"/>
      <c r="HG8" s="91"/>
      <c r="HH8" s="91"/>
      <c r="HI8" s="91"/>
      <c r="HJ8" s="91"/>
      <c r="HK8" s="91"/>
      <c r="HL8" s="91"/>
      <c r="HM8" s="91"/>
      <c r="HN8" s="91"/>
      <c r="HO8" s="91"/>
      <c r="HP8" s="91"/>
      <c r="HQ8" s="91"/>
      <c r="HR8" s="91"/>
      <c r="HS8" s="91"/>
      <c r="HT8" s="91"/>
      <c r="HU8" s="91"/>
      <c r="HV8" s="91"/>
      <c r="HW8" s="91"/>
      <c r="HX8" s="91"/>
      <c r="HY8" s="91"/>
      <c r="HZ8" s="91"/>
      <c r="IA8" s="91"/>
      <c r="IB8" s="91"/>
      <c r="IC8" s="91"/>
      <c r="ID8" s="91"/>
      <c r="IE8" s="91"/>
      <c r="IF8" s="91"/>
      <c r="IG8" s="91"/>
      <c r="IH8" s="91"/>
      <c r="II8" s="91"/>
      <c r="IJ8" s="91"/>
      <c r="IK8" s="91"/>
      <c r="IL8" s="91"/>
      <c r="IM8" s="91"/>
      <c r="IN8" s="91"/>
      <c r="IO8" s="91"/>
      <c r="IP8" s="91"/>
      <c r="IQ8" s="91"/>
      <c r="IR8" s="91"/>
      <c r="IS8" s="91"/>
      <c r="IT8" s="91"/>
      <c r="IU8" s="91"/>
      <c r="IV8" s="91"/>
      <c r="IW8" s="91"/>
    </row>
    <row r="9" spans="1:257" ht="17">
      <c r="A9" s="143"/>
      <c r="B9" s="61" t="s">
        <v>62</v>
      </c>
      <c r="C9" s="61" t="s">
        <v>206</v>
      </c>
      <c r="D9" s="67" t="s">
        <v>186</v>
      </c>
      <c r="E9" s="69"/>
      <c r="F9" s="143"/>
      <c r="G9" s="143"/>
      <c r="H9" s="143"/>
      <c r="I9" s="92" t="s">
        <v>198</v>
      </c>
      <c r="J9" s="143"/>
      <c r="K9" s="143"/>
      <c r="L9" s="143"/>
      <c r="M9" s="143"/>
      <c r="N9" s="143"/>
      <c r="O9" s="143"/>
      <c r="P9" s="143"/>
      <c r="Q9" s="143"/>
      <c r="R9" s="144"/>
      <c r="S9" s="61"/>
      <c r="T9" s="143"/>
      <c r="U9" s="144"/>
      <c r="V9" s="101">
        <v>99</v>
      </c>
      <c r="W9" s="61"/>
      <c r="X9" s="106" t="s">
        <v>76</v>
      </c>
      <c r="Y9" s="143"/>
      <c r="Z9" s="143"/>
      <c r="AA9" s="106" t="s">
        <v>120</v>
      </c>
      <c r="AB9" s="75" t="s">
        <v>100</v>
      </c>
      <c r="AC9" s="143"/>
      <c r="AD9" s="89"/>
      <c r="AE9" s="89"/>
      <c r="AF9" s="107"/>
      <c r="AG9" s="145"/>
      <c r="AH9" s="144"/>
      <c r="AI9" s="144"/>
      <c r="AJ9" s="144"/>
      <c r="AK9" s="144"/>
      <c r="AL9" s="143"/>
      <c r="AM9" s="143"/>
      <c r="AN9" s="76">
        <v>43807</v>
      </c>
      <c r="AO9" s="77" t="s">
        <v>107</v>
      </c>
      <c r="AP9" s="91"/>
      <c r="AQ9" s="114" t="s">
        <v>73</v>
      </c>
      <c r="AR9" s="114"/>
      <c r="AS9" s="114" t="s">
        <v>109</v>
      </c>
      <c r="AT9" s="90"/>
      <c r="AU9" s="76">
        <v>43807</v>
      </c>
      <c r="AV9" s="78">
        <v>99</v>
      </c>
      <c r="AW9" s="77" t="s">
        <v>98</v>
      </c>
      <c r="AX9" s="78">
        <v>99</v>
      </c>
      <c r="AY9" s="61"/>
      <c r="AZ9" s="61"/>
      <c r="BA9" s="120"/>
      <c r="BB9" s="143"/>
      <c r="BC9" s="120"/>
      <c r="BD9" s="120"/>
      <c r="BE9" s="120"/>
      <c r="BF9" s="143"/>
      <c r="BG9" s="61"/>
      <c r="BH9" s="142"/>
      <c r="BI9" s="142"/>
      <c r="BJ9" s="143"/>
      <c r="BK9" s="83"/>
      <c r="BL9" s="143"/>
      <c r="BM9" s="143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 s="91"/>
      <c r="FT9" s="91"/>
      <c r="FU9" s="91"/>
      <c r="FV9" s="91"/>
      <c r="FW9" s="91"/>
      <c r="FX9" s="91"/>
      <c r="FY9" s="91"/>
      <c r="FZ9" s="91"/>
      <c r="GA9" s="91"/>
      <c r="GB9" s="91"/>
      <c r="GC9" s="91"/>
      <c r="GD9" s="91"/>
      <c r="GE9" s="91"/>
      <c r="GF9" s="91"/>
      <c r="GG9" s="91"/>
      <c r="GH9" s="91"/>
      <c r="GI9" s="91"/>
      <c r="GJ9" s="91"/>
      <c r="GK9" s="91"/>
      <c r="GL9" s="91"/>
      <c r="GM9" s="91"/>
      <c r="GN9" s="91"/>
      <c r="GO9" s="91"/>
      <c r="GP9" s="91"/>
      <c r="GQ9" s="91"/>
      <c r="GR9" s="91"/>
      <c r="GS9" s="91"/>
      <c r="GT9" s="91"/>
      <c r="GU9" s="91"/>
      <c r="GV9" s="91"/>
      <c r="GW9" s="91"/>
      <c r="GX9" s="91"/>
      <c r="GY9" s="91"/>
      <c r="GZ9" s="91"/>
      <c r="HA9" s="91"/>
      <c r="HB9" s="91"/>
      <c r="HC9" s="91"/>
      <c r="HD9" s="91"/>
      <c r="HE9" s="91"/>
      <c r="HF9" s="91"/>
      <c r="HG9" s="91"/>
      <c r="HH9" s="91"/>
      <c r="HI9" s="91"/>
      <c r="HJ9" s="91"/>
      <c r="HK9" s="91"/>
      <c r="HL9" s="91"/>
      <c r="HM9" s="91"/>
      <c r="HN9" s="91"/>
      <c r="HO9" s="91"/>
      <c r="HP9" s="91"/>
      <c r="HQ9" s="91"/>
      <c r="HR9" s="91"/>
      <c r="HS9" s="91"/>
      <c r="HT9" s="91"/>
      <c r="HU9" s="91"/>
      <c r="HV9" s="91"/>
      <c r="HW9" s="91"/>
      <c r="HX9" s="91"/>
      <c r="HY9" s="91"/>
      <c r="HZ9" s="91"/>
      <c r="IA9" s="91"/>
      <c r="IB9" s="91"/>
      <c r="IC9" s="91"/>
      <c r="ID9" s="91"/>
      <c r="IE9" s="91"/>
      <c r="IF9" s="91"/>
      <c r="IG9" s="91"/>
      <c r="IH9" s="91"/>
      <c r="II9" s="91"/>
      <c r="IJ9" s="91"/>
      <c r="IK9" s="91"/>
      <c r="IL9" s="91"/>
      <c r="IM9" s="91"/>
      <c r="IN9" s="91"/>
      <c r="IO9" s="91"/>
      <c r="IP9" s="91"/>
      <c r="IQ9" s="91"/>
      <c r="IR9" s="91"/>
      <c r="IS9" s="91"/>
      <c r="IT9" s="91"/>
      <c r="IU9" s="91"/>
      <c r="IV9" s="91"/>
      <c r="IW9" s="91"/>
    </row>
    <row r="10" spans="1:257" ht="17">
      <c r="A10" s="103" t="s">
        <v>340</v>
      </c>
      <c r="B10" s="61" t="s">
        <v>61</v>
      </c>
      <c r="C10" s="61" t="s">
        <v>341</v>
      </c>
      <c r="D10" s="67" t="s">
        <v>342</v>
      </c>
      <c r="E10" s="69"/>
      <c r="F10" s="90"/>
      <c r="G10" s="91"/>
      <c r="H10" s="91"/>
      <c r="I10" s="91"/>
      <c r="J10" s="90"/>
      <c r="K10" s="90"/>
      <c r="L10" s="90"/>
      <c r="M10" s="90"/>
      <c r="N10" s="90"/>
      <c r="O10" s="90"/>
      <c r="P10" s="90"/>
      <c r="Q10" s="90"/>
      <c r="R10" s="102"/>
      <c r="S10" s="61"/>
      <c r="T10" s="89"/>
      <c r="U10"/>
      <c r="V10" s="89"/>
      <c r="W10" s="61"/>
      <c r="X10" s="91"/>
      <c r="Y10" s="90"/>
      <c r="Z10" s="106" t="s">
        <v>104</v>
      </c>
      <c r="AA10" s="89"/>
      <c r="AB10" s="89"/>
      <c r="AC10" s="90"/>
      <c r="AF10" s="107"/>
      <c r="AG10" s="89"/>
      <c r="AH10" s="108"/>
      <c r="AI10" s="108"/>
      <c r="AJ10" s="108"/>
      <c r="AK10" s="108"/>
      <c r="AL10" s="89"/>
      <c r="AM10" s="89"/>
      <c r="AN10" s="76" t="s">
        <v>73</v>
      </c>
      <c r="AO10" s="89"/>
      <c r="AP10" s="89"/>
      <c r="AQ10" s="114"/>
      <c r="AR10" s="114"/>
      <c r="AS10" s="114"/>
      <c r="AT10" s="89"/>
      <c r="AY10" s="61"/>
      <c r="AZ10" s="61"/>
      <c r="BA10" s="120"/>
      <c r="BB10" s="121">
        <v>43469</v>
      </c>
      <c r="BC10" s="80">
        <v>240</v>
      </c>
      <c r="BD10" s="79" t="s">
        <v>90</v>
      </c>
      <c r="BE10" s="79" t="s">
        <v>105</v>
      </c>
      <c r="BF10" s="91"/>
      <c r="BG10" s="61"/>
      <c r="BH10" s="90"/>
      <c r="BI10" s="90"/>
      <c r="BJ10" s="100"/>
      <c r="BK10" s="83"/>
      <c r="BL10" s="89"/>
      <c r="BM10" s="89"/>
      <c r="BN10" s="91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 s="91"/>
      <c r="FT10" s="91"/>
      <c r="FU10" s="91"/>
      <c r="FV10" s="91"/>
      <c r="FW10" s="91"/>
      <c r="FX10" s="91"/>
      <c r="FY10" s="91"/>
      <c r="FZ10" s="91"/>
      <c r="GA10" s="91"/>
      <c r="GB10" s="91"/>
      <c r="GC10" s="91"/>
      <c r="GD10" s="91"/>
      <c r="GE10" s="91"/>
      <c r="GF10" s="91"/>
      <c r="GG10" s="91"/>
      <c r="GH10" s="91"/>
      <c r="GI10" s="91"/>
      <c r="GJ10" s="91"/>
      <c r="GK10" s="91"/>
      <c r="GL10" s="91"/>
      <c r="GM10" s="91"/>
      <c r="GN10" s="91"/>
      <c r="GO10" s="91"/>
      <c r="GP10" s="91"/>
      <c r="GQ10" s="91"/>
      <c r="GR10" s="91"/>
      <c r="GS10" s="91"/>
      <c r="GT10" s="91"/>
      <c r="GU10" s="91"/>
      <c r="GV10" s="91"/>
      <c r="GW10" s="91"/>
      <c r="GX10" s="91"/>
      <c r="GY10" s="91"/>
      <c r="GZ10" s="91"/>
      <c r="HA10" s="91"/>
      <c r="HB10" s="91"/>
      <c r="HC10" s="91"/>
      <c r="HD10" s="91"/>
      <c r="HE10" s="91"/>
      <c r="HF10" s="91"/>
      <c r="HG10" s="91"/>
      <c r="HH10" s="91"/>
      <c r="HI10" s="91"/>
      <c r="HJ10" s="91"/>
      <c r="HK10" s="91"/>
      <c r="HL10" s="91"/>
      <c r="HM10" s="91"/>
      <c r="HN10" s="91"/>
      <c r="HO10" s="91"/>
      <c r="HP10" s="91"/>
      <c r="HQ10" s="91"/>
      <c r="HR10" s="91"/>
      <c r="HS10" s="91"/>
      <c r="HT10" s="91"/>
      <c r="HU10" s="91"/>
      <c r="HV10" s="91"/>
      <c r="HW10" s="91"/>
      <c r="HX10" s="91"/>
      <c r="HY10" s="91"/>
      <c r="HZ10" s="91"/>
      <c r="IA10" s="91"/>
      <c r="IB10" s="91"/>
      <c r="IC10" s="91"/>
      <c r="ID10" s="91"/>
      <c r="IE10" s="91"/>
      <c r="IF10" s="91"/>
      <c r="IG10" s="91"/>
      <c r="IH10" s="91"/>
      <c r="II10" s="91"/>
      <c r="IJ10" s="91"/>
      <c r="IK10" s="91"/>
      <c r="IL10" s="91"/>
      <c r="IM10" s="91"/>
      <c r="IN10" s="91"/>
      <c r="IO10" s="91"/>
      <c r="IP10" s="91"/>
      <c r="IQ10" s="91"/>
      <c r="IR10" s="91"/>
      <c r="IS10" s="91"/>
      <c r="IT10" s="91"/>
      <c r="IU10" s="91"/>
      <c r="IV10" s="91"/>
      <c r="IW10" s="91"/>
    </row>
    <row r="11" spans="1:257" ht="17">
      <c r="A11" s="91"/>
      <c r="B11" s="61" t="s">
        <v>62</v>
      </c>
      <c r="C11" s="61" t="s">
        <v>354</v>
      </c>
      <c r="D11" s="67" t="s">
        <v>94</v>
      </c>
      <c r="E11" s="69" t="s">
        <v>79</v>
      </c>
      <c r="F11" s="92">
        <v>13816125386</v>
      </c>
      <c r="G11" s="93" t="s">
        <v>158</v>
      </c>
      <c r="H11" s="91"/>
      <c r="I11" s="92" t="s">
        <v>189</v>
      </c>
      <c r="J11" s="91"/>
      <c r="K11" s="91"/>
      <c r="L11" s="91"/>
      <c r="M11" s="91"/>
      <c r="N11" s="91"/>
      <c r="O11" s="91"/>
      <c r="P11" s="91"/>
      <c r="Q11" s="91"/>
      <c r="R11" s="100"/>
      <c r="S11" s="61"/>
      <c r="T11" s="91"/>
      <c r="U11" s="168"/>
      <c r="V11" s="142">
        <v>4032</v>
      </c>
      <c r="W11" s="61"/>
      <c r="X11" s="106" t="s">
        <v>76</v>
      </c>
      <c r="Y11" s="91"/>
      <c r="Z11" s="91"/>
      <c r="AA11" s="91"/>
      <c r="AB11" s="106" t="s">
        <v>99</v>
      </c>
      <c r="AC11" s="89"/>
      <c r="AF11" s="107"/>
      <c r="AG11" s="90"/>
      <c r="AH11" s="90"/>
      <c r="AI11" s="90"/>
      <c r="AJ11" s="90"/>
      <c r="AK11" s="90"/>
      <c r="AL11" s="90"/>
      <c r="AM11" s="89"/>
      <c r="AN11" s="89"/>
      <c r="AO11" s="90"/>
      <c r="AP11" s="90"/>
      <c r="AQ11" s="114"/>
      <c r="AR11" s="114"/>
      <c r="AS11" s="114"/>
      <c r="AT11" s="90"/>
      <c r="AY11" s="61"/>
      <c r="AZ11" s="61"/>
      <c r="BA11" s="120"/>
      <c r="BB11" s="90"/>
      <c r="BC11" s="120"/>
      <c r="BD11" s="120"/>
      <c r="BE11" s="120"/>
      <c r="BF11" s="90"/>
      <c r="BG11" s="61"/>
      <c r="BH11" s="91"/>
      <c r="BI11" s="91"/>
      <c r="BJ11" s="128"/>
      <c r="BK11" s="83"/>
      <c r="BL11" s="89"/>
      <c r="BM11" s="89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DY11" s="91"/>
      <c r="DZ11" s="91"/>
      <c r="EA11" s="91"/>
      <c r="EB11" s="91"/>
      <c r="EC11" s="91"/>
      <c r="ED11" s="91"/>
      <c r="EE11" s="91"/>
      <c r="EF11" s="91"/>
      <c r="EG11" s="91"/>
      <c r="EH11" s="91"/>
      <c r="EI11" s="91"/>
      <c r="EJ11" s="91"/>
      <c r="EK11" s="91"/>
      <c r="EL11" s="91"/>
      <c r="EM11" s="91"/>
      <c r="EN11" s="91"/>
      <c r="EO11" s="91"/>
      <c r="EP11" s="91"/>
      <c r="EQ11" s="91"/>
      <c r="ER11" s="91"/>
      <c r="ES11" s="91"/>
      <c r="ET11" s="91"/>
      <c r="EU11" s="91"/>
      <c r="EV11" s="91"/>
      <c r="EW11" s="91"/>
      <c r="EX11" s="91"/>
      <c r="EY11" s="91"/>
      <c r="EZ11" s="91"/>
      <c r="FA11" s="91"/>
      <c r="FB11" s="91"/>
      <c r="FC11" s="91"/>
      <c r="FD11" s="91"/>
      <c r="FE11" s="91"/>
      <c r="FF11" s="91"/>
      <c r="FG11" s="91"/>
      <c r="FH11" s="91"/>
      <c r="FI11" s="91"/>
      <c r="FJ11" s="91"/>
      <c r="FK11" s="91"/>
      <c r="FL11" s="91"/>
      <c r="FM11" s="91"/>
      <c r="FN11" s="91"/>
      <c r="FO11" s="91"/>
      <c r="FP11" s="91"/>
      <c r="FQ11" s="91"/>
      <c r="FR11" s="91"/>
      <c r="FS11" s="89"/>
      <c r="FT11" s="89"/>
      <c r="FU11" s="89"/>
      <c r="FV11" s="89"/>
      <c r="FW11" s="89"/>
      <c r="FX11" s="89"/>
      <c r="FY11" s="89"/>
      <c r="FZ11" s="89"/>
      <c r="GA11" s="89"/>
      <c r="GB11" s="89"/>
      <c r="GC11" s="89"/>
      <c r="GD11" s="89"/>
      <c r="GE11" s="89"/>
      <c r="GF11" s="89"/>
      <c r="GG11" s="89"/>
      <c r="GH11" s="89"/>
      <c r="GI11" s="89"/>
      <c r="GJ11" s="89"/>
      <c r="GK11" s="89"/>
      <c r="GL11" s="89"/>
      <c r="GM11" s="89"/>
      <c r="GN11" s="89"/>
      <c r="GO11" s="89"/>
      <c r="GP11" s="89"/>
      <c r="GQ11" s="89"/>
      <c r="GR11" s="89"/>
      <c r="GS11" s="89"/>
      <c r="GT11" s="89"/>
      <c r="GU11" s="89"/>
      <c r="GV11" s="89"/>
      <c r="GW11" s="89"/>
      <c r="GX11" s="89"/>
      <c r="GY11" s="89"/>
      <c r="GZ11" s="89"/>
      <c r="HA11" s="89"/>
      <c r="HB11" s="89"/>
      <c r="HC11" s="89"/>
      <c r="HD11" s="89"/>
      <c r="HE11" s="89"/>
      <c r="HF11" s="89"/>
      <c r="HG11" s="89"/>
      <c r="HH11" s="89"/>
      <c r="HI11" s="89"/>
      <c r="HJ11" s="89"/>
      <c r="HK11" s="89"/>
      <c r="HL11" s="89"/>
      <c r="HM11" s="89"/>
      <c r="HN11" s="89"/>
      <c r="HO11" s="89"/>
      <c r="HP11" s="89"/>
      <c r="HQ11" s="89"/>
      <c r="HR11" s="89"/>
      <c r="HS11" s="89"/>
      <c r="HT11" s="89"/>
      <c r="HU11" s="89"/>
      <c r="HV11" s="89"/>
      <c r="HW11" s="89"/>
      <c r="HX11" s="89"/>
      <c r="HY11" s="89"/>
      <c r="HZ11" s="89"/>
      <c r="IA11" s="89"/>
      <c r="IB11" s="89"/>
      <c r="IC11" s="89"/>
      <c r="ID11" s="89"/>
      <c r="IE11" s="89"/>
      <c r="IF11" s="89"/>
      <c r="IG11" s="89"/>
      <c r="IH11" s="89"/>
      <c r="II11" s="89"/>
      <c r="IJ11" s="89"/>
      <c r="IK11" s="89"/>
      <c r="IL11" s="89"/>
      <c r="IM11" s="89"/>
      <c r="IN11" s="89"/>
      <c r="IO11" s="89"/>
      <c r="IP11" s="89"/>
      <c r="IQ11" s="89"/>
      <c r="IR11" s="89"/>
      <c r="IS11" s="89"/>
      <c r="IT11" s="89"/>
      <c r="IU11" s="89"/>
      <c r="IV11" s="89"/>
      <c r="IW11" s="89"/>
    </row>
    <row r="12" spans="1:257" ht="17">
      <c r="A12" s="89"/>
      <c r="B12" s="61" t="s">
        <v>62</v>
      </c>
      <c r="C12" s="61" t="s">
        <v>275</v>
      </c>
      <c r="D12" s="67" t="s">
        <v>110</v>
      </c>
      <c r="E12" s="69"/>
      <c r="F12" s="91"/>
      <c r="G12" s="89"/>
      <c r="H12" s="89"/>
      <c r="I12" s="92" t="s">
        <v>276</v>
      </c>
      <c r="J12" s="89"/>
      <c r="K12" s="89"/>
      <c r="L12" s="89"/>
      <c r="M12" s="89"/>
      <c r="N12" s="89"/>
      <c r="O12" s="89"/>
      <c r="P12" s="89"/>
      <c r="Q12" s="89"/>
      <c r="R12" s="91"/>
      <c r="S12" s="61"/>
      <c r="T12" s="89"/>
      <c r="U12" s="167"/>
      <c r="V12" s="89"/>
      <c r="W12" s="61"/>
      <c r="X12" s="106" t="s">
        <v>76</v>
      </c>
      <c r="Y12" s="89"/>
      <c r="Z12" s="89"/>
      <c r="AA12" s="89"/>
      <c r="AB12" s="89"/>
      <c r="AC12" s="90"/>
      <c r="AD12" s="89"/>
      <c r="AE12" s="89"/>
      <c r="AF12" s="107"/>
      <c r="AG12" s="89"/>
      <c r="AH12" s="91"/>
      <c r="AI12" s="91"/>
      <c r="AJ12" s="91"/>
      <c r="AK12" s="91"/>
      <c r="AL12" s="90"/>
      <c r="AM12" s="89"/>
      <c r="AN12" s="76">
        <v>43827</v>
      </c>
      <c r="AO12" s="77" t="s">
        <v>64</v>
      </c>
      <c r="AP12" s="89"/>
      <c r="AQ12" s="114" t="s">
        <v>73</v>
      </c>
      <c r="AR12" s="114"/>
      <c r="AS12" s="114" t="s">
        <v>277</v>
      </c>
      <c r="AT12" s="89"/>
      <c r="AU12" s="76">
        <v>43827</v>
      </c>
      <c r="AV12" s="78">
        <v>1080</v>
      </c>
      <c r="AW12" s="77" t="s">
        <v>98</v>
      </c>
      <c r="AX12" s="78">
        <v>1080</v>
      </c>
      <c r="AY12" s="89"/>
      <c r="AZ12" s="89"/>
      <c r="BA12" s="89"/>
      <c r="BB12" s="102"/>
      <c r="BC12" s="89"/>
      <c r="BD12" s="89"/>
      <c r="BE12" s="89"/>
      <c r="BF12" s="102"/>
      <c r="BG12" s="89"/>
      <c r="BH12"/>
      <c r="BI12"/>
      <c r="BJ12" s="102"/>
      <c r="BK12" s="89"/>
      <c r="BL12" s="89"/>
      <c r="BM12" s="89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91"/>
      <c r="DT12" s="91"/>
      <c r="DU12" s="91"/>
      <c r="DV12" s="91"/>
      <c r="DW12" s="91"/>
      <c r="DX12" s="91"/>
      <c r="DY12" s="91"/>
      <c r="DZ12" s="91"/>
      <c r="EA12" s="91"/>
      <c r="EB12" s="91"/>
      <c r="EC12" s="91"/>
      <c r="ED12" s="91"/>
      <c r="EE12" s="91"/>
      <c r="EF12" s="91"/>
      <c r="EG12" s="91"/>
      <c r="EH12" s="91"/>
      <c r="EI12" s="91"/>
      <c r="EJ12" s="91"/>
      <c r="EK12" s="91"/>
      <c r="EL12" s="91"/>
      <c r="EM12" s="91"/>
      <c r="EN12" s="91"/>
      <c r="EO12" s="91"/>
      <c r="EP12" s="91"/>
      <c r="EQ12" s="91"/>
      <c r="ER12" s="91"/>
      <c r="ES12" s="91"/>
      <c r="ET12" s="91"/>
      <c r="EU12" s="91"/>
      <c r="EV12" s="91"/>
      <c r="EW12" s="91"/>
      <c r="EX12" s="91"/>
      <c r="EY12" s="91"/>
      <c r="EZ12" s="91"/>
      <c r="FA12" s="91"/>
      <c r="FB12" s="91"/>
      <c r="FC12" s="91"/>
      <c r="FD12" s="91"/>
      <c r="FE12" s="91"/>
      <c r="FF12" s="91"/>
      <c r="FG12" s="91"/>
      <c r="FH12" s="91"/>
      <c r="FI12" s="91"/>
      <c r="FJ12" s="91"/>
      <c r="FK12" s="91"/>
      <c r="FL12" s="91"/>
      <c r="FM12" s="91"/>
      <c r="FN12" s="91"/>
      <c r="FO12" s="91"/>
      <c r="FP12" s="91"/>
      <c r="FQ12" s="91"/>
      <c r="FR12" s="91"/>
    </row>
    <row r="13" spans="1:257" ht="17">
      <c r="A13" s="90"/>
      <c r="B13" s="61" t="s">
        <v>62</v>
      </c>
      <c r="C13" s="61" t="s">
        <v>331</v>
      </c>
      <c r="D13" s="67" t="s">
        <v>332</v>
      </c>
      <c r="E13" s="69" t="s">
        <v>73</v>
      </c>
      <c r="F13" s="69">
        <v>18321718075</v>
      </c>
      <c r="G13" s="93" t="s">
        <v>158</v>
      </c>
      <c r="H13" s="92" t="s">
        <v>333</v>
      </c>
      <c r="I13" s="92" t="s">
        <v>129</v>
      </c>
      <c r="J13" s="69" t="s">
        <v>334</v>
      </c>
      <c r="K13" s="69" t="s">
        <v>335</v>
      </c>
      <c r="L13" s="69" t="s">
        <v>336</v>
      </c>
      <c r="M13" s="69" t="s">
        <v>337</v>
      </c>
      <c r="N13" s="69" t="s">
        <v>338</v>
      </c>
      <c r="O13" s="69" t="s">
        <v>338</v>
      </c>
      <c r="P13" s="69" t="s">
        <v>147</v>
      </c>
      <c r="Q13" s="69" t="s">
        <v>339</v>
      </c>
      <c r="R13" s="71">
        <v>43814</v>
      </c>
      <c r="S13" s="72">
        <v>500</v>
      </c>
      <c r="T13" s="61" t="s">
        <v>90</v>
      </c>
      <c r="U13" s="73">
        <v>1000</v>
      </c>
      <c r="V13" s="61">
        <v>500</v>
      </c>
      <c r="W13" s="61" t="s">
        <v>161</v>
      </c>
      <c r="X13" s="75" t="s">
        <v>160</v>
      </c>
      <c r="Y13" s="90"/>
      <c r="Z13" s="106" t="s">
        <v>106</v>
      </c>
      <c r="AA13" s="75" t="s">
        <v>120</v>
      </c>
      <c r="AB13" s="75" t="s">
        <v>100</v>
      </c>
      <c r="AC13" s="89"/>
      <c r="AF13" s="107"/>
      <c r="AG13" s="90"/>
      <c r="AH13" s="91"/>
      <c r="AI13" s="91"/>
      <c r="AJ13" s="91"/>
      <c r="AK13" s="89"/>
      <c r="AL13" s="90"/>
      <c r="AM13" s="89"/>
      <c r="AN13" s="76">
        <v>43834</v>
      </c>
      <c r="AO13" s="77" t="s">
        <v>97</v>
      </c>
      <c r="AP13" s="114"/>
      <c r="AQ13" s="91"/>
      <c r="AR13" s="114"/>
      <c r="AS13" s="91"/>
      <c r="AT13" s="90"/>
      <c r="AY13" s="61"/>
      <c r="AZ13" s="61"/>
      <c r="BA13" s="89"/>
      <c r="BB13" s="100"/>
      <c r="BC13" s="89"/>
      <c r="BD13" s="89"/>
      <c r="BE13" s="89"/>
      <c r="BF13" s="102"/>
      <c r="BG13" s="89"/>
      <c r="BH13" s="91"/>
      <c r="BI13" s="91"/>
      <c r="BJ13" s="89"/>
      <c r="BK13" s="89"/>
      <c r="BL13" s="91"/>
      <c r="BM13" s="91"/>
      <c r="BN13" s="91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</row>
    <row r="14" spans="1:257" ht="17">
      <c r="A14" s="184"/>
      <c r="B14" s="136" t="s">
        <v>120</v>
      </c>
      <c r="C14" s="61" t="s">
        <v>355</v>
      </c>
      <c r="D14" s="151" t="s">
        <v>88</v>
      </c>
      <c r="E14" s="152" t="s">
        <v>73</v>
      </c>
      <c r="F14" s="152">
        <v>18611970187</v>
      </c>
      <c r="G14" s="158" t="s">
        <v>356</v>
      </c>
      <c r="H14" s="152" t="s">
        <v>215</v>
      </c>
      <c r="I14" s="152" t="s">
        <v>125</v>
      </c>
      <c r="J14" s="154" t="s">
        <v>357</v>
      </c>
      <c r="K14" s="154" t="s">
        <v>237</v>
      </c>
      <c r="L14" s="154" t="s">
        <v>327</v>
      </c>
      <c r="M14" s="154">
        <v>20</v>
      </c>
      <c r="N14" s="154" t="s">
        <v>145</v>
      </c>
      <c r="O14" s="154" t="s">
        <v>240</v>
      </c>
      <c r="P14" s="154" t="s">
        <v>220</v>
      </c>
      <c r="Q14" s="154" t="s">
        <v>358</v>
      </c>
      <c r="R14" s="165">
        <v>43814</v>
      </c>
      <c r="S14" s="149">
        <v>2000</v>
      </c>
      <c r="T14" s="184" t="s">
        <v>359</v>
      </c>
      <c r="U14" s="170">
        <v>4480</v>
      </c>
      <c r="V14" s="136">
        <v>2480</v>
      </c>
      <c r="W14" s="136" t="s">
        <v>360</v>
      </c>
      <c r="X14" s="164" t="s">
        <v>76</v>
      </c>
      <c r="Y14" s="164" t="s">
        <v>131</v>
      </c>
      <c r="Z14" s="169"/>
      <c r="AA14" s="169" t="s">
        <v>120</v>
      </c>
      <c r="AB14" s="164" t="s">
        <v>100</v>
      </c>
      <c r="AC14" s="89"/>
      <c r="AF14" s="107"/>
      <c r="AG14" s="91"/>
      <c r="AH14" s="89"/>
      <c r="AI14" s="89"/>
      <c r="AJ14" s="89"/>
      <c r="AK14" s="90"/>
      <c r="AL14" s="89"/>
      <c r="AM14" s="89"/>
      <c r="AN14" s="102"/>
      <c r="AO14" s="89"/>
      <c r="AP14" s="90"/>
      <c r="AQ14" s="90"/>
      <c r="AR14" s="89"/>
      <c r="AS14" s="89"/>
      <c r="AT14" s="89"/>
      <c r="AY14" s="61"/>
      <c r="AZ14" s="61"/>
      <c r="BA14" s="89"/>
      <c r="BB14" s="102"/>
      <c r="BC14" s="89"/>
      <c r="BD14" s="89"/>
      <c r="BE14" s="89"/>
      <c r="BF14" s="102"/>
      <c r="BG14" s="89"/>
      <c r="BH14" s="90"/>
      <c r="BI14" s="90"/>
      <c r="BJ14" s="102"/>
      <c r="BK14" s="89"/>
      <c r="BL14" s="90"/>
      <c r="BM14" s="90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  <c r="DL14" s="91"/>
      <c r="DM14" s="91"/>
      <c r="DN14" s="91"/>
      <c r="DO14" s="91"/>
      <c r="DP14" s="91"/>
      <c r="DQ14" s="91"/>
      <c r="DR14" s="91"/>
      <c r="DS14" s="91"/>
      <c r="DT14" s="91"/>
      <c r="DU14" s="91"/>
      <c r="DV14" s="91"/>
      <c r="DW14" s="91"/>
      <c r="DX14" s="91"/>
      <c r="DY14" s="91"/>
      <c r="DZ14" s="91"/>
      <c r="EA14" s="91"/>
      <c r="EB14" s="91"/>
      <c r="EC14" s="91"/>
      <c r="ED14" s="91"/>
      <c r="EE14" s="91"/>
      <c r="EF14" s="91"/>
      <c r="EG14" s="91"/>
      <c r="EH14" s="91"/>
      <c r="EI14" s="91"/>
      <c r="EJ14" s="91"/>
      <c r="EK14" s="91"/>
      <c r="EL14" s="91"/>
      <c r="EM14" s="91"/>
      <c r="EN14" s="91"/>
      <c r="EO14" s="91"/>
      <c r="EP14" s="91"/>
      <c r="EQ14" s="91"/>
      <c r="ER14" s="91"/>
      <c r="ES14" s="91"/>
      <c r="ET14" s="91"/>
      <c r="EU14" s="91"/>
      <c r="EV14" s="91"/>
      <c r="EW14" s="91"/>
      <c r="EX14" s="91"/>
      <c r="EY14" s="91"/>
      <c r="EZ14" s="91"/>
      <c r="FA14" s="91"/>
      <c r="FB14" s="91"/>
      <c r="FC14" s="91"/>
      <c r="FD14" s="91"/>
      <c r="FE14" s="91"/>
      <c r="FF14" s="91"/>
      <c r="FG14" s="91"/>
      <c r="FH14" s="91"/>
      <c r="FI14" s="91"/>
      <c r="FJ14" s="91"/>
      <c r="FK14" s="91"/>
      <c r="FL14" s="91"/>
      <c r="FM14" s="91"/>
      <c r="FN14" s="91"/>
      <c r="FO14" s="91"/>
      <c r="FP14" s="91"/>
      <c r="FQ14" s="91"/>
      <c r="FR14" s="91"/>
    </row>
    <row r="15" spans="1:257" ht="17">
      <c r="A15" s="136" t="s">
        <v>213</v>
      </c>
      <c r="B15" s="136" t="s">
        <v>120</v>
      </c>
      <c r="C15" s="61" t="s">
        <v>320</v>
      </c>
      <c r="D15" s="151" t="s">
        <v>321</v>
      </c>
      <c r="E15" s="152" t="s">
        <v>322</v>
      </c>
      <c r="F15" s="154">
        <v>13774245131</v>
      </c>
      <c r="G15" s="153" t="s">
        <v>323</v>
      </c>
      <c r="H15" s="154" t="s">
        <v>215</v>
      </c>
      <c r="I15" s="154" t="s">
        <v>324</v>
      </c>
      <c r="J15" s="152" t="s">
        <v>325</v>
      </c>
      <c r="K15" s="152" t="s">
        <v>326</v>
      </c>
      <c r="L15" s="152" t="s">
        <v>327</v>
      </c>
      <c r="M15" s="152">
        <v>18</v>
      </c>
      <c r="N15" s="152" t="s">
        <v>145</v>
      </c>
      <c r="O15" s="152" t="s">
        <v>328</v>
      </c>
      <c r="P15" s="152" t="s">
        <v>220</v>
      </c>
      <c r="Q15" s="152" t="s">
        <v>329</v>
      </c>
      <c r="R15" s="148">
        <v>43815</v>
      </c>
      <c r="S15" s="149">
        <v>500</v>
      </c>
      <c r="T15" s="165" t="s">
        <v>90</v>
      </c>
      <c r="U15" s="170">
        <v>3680</v>
      </c>
      <c r="V15" s="184">
        <v>3180</v>
      </c>
      <c r="W15" s="136" t="s">
        <v>330</v>
      </c>
      <c r="X15" s="169"/>
      <c r="Y15" s="164" t="s">
        <v>242</v>
      </c>
      <c r="Z15" s="164"/>
      <c r="AA15" s="164" t="s">
        <v>120</v>
      </c>
      <c r="AB15" s="164" t="s">
        <v>100</v>
      </c>
      <c r="AC15" s="90"/>
      <c r="AF15" s="107"/>
      <c r="AG15" s="91"/>
      <c r="AH15" s="89"/>
      <c r="AI15" s="89"/>
      <c r="AJ15" s="89"/>
      <c r="AK15" s="89"/>
      <c r="AL15" s="90"/>
      <c r="AM15" s="90"/>
      <c r="AN15" s="176">
        <v>43831</v>
      </c>
      <c r="AO15" s="177" t="s">
        <v>107</v>
      </c>
      <c r="AP15" s="90"/>
      <c r="AQ15" s="177">
        <v>10</v>
      </c>
      <c r="AR15" s="90"/>
      <c r="AS15" s="177" t="s">
        <v>188</v>
      </c>
      <c r="AT15" s="91"/>
      <c r="AU15" s="76">
        <v>43831</v>
      </c>
      <c r="AV15" s="78">
        <v>3180</v>
      </c>
      <c r="AW15" s="77" t="s">
        <v>98</v>
      </c>
      <c r="AX15" s="78">
        <v>3680</v>
      </c>
      <c r="AY15" s="61"/>
      <c r="AZ15" s="61"/>
      <c r="BA15" s="89"/>
      <c r="BB15" s="100"/>
      <c r="BC15" s="89"/>
      <c r="BD15" s="89"/>
      <c r="BE15" s="89"/>
      <c r="BF15" s="100"/>
      <c r="BG15" s="89"/>
      <c r="BH15" s="91"/>
      <c r="BI15" s="91"/>
      <c r="BJ15" s="102"/>
      <c r="BK15" s="89"/>
      <c r="BL15" s="91"/>
      <c r="BM15" s="91"/>
      <c r="BN15" s="150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</row>
    <row r="16" spans="1:257" ht="17">
      <c r="A16" s="184"/>
      <c r="B16" s="136" t="s">
        <v>120</v>
      </c>
      <c r="C16" s="61" t="s">
        <v>361</v>
      </c>
      <c r="D16" s="151" t="s">
        <v>362</v>
      </c>
      <c r="E16" s="151" t="s">
        <v>363</v>
      </c>
      <c r="F16" s="152">
        <v>13701920221</v>
      </c>
      <c r="G16" s="158" t="s">
        <v>364</v>
      </c>
      <c r="H16" s="152" t="s">
        <v>215</v>
      </c>
      <c r="I16" s="152" t="s">
        <v>122</v>
      </c>
      <c r="J16" s="152" t="s">
        <v>365</v>
      </c>
      <c r="K16" s="152" t="s">
        <v>366</v>
      </c>
      <c r="L16" s="152" t="s">
        <v>253</v>
      </c>
      <c r="M16" s="152">
        <v>16</v>
      </c>
      <c r="N16" s="152" t="s">
        <v>145</v>
      </c>
      <c r="O16" s="152" t="s">
        <v>146</v>
      </c>
      <c r="P16" s="152" t="s">
        <v>220</v>
      </c>
      <c r="Q16" s="152" t="s">
        <v>367</v>
      </c>
      <c r="R16" s="148">
        <v>43815</v>
      </c>
      <c r="S16" s="149">
        <v>2480</v>
      </c>
      <c r="T16" s="136" t="s">
        <v>98</v>
      </c>
      <c r="U16" s="170">
        <v>2480</v>
      </c>
      <c r="V16" s="136">
        <v>0</v>
      </c>
      <c r="W16" s="136" t="s">
        <v>368</v>
      </c>
      <c r="X16" s="164" t="s">
        <v>157</v>
      </c>
      <c r="Y16" s="169" t="s">
        <v>131</v>
      </c>
      <c r="Z16" s="164"/>
      <c r="AA16" s="164" t="s">
        <v>120</v>
      </c>
      <c r="AB16" s="164" t="s">
        <v>369</v>
      </c>
      <c r="AC16" s="90"/>
      <c r="AF16" s="107"/>
      <c r="AG16"/>
      <c r="AH16" s="90"/>
      <c r="AI16" s="90"/>
      <c r="AJ16" s="91"/>
      <c r="AK16" s="90"/>
      <c r="AL16"/>
      <c r="AM16" s="90"/>
      <c r="AN16" s="176"/>
      <c r="AO16" s="177"/>
      <c r="AP16" s="90"/>
      <c r="AQ16" s="177"/>
      <c r="AR16" s="90"/>
      <c r="AS16" s="177"/>
      <c r="AT16" s="90"/>
      <c r="AY16" s="61"/>
      <c r="AZ16" s="61"/>
      <c r="BA16" s="89"/>
      <c r="BB16" s="100"/>
      <c r="BC16" s="89"/>
      <c r="BD16" s="89"/>
      <c r="BE16" s="89"/>
      <c r="BF16" s="100"/>
      <c r="BG16" s="89"/>
      <c r="BH16" s="90"/>
      <c r="BI16" s="90"/>
      <c r="BJ16" s="102"/>
      <c r="BK16" s="89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91"/>
      <c r="FC16" s="91"/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1"/>
      <c r="FO16" s="91"/>
      <c r="FP16" s="91"/>
      <c r="FQ16" s="91"/>
      <c r="FR16" s="91"/>
      <c r="FS16" s="91"/>
      <c r="FT16" s="91"/>
      <c r="FU16" s="91"/>
      <c r="FV16" s="91"/>
      <c r="FW16" s="91"/>
      <c r="FX16" s="91"/>
      <c r="FY16" s="91"/>
      <c r="FZ16" s="91"/>
      <c r="GA16" s="91"/>
      <c r="GB16" s="91"/>
      <c r="GC16" s="91"/>
      <c r="GD16" s="91"/>
      <c r="GE16" s="91"/>
      <c r="GF16" s="91"/>
      <c r="GG16" s="91"/>
      <c r="GH16" s="91"/>
      <c r="GI16" s="91"/>
      <c r="GJ16" s="91"/>
      <c r="GK16" s="91"/>
      <c r="GL16" s="91"/>
      <c r="GM16" s="91"/>
      <c r="GN16" s="91"/>
      <c r="GO16" s="91"/>
      <c r="GP16" s="91"/>
      <c r="GQ16" s="91"/>
      <c r="GR16" s="91"/>
      <c r="GS16" s="91"/>
      <c r="GT16" s="91"/>
      <c r="GU16" s="91"/>
      <c r="GV16" s="91"/>
      <c r="GW16" s="91"/>
      <c r="GX16" s="91"/>
      <c r="GY16" s="91"/>
      <c r="GZ16" s="91"/>
      <c r="HA16" s="91"/>
      <c r="HB16" s="91"/>
      <c r="HC16" s="91"/>
      <c r="HD16" s="91"/>
      <c r="HE16" s="91"/>
      <c r="HF16" s="91"/>
      <c r="HG16" s="91"/>
      <c r="HH16" s="91"/>
      <c r="HI16" s="91"/>
      <c r="HJ16" s="91"/>
      <c r="HK16" s="91"/>
      <c r="HL16" s="91"/>
      <c r="HM16" s="91"/>
      <c r="HN16" s="91"/>
      <c r="HO16" s="91"/>
      <c r="HP16" s="91"/>
      <c r="HQ16" s="91"/>
      <c r="HR16" s="91"/>
      <c r="HS16" s="91"/>
      <c r="HT16" s="91"/>
      <c r="HU16" s="91"/>
      <c r="HV16" s="91"/>
      <c r="HW16" s="91"/>
      <c r="HX16" s="91"/>
      <c r="HY16" s="91"/>
      <c r="HZ16" s="91"/>
      <c r="IA16" s="91"/>
      <c r="IB16" s="91"/>
      <c r="IC16" s="91"/>
      <c r="ID16" s="91"/>
      <c r="IE16" s="91"/>
      <c r="IF16" s="91"/>
      <c r="IG16" s="91"/>
      <c r="IH16" s="91"/>
      <c r="II16" s="91"/>
      <c r="IJ16" s="91"/>
      <c r="IK16" s="91"/>
      <c r="IL16" s="91"/>
      <c r="IM16" s="91"/>
      <c r="IN16" s="91"/>
      <c r="IO16" s="91"/>
      <c r="IP16" s="91"/>
      <c r="IQ16" s="91"/>
      <c r="IR16" s="91"/>
      <c r="IS16" s="91"/>
      <c r="IT16" s="91"/>
      <c r="IU16" s="91"/>
      <c r="IV16" s="91"/>
      <c r="IW16" s="91"/>
    </row>
    <row r="17" spans="1:257" ht="17">
      <c r="A17" s="184"/>
      <c r="B17" s="136" t="s">
        <v>120</v>
      </c>
      <c r="C17" s="61" t="s">
        <v>370</v>
      </c>
      <c r="D17" s="151" t="s">
        <v>86</v>
      </c>
      <c r="E17" s="152" t="s">
        <v>87</v>
      </c>
      <c r="F17" s="154">
        <v>13632223176</v>
      </c>
      <c r="G17" s="153" t="s">
        <v>371</v>
      </c>
      <c r="H17" s="154" t="s">
        <v>215</v>
      </c>
      <c r="I17" s="154" t="s">
        <v>118</v>
      </c>
      <c r="J17" s="154" t="s">
        <v>372</v>
      </c>
      <c r="K17" s="154" t="s">
        <v>373</v>
      </c>
      <c r="L17" s="154" t="s">
        <v>253</v>
      </c>
      <c r="M17" s="154">
        <v>12</v>
      </c>
      <c r="N17" s="154" t="s">
        <v>145</v>
      </c>
      <c r="O17" s="154" t="s">
        <v>146</v>
      </c>
      <c r="P17" s="154" t="s">
        <v>220</v>
      </c>
      <c r="Q17" s="154" t="s">
        <v>374</v>
      </c>
      <c r="R17" s="165">
        <v>43815</v>
      </c>
      <c r="S17" s="149">
        <v>2880</v>
      </c>
      <c r="T17" s="184" t="s">
        <v>98</v>
      </c>
      <c r="U17" s="166">
        <v>2880</v>
      </c>
      <c r="V17" s="184">
        <v>0</v>
      </c>
      <c r="W17" s="136" t="s">
        <v>375</v>
      </c>
      <c r="X17" s="164" t="s">
        <v>76</v>
      </c>
      <c r="Y17" s="169" t="s">
        <v>131</v>
      </c>
      <c r="Z17" s="169"/>
      <c r="AA17" s="169" t="s">
        <v>120</v>
      </c>
      <c r="AB17" s="169" t="s">
        <v>100</v>
      </c>
      <c r="AC17" s="90"/>
      <c r="AF17" s="107"/>
      <c r="AG17" s="91"/>
      <c r="AH17" s="90"/>
      <c r="AI17" s="90"/>
      <c r="AJ17" s="90"/>
      <c r="AK17" s="90"/>
      <c r="AL17" s="91"/>
      <c r="AM17" s="91"/>
      <c r="AN17" s="176"/>
      <c r="AO17" s="177"/>
      <c r="AP17" s="90"/>
      <c r="AQ17" s="177"/>
      <c r="AR17" s="114"/>
      <c r="AS17" s="177"/>
      <c r="AT17" s="90"/>
      <c r="AY17" s="61"/>
      <c r="AZ17" s="61"/>
      <c r="BA17" s="91"/>
      <c r="BB17" s="102"/>
      <c r="BC17" s="91"/>
      <c r="BD17" s="91"/>
      <c r="BE17" s="91"/>
      <c r="BF17" s="102"/>
      <c r="BG17" s="91"/>
      <c r="BH17" s="89"/>
      <c r="BI17" s="89"/>
      <c r="BJ17" s="102"/>
      <c r="BK17" s="91"/>
      <c r="BL17" s="129"/>
      <c r="BM17" s="129"/>
      <c r="BN17" s="150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91"/>
      <c r="EF17" s="91"/>
      <c r="EG17" s="91"/>
      <c r="EH17" s="91"/>
      <c r="EI17" s="91"/>
      <c r="EJ17" s="91"/>
      <c r="EK17" s="91"/>
      <c r="EL17" s="91"/>
      <c r="EM17" s="91"/>
      <c r="EN17" s="91"/>
      <c r="EO17" s="91"/>
      <c r="EP17" s="91"/>
      <c r="EQ17" s="91"/>
      <c r="ER17" s="91"/>
      <c r="ES17" s="91"/>
      <c r="ET17" s="91"/>
      <c r="EU17" s="91"/>
      <c r="EV17" s="91"/>
      <c r="EW17" s="91"/>
      <c r="EX17" s="91"/>
      <c r="EY17" s="91"/>
      <c r="EZ17" s="91"/>
      <c r="FA17" s="91"/>
      <c r="FB17" s="91"/>
      <c r="FC17" s="91"/>
      <c r="FD17" s="91"/>
      <c r="FE17" s="91"/>
      <c r="FF17" s="91"/>
      <c r="FG17" s="91"/>
      <c r="FH17" s="91"/>
      <c r="FI17" s="91"/>
      <c r="FJ17" s="91"/>
      <c r="FK17" s="91"/>
      <c r="FL17" s="91"/>
      <c r="FM17" s="91"/>
      <c r="FN17" s="91"/>
      <c r="FO17" s="91"/>
      <c r="FP17" s="91"/>
      <c r="FQ17" s="91"/>
      <c r="FR17" s="91"/>
    </row>
    <row r="18" spans="1:257" ht="17">
      <c r="A18" s="222" t="s">
        <v>213</v>
      </c>
      <c r="B18" s="222" t="s">
        <v>120</v>
      </c>
      <c r="C18" s="61" t="s">
        <v>233</v>
      </c>
      <c r="D18" s="223" t="s">
        <v>64</v>
      </c>
      <c r="E18" s="224" t="s">
        <v>234</v>
      </c>
      <c r="F18" s="225">
        <v>13524455895</v>
      </c>
      <c r="G18" s="226" t="s">
        <v>235</v>
      </c>
      <c r="H18" s="225" t="s">
        <v>215</v>
      </c>
      <c r="I18" s="225" t="s">
        <v>125</v>
      </c>
      <c r="J18" s="225" t="s">
        <v>236</v>
      </c>
      <c r="K18" s="225" t="s">
        <v>237</v>
      </c>
      <c r="L18" s="225" t="s">
        <v>238</v>
      </c>
      <c r="M18" s="225" t="s">
        <v>239</v>
      </c>
      <c r="N18" s="225" t="s">
        <v>145</v>
      </c>
      <c r="O18" s="225" t="s">
        <v>240</v>
      </c>
      <c r="P18" s="225" t="s">
        <v>220</v>
      </c>
      <c r="Q18" s="225" t="s">
        <v>241</v>
      </c>
      <c r="R18" s="174">
        <v>43817</v>
      </c>
      <c r="S18" s="227">
        <v>500</v>
      </c>
      <c r="T18" s="222" t="s">
        <v>90</v>
      </c>
      <c r="U18" s="222">
        <v>4480</v>
      </c>
      <c r="V18" s="222">
        <v>3980</v>
      </c>
      <c r="W18" s="228" t="s">
        <v>83</v>
      </c>
      <c r="X18" s="229"/>
      <c r="Y18" s="229" t="s">
        <v>242</v>
      </c>
      <c r="Z18" s="229"/>
      <c r="AA18" s="229" t="s">
        <v>120</v>
      </c>
      <c r="AB18" s="229" t="s">
        <v>100</v>
      </c>
      <c r="AC18" s="230"/>
      <c r="AF18" s="107"/>
      <c r="AG18" s="230"/>
      <c r="AH18" s="230"/>
      <c r="AI18" s="230"/>
      <c r="AJ18" s="230"/>
      <c r="AK18" s="230"/>
      <c r="AL18" s="230"/>
      <c r="AM18" s="230"/>
      <c r="AN18" s="176">
        <v>43821</v>
      </c>
      <c r="AO18" s="177" t="s">
        <v>107</v>
      </c>
      <c r="AP18" s="172"/>
      <c r="AQ18" s="177">
        <v>10</v>
      </c>
      <c r="AR18" s="172"/>
      <c r="AS18" s="177" t="s">
        <v>232</v>
      </c>
      <c r="AT18" s="172"/>
      <c r="AU18" s="76">
        <v>43821</v>
      </c>
      <c r="AV18" s="78">
        <v>3980</v>
      </c>
      <c r="AW18" s="77" t="s">
        <v>98</v>
      </c>
      <c r="AX18" s="78">
        <v>4480</v>
      </c>
      <c r="AY18" s="91"/>
      <c r="AZ18" s="91"/>
      <c r="BA18" s="230"/>
      <c r="BB18" s="231"/>
      <c r="BC18" s="230"/>
      <c r="BD18" s="230"/>
      <c r="BE18" s="230"/>
      <c r="BF18" s="232">
        <v>43825</v>
      </c>
      <c r="BG18" s="171">
        <v>1500</v>
      </c>
      <c r="BH18" s="233" t="s">
        <v>98</v>
      </c>
      <c r="BI18" s="142" t="s">
        <v>122</v>
      </c>
      <c r="BJ18" s="231"/>
      <c r="BK18" s="230"/>
      <c r="BL18" s="230"/>
      <c r="BM18" s="230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45"/>
      <c r="EG18" s="145"/>
      <c r="EH18" s="145"/>
      <c r="EI18" s="145"/>
      <c r="EJ18" s="145"/>
      <c r="EK18" s="145"/>
      <c r="EL18" s="145"/>
      <c r="EM18" s="145"/>
      <c r="EN18" s="145"/>
      <c r="EO18" s="145"/>
      <c r="EP18" s="145"/>
      <c r="EQ18" s="145"/>
      <c r="ER18" s="145"/>
      <c r="ES18" s="145"/>
      <c r="ET18" s="145"/>
      <c r="EU18" s="145"/>
      <c r="EV18" s="145"/>
      <c r="EW18" s="145"/>
      <c r="EX18" s="145"/>
      <c r="EY18" s="145"/>
      <c r="EZ18" s="145"/>
      <c r="FA18" s="145"/>
      <c r="FB18" s="145"/>
      <c r="FC18" s="145"/>
      <c r="FD18" s="145"/>
      <c r="FE18" s="145"/>
      <c r="FF18" s="145"/>
      <c r="FG18" s="145"/>
      <c r="FH18" s="145"/>
      <c r="FI18" s="145"/>
      <c r="FJ18" s="145"/>
      <c r="FK18" s="145"/>
      <c r="FL18" s="145"/>
      <c r="FM18" s="145"/>
      <c r="FN18" s="145"/>
      <c r="FO18" s="145"/>
      <c r="FP18" s="145"/>
      <c r="FQ18" s="145"/>
      <c r="FR18" s="145"/>
    </row>
    <row r="19" spans="1:257" ht="17">
      <c r="A19" s="136" t="s">
        <v>213</v>
      </c>
      <c r="B19" s="136" t="s">
        <v>120</v>
      </c>
      <c r="C19" s="61" t="s">
        <v>376</v>
      </c>
      <c r="D19" s="151" t="s">
        <v>95</v>
      </c>
      <c r="E19" s="154">
        <v>18916171988</v>
      </c>
      <c r="F19" s="152" t="s">
        <v>96</v>
      </c>
      <c r="G19" s="158" t="s">
        <v>377</v>
      </c>
      <c r="H19" s="152" t="s">
        <v>215</v>
      </c>
      <c r="I19" s="152" t="s">
        <v>191</v>
      </c>
      <c r="J19" s="152" t="s">
        <v>378</v>
      </c>
      <c r="K19" s="152" t="s">
        <v>246</v>
      </c>
      <c r="L19" s="152" t="s">
        <v>238</v>
      </c>
      <c r="M19" s="152" t="s">
        <v>379</v>
      </c>
      <c r="N19" s="152" t="s">
        <v>145</v>
      </c>
      <c r="O19" s="152" t="s">
        <v>146</v>
      </c>
      <c r="P19" s="152" t="s">
        <v>220</v>
      </c>
      <c r="Q19" s="152" t="s">
        <v>73</v>
      </c>
      <c r="R19" s="173" t="s">
        <v>73</v>
      </c>
      <c r="S19" s="149" t="s">
        <v>73</v>
      </c>
      <c r="T19" s="136" t="s">
        <v>73</v>
      </c>
      <c r="U19" s="170" t="s">
        <v>193</v>
      </c>
      <c r="V19" s="136">
        <v>500</v>
      </c>
      <c r="W19" s="184" t="s">
        <v>380</v>
      </c>
      <c r="X19" s="164" t="s">
        <v>76</v>
      </c>
      <c r="Y19" s="164"/>
      <c r="Z19" s="164"/>
      <c r="AA19" s="164" t="s">
        <v>120</v>
      </c>
      <c r="AB19" s="164" t="s">
        <v>100</v>
      </c>
      <c r="AC19" s="91"/>
      <c r="AD19" s="61" t="s">
        <v>381</v>
      </c>
      <c r="AE19" s="61" t="s">
        <v>75</v>
      </c>
      <c r="AF19" s="107">
        <v>43481</v>
      </c>
      <c r="AG19" s="90"/>
      <c r="AH19" s="91"/>
      <c r="AI19" s="91"/>
      <c r="AJ19" s="91"/>
      <c r="AK19" s="91"/>
      <c r="AL19" s="90"/>
      <c r="AM19" s="90"/>
      <c r="AN19" s="176"/>
      <c r="AO19" s="177"/>
      <c r="AP19" s="177"/>
      <c r="AQ19" s="177"/>
      <c r="AR19" s="177"/>
      <c r="AS19" s="177"/>
      <c r="AT19" s="91"/>
      <c r="AY19" s="91"/>
      <c r="AZ19" s="91"/>
      <c r="BA19" s="91"/>
      <c r="BB19" s="102"/>
      <c r="BC19" s="91"/>
      <c r="BD19" s="91"/>
      <c r="BE19" s="91"/>
      <c r="BF19" s="102"/>
      <c r="BG19" s="91"/>
      <c r="BH19" s="90"/>
      <c r="BI19" s="90"/>
      <c r="BJ19" s="91"/>
      <c r="BK19" s="91"/>
      <c r="BL19" s="90"/>
      <c r="BM19" s="90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</row>
    <row r="20" spans="1:257" ht="17">
      <c r="A20" s="136" t="s">
        <v>213</v>
      </c>
      <c r="B20" s="136" t="s">
        <v>120</v>
      </c>
      <c r="C20" s="61" t="s">
        <v>382</v>
      </c>
      <c r="D20" s="151" t="s">
        <v>203</v>
      </c>
      <c r="E20" s="152" t="s">
        <v>204</v>
      </c>
      <c r="F20" s="152">
        <v>15026768701</v>
      </c>
      <c r="G20" s="158">
        <v>43871.416666666701</v>
      </c>
      <c r="H20" s="152" t="s">
        <v>215</v>
      </c>
      <c r="I20" s="152" t="s">
        <v>125</v>
      </c>
      <c r="J20" s="152" t="s">
        <v>383</v>
      </c>
      <c r="K20" s="152" t="s">
        <v>267</v>
      </c>
      <c r="L20" s="152" t="s">
        <v>238</v>
      </c>
      <c r="M20" s="152" t="s">
        <v>384</v>
      </c>
      <c r="N20" s="152" t="s">
        <v>145</v>
      </c>
      <c r="O20" s="152" t="s">
        <v>240</v>
      </c>
      <c r="P20" s="152" t="s">
        <v>147</v>
      </c>
      <c r="Q20" s="152" t="s">
        <v>385</v>
      </c>
      <c r="R20" s="174">
        <v>43817</v>
      </c>
      <c r="S20" s="149">
        <v>3680</v>
      </c>
      <c r="T20" s="136" t="s">
        <v>242</v>
      </c>
      <c r="U20" s="170" t="s">
        <v>386</v>
      </c>
      <c r="V20" s="136">
        <v>0</v>
      </c>
      <c r="W20" s="136" t="s">
        <v>387</v>
      </c>
      <c r="X20" s="164" t="s">
        <v>76</v>
      </c>
      <c r="Y20" s="164" t="s">
        <v>131</v>
      </c>
      <c r="Z20" s="164"/>
      <c r="AA20" s="164" t="s">
        <v>120</v>
      </c>
      <c r="AB20" s="164" t="s">
        <v>99</v>
      </c>
      <c r="AC20" s="91"/>
      <c r="AF20" s="91"/>
      <c r="AG20" s="91"/>
      <c r="AH20" s="90"/>
      <c r="AI20" s="90"/>
      <c r="AJ20" s="90"/>
      <c r="AK20" s="90"/>
      <c r="AL20" s="90"/>
      <c r="AM20" s="91"/>
      <c r="AN20" s="176"/>
      <c r="AO20" s="177"/>
      <c r="AP20" s="177"/>
      <c r="AQ20" s="177"/>
      <c r="AR20" s="177"/>
      <c r="AS20" s="177"/>
      <c r="AT20" s="90"/>
      <c r="AY20" s="142"/>
      <c r="AZ20" s="142"/>
      <c r="BA20" s="91"/>
      <c r="BB20" s="102"/>
      <c r="BC20" s="91"/>
      <c r="BD20" s="91"/>
      <c r="BE20" s="91"/>
      <c r="BF20" s="102"/>
      <c r="BG20" s="90"/>
      <c r="BH20" s="91"/>
      <c r="BI20" s="91"/>
      <c r="BJ20" s="102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91"/>
      <c r="EH20" s="91"/>
      <c r="EI20" s="91"/>
      <c r="EJ20" s="91"/>
      <c r="EK20" s="91"/>
      <c r="EL20" s="91"/>
      <c r="EM20" s="91"/>
      <c r="EN20" s="91"/>
      <c r="EO20" s="91"/>
      <c r="EP20" s="91"/>
      <c r="EQ20" s="91"/>
      <c r="ER20" s="91"/>
      <c r="ES20" s="91"/>
      <c r="ET20" s="91"/>
      <c r="EU20" s="91"/>
      <c r="EV20" s="91"/>
      <c r="EW20" s="91"/>
      <c r="EX20" s="91"/>
      <c r="EY20" s="91"/>
      <c r="EZ20" s="91"/>
      <c r="FA20" s="91"/>
      <c r="FB20" s="91"/>
      <c r="FC20" s="91"/>
      <c r="FD20" s="91"/>
      <c r="FE20" s="91"/>
      <c r="FF20" s="91"/>
      <c r="FG20" s="91"/>
      <c r="FH20" s="91"/>
      <c r="FI20" s="91"/>
      <c r="FJ20" s="91"/>
      <c r="FK20" s="91"/>
      <c r="FL20" s="91"/>
      <c r="FM20" s="91"/>
      <c r="FN20" s="91"/>
      <c r="FO20" s="91"/>
      <c r="FP20" s="91"/>
      <c r="FQ20" s="91"/>
      <c r="FR20" s="91"/>
      <c r="FS20" s="91"/>
      <c r="FT20" s="91"/>
      <c r="FU20" s="91"/>
      <c r="FV20" s="91"/>
      <c r="FW20" s="91"/>
      <c r="FX20" s="91"/>
      <c r="FY20" s="91"/>
      <c r="FZ20" s="91"/>
      <c r="GA20" s="91"/>
      <c r="GB20" s="91"/>
      <c r="GC20" s="91"/>
      <c r="GD20" s="91"/>
      <c r="GE20" s="91"/>
      <c r="GF20" s="91"/>
      <c r="GG20" s="91"/>
      <c r="GH20" s="91"/>
      <c r="GI20" s="91"/>
      <c r="GJ20" s="91"/>
      <c r="GK20" s="91"/>
      <c r="GL20" s="91"/>
      <c r="GM20" s="91"/>
      <c r="GN20" s="91"/>
      <c r="GO20" s="91"/>
      <c r="GP20" s="91"/>
      <c r="GQ20" s="91"/>
      <c r="GR20" s="91"/>
      <c r="GS20" s="91"/>
      <c r="GT20" s="91"/>
      <c r="GU20" s="91"/>
      <c r="GV20" s="91"/>
      <c r="GW20" s="91"/>
      <c r="GX20" s="91"/>
      <c r="GY20" s="91"/>
      <c r="GZ20" s="91"/>
      <c r="HA20" s="91"/>
      <c r="HB20" s="91"/>
      <c r="HC20" s="91"/>
      <c r="HD20" s="91"/>
      <c r="HE20" s="91"/>
      <c r="HF20" s="91"/>
      <c r="HG20" s="91"/>
      <c r="HH20" s="91"/>
      <c r="HI20" s="91"/>
      <c r="HJ20" s="91"/>
      <c r="HK20" s="91"/>
      <c r="HL20" s="91"/>
      <c r="HM20" s="91"/>
      <c r="HN20" s="91"/>
      <c r="HO20" s="91"/>
      <c r="HP20" s="91"/>
      <c r="HQ20" s="91"/>
      <c r="HR20" s="91"/>
      <c r="HS20" s="91"/>
      <c r="HT20" s="91"/>
      <c r="HU20" s="91"/>
      <c r="HV20" s="91"/>
      <c r="HW20" s="91"/>
      <c r="HX20" s="91"/>
      <c r="HY20" s="91"/>
      <c r="HZ20" s="91"/>
      <c r="IA20" s="91"/>
      <c r="IB20" s="91"/>
      <c r="IC20" s="91"/>
      <c r="ID20" s="91"/>
      <c r="IE20" s="91"/>
      <c r="IF20" s="91"/>
      <c r="IG20" s="91"/>
      <c r="IH20" s="91"/>
      <c r="II20" s="91"/>
      <c r="IJ20" s="91"/>
      <c r="IK20" s="91"/>
      <c r="IL20" s="91"/>
      <c r="IM20" s="91"/>
      <c r="IN20" s="91"/>
      <c r="IO20" s="91"/>
      <c r="IP20" s="91"/>
      <c r="IQ20" s="91"/>
      <c r="IR20" s="91"/>
      <c r="IS20" s="91"/>
      <c r="IT20" s="91"/>
      <c r="IU20" s="91"/>
      <c r="IV20" s="91"/>
      <c r="IW20" s="91"/>
    </row>
    <row r="21" spans="1:257" ht="34" customHeight="1">
      <c r="A21" s="136"/>
      <c r="B21" s="136" t="s">
        <v>120</v>
      </c>
      <c r="C21" s="61" t="s">
        <v>388</v>
      </c>
      <c r="D21" s="151" t="s">
        <v>389</v>
      </c>
      <c r="E21" s="152" t="s">
        <v>89</v>
      </c>
      <c r="F21" s="152">
        <v>13918116199</v>
      </c>
      <c r="G21" s="158" t="s">
        <v>390</v>
      </c>
      <c r="H21" s="152" t="s">
        <v>391</v>
      </c>
      <c r="I21" s="152" t="s">
        <v>156</v>
      </c>
      <c r="J21" s="152" t="s">
        <v>392</v>
      </c>
      <c r="K21" s="152" t="s">
        <v>282</v>
      </c>
      <c r="L21" s="152" t="s">
        <v>352</v>
      </c>
      <c r="M21" s="152">
        <v>10</v>
      </c>
      <c r="N21" s="152" t="s">
        <v>145</v>
      </c>
      <c r="O21" s="152" t="s">
        <v>106</v>
      </c>
      <c r="P21" s="152" t="s">
        <v>353</v>
      </c>
      <c r="Q21" s="152" t="s">
        <v>393</v>
      </c>
      <c r="R21" s="174">
        <v>43817</v>
      </c>
      <c r="S21" s="149">
        <v>1980</v>
      </c>
      <c r="T21" s="136" t="s">
        <v>98</v>
      </c>
      <c r="U21" s="170">
        <v>1980</v>
      </c>
      <c r="V21" s="136">
        <v>0</v>
      </c>
      <c r="W21" s="136" t="s">
        <v>394</v>
      </c>
      <c r="X21" s="164" t="s">
        <v>76</v>
      </c>
      <c r="Y21" s="164" t="s">
        <v>131</v>
      </c>
      <c r="Z21" s="164"/>
      <c r="AA21" s="164" t="s">
        <v>120</v>
      </c>
      <c r="AB21" s="164" t="s">
        <v>100</v>
      </c>
      <c r="AC21" s="89"/>
      <c r="AF21" s="90"/>
      <c r="AG21" s="89"/>
      <c r="AH21" s="90"/>
      <c r="AI21" s="90"/>
      <c r="AJ21" s="90"/>
      <c r="AK21" s="90"/>
      <c r="AL21" s="91"/>
      <c r="AM21" s="89"/>
      <c r="AN21" s="176"/>
      <c r="AO21" s="177"/>
      <c r="AP21" s="177"/>
      <c r="AQ21" s="177"/>
      <c r="AR21" s="177"/>
      <c r="AS21" s="177"/>
      <c r="AT21" s="90"/>
      <c r="AY21" s="142"/>
      <c r="AZ21" s="142"/>
      <c r="BA21" s="91"/>
      <c r="BB21" s="102"/>
      <c r="BC21" s="91"/>
      <c r="BD21" s="91"/>
      <c r="BE21" s="91"/>
      <c r="BF21" s="102"/>
      <c r="BG21" s="91"/>
      <c r="BH21" s="89"/>
      <c r="BI21" s="89"/>
      <c r="BJ21" s="100"/>
      <c r="BK21" s="91"/>
      <c r="BL21" s="89"/>
      <c r="BM21" s="89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  <c r="DL21" s="91"/>
      <c r="DM21" s="91"/>
      <c r="DN21" s="91"/>
      <c r="DO21" s="91"/>
      <c r="DP21" s="91"/>
      <c r="DQ21" s="91"/>
      <c r="DR21" s="91"/>
      <c r="DS21" s="91"/>
      <c r="DT21" s="91"/>
      <c r="DU21" s="91"/>
      <c r="DV21" s="91"/>
      <c r="DW21" s="91"/>
      <c r="DX21" s="91"/>
      <c r="DY21" s="91"/>
      <c r="DZ21" s="91"/>
      <c r="EA21" s="91"/>
      <c r="EB21" s="91"/>
      <c r="EC21" s="91"/>
      <c r="ED21" s="91"/>
      <c r="EE21" s="91"/>
      <c r="EF21" s="91"/>
      <c r="EG21" s="91"/>
      <c r="EH21" s="91"/>
      <c r="EI21" s="91"/>
      <c r="EJ21" s="91"/>
      <c r="EK21" s="91"/>
      <c r="EL21" s="91"/>
      <c r="EM21" s="91"/>
      <c r="EN21" s="91"/>
      <c r="EO21" s="91"/>
      <c r="EP21" s="91"/>
      <c r="EQ21" s="91"/>
      <c r="ER21" s="91"/>
      <c r="ES21" s="91"/>
      <c r="ET21" s="91"/>
      <c r="EU21" s="91"/>
      <c r="EV21" s="91"/>
      <c r="EW21" s="91"/>
      <c r="EX21" s="91"/>
      <c r="EY21" s="91"/>
      <c r="EZ21" s="91"/>
      <c r="FA21" s="91"/>
      <c r="FB21" s="91"/>
      <c r="FC21" s="91"/>
      <c r="FD21" s="91"/>
      <c r="FE21" s="91"/>
      <c r="FF21" s="91"/>
      <c r="FG21" s="91"/>
      <c r="FH21" s="91"/>
      <c r="FI21" s="91"/>
      <c r="FJ21" s="91"/>
      <c r="FK21" s="91"/>
      <c r="FL21" s="91"/>
      <c r="FM21" s="91"/>
      <c r="FN21" s="91"/>
      <c r="FO21" s="91"/>
      <c r="FP21" s="91"/>
      <c r="FQ21" s="91"/>
      <c r="FR21" s="91"/>
    </row>
    <row r="22" spans="1:257" ht="17">
      <c r="A22" s="136" t="s">
        <v>213</v>
      </c>
      <c r="B22" s="136" t="s">
        <v>120</v>
      </c>
      <c r="C22" s="61" t="s">
        <v>278</v>
      </c>
      <c r="D22" s="151" t="s">
        <v>82</v>
      </c>
      <c r="E22" s="152" t="s">
        <v>279</v>
      </c>
      <c r="F22" s="69">
        <v>13501720358</v>
      </c>
      <c r="G22" s="158">
        <v>43826.666666666701</v>
      </c>
      <c r="H22" s="152" t="s">
        <v>215</v>
      </c>
      <c r="I22" s="152" t="s">
        <v>280</v>
      </c>
      <c r="J22" s="152" t="s">
        <v>281</v>
      </c>
      <c r="K22" s="152" t="s">
        <v>282</v>
      </c>
      <c r="L22" s="152" t="s">
        <v>283</v>
      </c>
      <c r="M22" s="152" t="s">
        <v>284</v>
      </c>
      <c r="N22" s="152" t="s">
        <v>145</v>
      </c>
      <c r="O22" s="152" t="s">
        <v>146</v>
      </c>
      <c r="P22" s="152" t="s">
        <v>220</v>
      </c>
      <c r="Q22" s="152" t="s">
        <v>285</v>
      </c>
      <c r="R22" s="174">
        <v>43817</v>
      </c>
      <c r="S22" s="149">
        <v>500</v>
      </c>
      <c r="T22" s="136" t="s">
        <v>90</v>
      </c>
      <c r="U22" s="170">
        <v>2980</v>
      </c>
      <c r="V22" s="136">
        <v>2480</v>
      </c>
      <c r="W22" s="136" t="s">
        <v>286</v>
      </c>
      <c r="X22" s="164" t="s">
        <v>76</v>
      </c>
      <c r="Y22" s="164"/>
      <c r="Z22" s="164"/>
      <c r="AA22" s="164" t="s">
        <v>120</v>
      </c>
      <c r="AB22" s="164" t="s">
        <v>99</v>
      </c>
      <c r="AC22" s="90"/>
      <c r="AD22" s="89"/>
      <c r="AE22" s="89"/>
      <c r="AF22" s="91"/>
      <c r="AG22" s="90"/>
      <c r="AH22" s="91"/>
      <c r="AI22" s="91"/>
      <c r="AJ22" s="91"/>
      <c r="AK22" s="91"/>
      <c r="AL22" s="90"/>
      <c r="AM22" s="90"/>
      <c r="AN22" s="176">
        <v>43827</v>
      </c>
      <c r="AO22" s="177" t="s">
        <v>97</v>
      </c>
      <c r="AP22" s="177"/>
      <c r="AQ22" s="177" t="s">
        <v>185</v>
      </c>
      <c r="AR22" s="177"/>
      <c r="AS22" s="177" t="s">
        <v>231</v>
      </c>
      <c r="AT22" s="90"/>
      <c r="AU22" s="76">
        <v>43827</v>
      </c>
      <c r="AV22" s="78">
        <v>2480</v>
      </c>
      <c r="AW22" s="77" t="s">
        <v>98</v>
      </c>
      <c r="AX22" s="78">
        <v>2980</v>
      </c>
      <c r="AY22" s="91"/>
      <c r="AZ22" s="91"/>
      <c r="BA22" s="91"/>
      <c r="BB22" s="102"/>
      <c r="BC22" s="91"/>
      <c r="BD22" s="91"/>
      <c r="BE22" s="91"/>
      <c r="BF22" s="102"/>
      <c r="BG22" s="91"/>
      <c r="BH22" s="89"/>
      <c r="BI22" s="89"/>
      <c r="BJ22" s="102"/>
      <c r="BK22" s="91"/>
      <c r="BL22" s="90"/>
      <c r="BM22" s="90"/>
      <c r="BN22" s="91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</row>
    <row r="23" spans="1:257" ht="78" customHeight="1">
      <c r="A23" s="155" t="s">
        <v>213</v>
      </c>
      <c r="B23" s="136" t="s">
        <v>120</v>
      </c>
      <c r="C23" s="61" t="s">
        <v>263</v>
      </c>
      <c r="D23" s="151" t="s">
        <v>264</v>
      </c>
      <c r="E23" s="152" t="s">
        <v>265</v>
      </c>
      <c r="F23" s="152">
        <v>13816067670</v>
      </c>
      <c r="G23" s="158">
        <v>43825.5625</v>
      </c>
      <c r="H23" s="152" t="s">
        <v>215</v>
      </c>
      <c r="I23" s="152" t="s">
        <v>125</v>
      </c>
      <c r="J23" s="152" t="s">
        <v>266</v>
      </c>
      <c r="K23" s="152" t="s">
        <v>267</v>
      </c>
      <c r="L23" s="152" t="s">
        <v>238</v>
      </c>
      <c r="M23" s="152" t="s">
        <v>268</v>
      </c>
      <c r="N23" s="152" t="s">
        <v>145</v>
      </c>
      <c r="O23" s="152" t="s">
        <v>240</v>
      </c>
      <c r="P23" s="152" t="s">
        <v>220</v>
      </c>
      <c r="Q23" s="152" t="s">
        <v>221</v>
      </c>
      <c r="R23" s="174">
        <v>43818</v>
      </c>
      <c r="S23" s="149">
        <v>3680</v>
      </c>
      <c r="T23" s="136" t="s">
        <v>242</v>
      </c>
      <c r="U23" s="170">
        <v>3680</v>
      </c>
      <c r="V23" s="136">
        <v>0</v>
      </c>
      <c r="W23" s="136" t="s">
        <v>269</v>
      </c>
      <c r="X23" s="169"/>
      <c r="Y23" s="164" t="s">
        <v>242</v>
      </c>
      <c r="Z23" s="164"/>
      <c r="AA23" s="164" t="s">
        <v>120</v>
      </c>
      <c r="AB23" s="164" t="s">
        <v>99</v>
      </c>
      <c r="AC23" s="145"/>
      <c r="AD23" s="143"/>
      <c r="AE23" s="143"/>
      <c r="AF23" s="143"/>
      <c r="AG23" s="145"/>
      <c r="AH23" s="143"/>
      <c r="AI23" s="143"/>
      <c r="AJ23" s="143"/>
      <c r="AK23" s="143"/>
      <c r="AL23" s="143"/>
      <c r="AM23" s="145"/>
      <c r="AN23" s="76">
        <v>43825</v>
      </c>
      <c r="AO23" s="77" t="s">
        <v>107</v>
      </c>
      <c r="AP23" s="114"/>
      <c r="AQ23" s="177">
        <v>10</v>
      </c>
      <c r="AR23" s="114"/>
      <c r="AS23" s="114" t="s">
        <v>109</v>
      </c>
      <c r="AT23" s="90"/>
      <c r="AU23" s="76" t="s">
        <v>73</v>
      </c>
      <c r="AV23" s="78" t="s">
        <v>73</v>
      </c>
      <c r="AW23" s="77" t="s">
        <v>73</v>
      </c>
      <c r="AX23" s="78">
        <v>3680</v>
      </c>
      <c r="AY23" s="91"/>
      <c r="AZ23" s="91"/>
      <c r="BA23" s="143"/>
      <c r="BB23" s="147"/>
      <c r="BC23" s="143"/>
      <c r="BD23" s="143"/>
      <c r="BE23" s="143"/>
      <c r="BF23" s="147"/>
      <c r="BG23" s="143"/>
      <c r="BH23" s="143"/>
      <c r="BI23" s="143"/>
      <c r="BJ23" s="147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43"/>
      <c r="DI23" s="143"/>
      <c r="DJ23" s="143"/>
      <c r="DK23" s="143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3"/>
      <c r="DW23" s="143"/>
      <c r="DX23" s="143"/>
      <c r="DY23" s="143"/>
      <c r="DZ23" s="143"/>
      <c r="EA23" s="143"/>
      <c r="EB23" s="143"/>
      <c r="EC23" s="143"/>
      <c r="ED23" s="143"/>
      <c r="EE23" s="143"/>
      <c r="EF23" s="143"/>
      <c r="EG23" s="143"/>
      <c r="EH23" s="143"/>
      <c r="EI23" s="143"/>
      <c r="EJ23" s="143"/>
      <c r="EK23" s="143"/>
      <c r="EL23" s="143"/>
      <c r="EM23" s="143"/>
      <c r="EN23" s="143"/>
      <c r="EO23" s="143"/>
      <c r="EP23" s="143"/>
      <c r="EQ23" s="143"/>
      <c r="ER23" s="143"/>
      <c r="ES23" s="143"/>
      <c r="ET23" s="143"/>
      <c r="EU23" s="143"/>
      <c r="EV23" s="143"/>
      <c r="EW23" s="143"/>
      <c r="EX23" s="143"/>
      <c r="EY23" s="143"/>
      <c r="EZ23" s="143"/>
      <c r="FA23" s="143"/>
      <c r="FB23" s="143"/>
      <c r="FC23" s="143"/>
      <c r="FD23" s="143"/>
      <c r="FE23" s="143"/>
      <c r="FF23" s="143"/>
      <c r="FG23" s="143"/>
      <c r="FH23" s="143"/>
      <c r="FI23" s="143"/>
      <c r="FJ23" s="143"/>
      <c r="FK23" s="143"/>
      <c r="FL23" s="143"/>
      <c r="FM23" s="143"/>
      <c r="FN23" s="143"/>
      <c r="FO23" s="143"/>
      <c r="FP23" s="143"/>
      <c r="FQ23" s="143"/>
      <c r="FR23" s="143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7">
      <c r="A24" s="136"/>
      <c r="B24" s="136" t="s">
        <v>120</v>
      </c>
      <c r="C24" s="61" t="s">
        <v>395</v>
      </c>
      <c r="D24" s="151" t="s">
        <v>212</v>
      </c>
      <c r="E24" s="152" t="s">
        <v>396</v>
      </c>
      <c r="F24" s="152">
        <v>13801951105</v>
      </c>
      <c r="G24" s="158" t="s">
        <v>397</v>
      </c>
      <c r="H24" s="152" t="s">
        <v>215</v>
      </c>
      <c r="I24" s="152" t="s">
        <v>125</v>
      </c>
      <c r="J24" s="152" t="s">
        <v>398</v>
      </c>
      <c r="K24" s="152" t="s">
        <v>267</v>
      </c>
      <c r="L24" s="152" t="s">
        <v>238</v>
      </c>
      <c r="M24" s="152" t="s">
        <v>268</v>
      </c>
      <c r="N24" s="152" t="s">
        <v>145</v>
      </c>
      <c r="O24" s="152" t="s">
        <v>240</v>
      </c>
      <c r="P24" s="152" t="s">
        <v>220</v>
      </c>
      <c r="Q24" s="152" t="s">
        <v>399</v>
      </c>
      <c r="R24" s="174">
        <v>43818</v>
      </c>
      <c r="S24" s="149">
        <v>3680</v>
      </c>
      <c r="T24" s="136" t="s">
        <v>242</v>
      </c>
      <c r="U24" s="170">
        <v>3680</v>
      </c>
      <c r="V24" s="136">
        <v>0</v>
      </c>
      <c r="W24" s="136" t="s">
        <v>400</v>
      </c>
      <c r="X24" s="164" t="s">
        <v>76</v>
      </c>
      <c r="Y24" s="164" t="s">
        <v>131</v>
      </c>
      <c r="Z24" s="164"/>
      <c r="AA24" s="164" t="s">
        <v>120</v>
      </c>
      <c r="AB24" s="164" t="s">
        <v>99</v>
      </c>
      <c r="AC24" s="91"/>
      <c r="AD24" s="90"/>
      <c r="AE24" s="90"/>
      <c r="AF24" s="91"/>
      <c r="AG24" s="90"/>
      <c r="AH24" s="91"/>
      <c r="AI24" s="91"/>
      <c r="AJ24" s="91"/>
      <c r="AK24" s="91"/>
      <c r="AL24" s="91"/>
      <c r="AM24" s="90"/>
      <c r="AN24" s="102"/>
      <c r="AO24" s="91"/>
      <c r="AP24" s="91"/>
      <c r="AQ24" s="177"/>
      <c r="AR24" s="91"/>
      <c r="AS24" s="110"/>
      <c r="AT24" s="91"/>
      <c r="AX24" s="77"/>
      <c r="AY24" s="142"/>
      <c r="AZ24" s="142"/>
      <c r="BA24" s="91"/>
      <c r="BB24" s="102"/>
      <c r="BC24" s="91"/>
      <c r="BD24" s="91"/>
      <c r="BE24" s="91"/>
      <c r="BF24" s="102"/>
      <c r="BG24" s="91"/>
      <c r="BH24" s="89"/>
      <c r="BI24" s="89"/>
      <c r="BJ24" s="14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DY24" s="91"/>
      <c r="DZ24" s="91"/>
      <c r="EA24" s="91"/>
      <c r="EB24" s="91"/>
      <c r="EC24" s="91"/>
      <c r="ED24" s="91"/>
      <c r="EE24" s="91"/>
      <c r="EF24" s="91"/>
      <c r="EG24" s="91"/>
      <c r="EH24" s="91"/>
      <c r="EI24" s="91"/>
      <c r="EJ24" s="91"/>
      <c r="EK24" s="91"/>
      <c r="EL24" s="91"/>
      <c r="EM24" s="91"/>
      <c r="EN24" s="91"/>
      <c r="EO24" s="91"/>
      <c r="EP24" s="91"/>
      <c r="EQ24" s="91"/>
      <c r="ER24" s="91"/>
      <c r="ES24" s="91"/>
      <c r="ET24" s="91"/>
      <c r="EU24" s="91"/>
      <c r="EV24" s="91"/>
      <c r="EW24" s="91"/>
      <c r="EX24" s="91"/>
      <c r="EY24" s="91"/>
      <c r="EZ24" s="91"/>
      <c r="FA24" s="91"/>
      <c r="FB24" s="91"/>
      <c r="FC24" s="91"/>
      <c r="FD24" s="91"/>
      <c r="FE24" s="91"/>
      <c r="FF24" s="91"/>
      <c r="FG24" s="91"/>
      <c r="FH24" s="91"/>
      <c r="FI24" s="91"/>
      <c r="FJ24" s="91"/>
      <c r="FK24" s="91"/>
      <c r="FL24" s="91"/>
      <c r="FM24" s="91"/>
      <c r="FN24" s="91"/>
      <c r="FO24" s="91"/>
      <c r="FP24" s="91"/>
      <c r="FQ24" s="91"/>
      <c r="FR24" s="91"/>
      <c r="FS24" s="91"/>
      <c r="FT24" s="91"/>
      <c r="FU24" s="91"/>
      <c r="FV24" s="91"/>
      <c r="FW24" s="91"/>
      <c r="FX24" s="91"/>
      <c r="FY24" s="91"/>
      <c r="FZ24" s="91"/>
      <c r="GA24" s="91"/>
      <c r="GB24" s="91"/>
      <c r="GC24" s="91"/>
      <c r="GD24" s="91"/>
      <c r="GE24" s="91"/>
      <c r="GF24" s="91"/>
      <c r="GG24" s="91"/>
      <c r="GH24" s="91"/>
      <c r="GI24" s="91"/>
      <c r="GJ24" s="91"/>
      <c r="GK24" s="91"/>
      <c r="GL24" s="91"/>
      <c r="GM24" s="91"/>
      <c r="GN24" s="91"/>
      <c r="GO24" s="91"/>
      <c r="GP24" s="91"/>
      <c r="GQ24" s="91"/>
      <c r="GR24" s="91"/>
      <c r="GS24" s="91"/>
      <c r="GT24" s="91"/>
      <c r="GU24" s="91"/>
      <c r="GV24" s="91"/>
      <c r="GW24" s="91"/>
      <c r="GX24" s="91"/>
      <c r="GY24" s="91"/>
      <c r="GZ24" s="91"/>
      <c r="HA24" s="91"/>
      <c r="HB24" s="91"/>
      <c r="HC24" s="91"/>
      <c r="HD24" s="91"/>
      <c r="HE24" s="91"/>
      <c r="HF24" s="91"/>
      <c r="HG24" s="91"/>
      <c r="HH24" s="91"/>
      <c r="HI24" s="91"/>
      <c r="HJ24" s="91"/>
      <c r="HK24" s="91"/>
      <c r="HL24" s="91"/>
      <c r="HM24" s="91"/>
      <c r="HN24" s="91"/>
      <c r="HO24" s="91"/>
      <c r="HP24" s="91"/>
      <c r="HQ24" s="91"/>
      <c r="HR24" s="91"/>
      <c r="HS24" s="91"/>
      <c r="HT24" s="91"/>
      <c r="HU24" s="91"/>
      <c r="HV24" s="91"/>
      <c r="HW24" s="91"/>
      <c r="HX24" s="91"/>
      <c r="HY24" s="91"/>
      <c r="HZ24" s="91"/>
      <c r="IA24" s="91"/>
      <c r="IB24" s="91"/>
      <c r="IC24" s="91"/>
      <c r="ID24" s="91"/>
      <c r="IE24" s="91"/>
      <c r="IF24" s="91"/>
      <c r="IG24" s="91"/>
      <c r="IH24" s="91"/>
      <c r="II24" s="91"/>
      <c r="IJ24" s="91"/>
      <c r="IK24" s="91"/>
      <c r="IL24" s="91"/>
      <c r="IM24" s="91"/>
      <c r="IN24" s="91"/>
      <c r="IO24" s="91"/>
      <c r="IP24" s="91"/>
      <c r="IQ24" s="91"/>
      <c r="IR24" s="91"/>
      <c r="IS24" s="91"/>
      <c r="IT24" s="91"/>
      <c r="IU24" s="91"/>
      <c r="IV24" s="91"/>
      <c r="IW24" s="91"/>
    </row>
    <row r="25" spans="1:257" ht="17">
      <c r="A25" s="136" t="s">
        <v>213</v>
      </c>
      <c r="B25" s="136" t="s">
        <v>120</v>
      </c>
      <c r="C25" s="61" t="s">
        <v>401</v>
      </c>
      <c r="D25" s="151" t="s">
        <v>70</v>
      </c>
      <c r="E25" s="152" t="s">
        <v>73</v>
      </c>
      <c r="F25" s="152">
        <v>18117102052</v>
      </c>
      <c r="G25" s="158">
        <v>44193.416666666701</v>
      </c>
      <c r="H25" s="152" t="s">
        <v>215</v>
      </c>
      <c r="I25" s="152" t="s">
        <v>117</v>
      </c>
      <c r="J25" s="152" t="s">
        <v>402</v>
      </c>
      <c r="K25" s="152" t="s">
        <v>246</v>
      </c>
      <c r="L25" s="152" t="s">
        <v>238</v>
      </c>
      <c r="M25" s="152">
        <v>25</v>
      </c>
      <c r="N25" s="152" t="s">
        <v>145</v>
      </c>
      <c r="O25" s="152" t="s">
        <v>240</v>
      </c>
      <c r="P25" s="152" t="s">
        <v>220</v>
      </c>
      <c r="Q25" s="152" t="s">
        <v>221</v>
      </c>
      <c r="R25" s="173" t="s">
        <v>73</v>
      </c>
      <c r="S25" s="149">
        <v>500</v>
      </c>
      <c r="T25" s="136" t="s">
        <v>90</v>
      </c>
      <c r="U25" s="170">
        <v>3848</v>
      </c>
      <c r="V25" s="136">
        <v>3348</v>
      </c>
      <c r="W25" s="136" t="s">
        <v>403</v>
      </c>
      <c r="X25" s="164" t="s">
        <v>76</v>
      </c>
      <c r="Y25" s="164"/>
      <c r="Z25" s="164"/>
      <c r="AA25" s="164" t="s">
        <v>120</v>
      </c>
      <c r="AB25" s="164" t="s">
        <v>99</v>
      </c>
      <c r="AC25" s="91"/>
      <c r="AD25" s="91"/>
      <c r="AE25" s="91"/>
      <c r="AF25" s="91"/>
      <c r="AG25" s="90"/>
      <c r="AH25" s="90"/>
      <c r="AI25" s="90"/>
      <c r="AJ25" s="90"/>
      <c r="AK25" s="90"/>
      <c r="AL25" s="91"/>
      <c r="AM25" s="90"/>
      <c r="AN25" s="102"/>
      <c r="AO25" s="90"/>
      <c r="AP25" s="90"/>
      <c r="AQ25" s="177"/>
      <c r="AR25" s="90"/>
      <c r="AS25" s="110"/>
      <c r="AT25" s="90"/>
      <c r="AX25" s="77"/>
      <c r="AY25" s="142"/>
      <c r="AZ25" s="142"/>
      <c r="BA25" s="91"/>
      <c r="BB25" s="102"/>
      <c r="BC25" s="91"/>
      <c r="BD25" s="91"/>
      <c r="BE25" s="91"/>
      <c r="BF25" s="102"/>
      <c r="BG25" s="91"/>
      <c r="BH25" s="89"/>
      <c r="BI25" s="89"/>
      <c r="BJ25" s="102"/>
      <c r="BK25" s="91"/>
      <c r="BL25" s="90"/>
      <c r="BM25" s="90"/>
      <c r="BN25" s="91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</row>
    <row r="26" spans="1:257" ht="17">
      <c r="A26" s="136"/>
      <c r="B26" s="136" t="s">
        <v>120</v>
      </c>
      <c r="C26" s="61" t="s">
        <v>404</v>
      </c>
      <c r="D26" s="151" t="s">
        <v>210</v>
      </c>
      <c r="E26" s="154" t="s">
        <v>211</v>
      </c>
      <c r="F26" s="152">
        <v>13918210550</v>
      </c>
      <c r="G26" s="158" t="s">
        <v>405</v>
      </c>
      <c r="H26" s="152" t="s">
        <v>215</v>
      </c>
      <c r="I26" s="152" t="s">
        <v>190</v>
      </c>
      <c r="J26" s="152" t="s">
        <v>406</v>
      </c>
      <c r="K26" s="152" t="s">
        <v>282</v>
      </c>
      <c r="L26" s="152" t="s">
        <v>344</v>
      </c>
      <c r="M26" s="152" t="s">
        <v>407</v>
      </c>
      <c r="N26" s="152" t="s">
        <v>145</v>
      </c>
      <c r="O26" s="152" t="s">
        <v>408</v>
      </c>
      <c r="P26" s="152" t="s">
        <v>220</v>
      </c>
      <c r="Q26" s="152" t="s">
        <v>221</v>
      </c>
      <c r="R26" s="174">
        <v>43818</v>
      </c>
      <c r="S26" s="149">
        <v>3580</v>
      </c>
      <c r="T26" s="136" t="s">
        <v>242</v>
      </c>
      <c r="U26" s="170">
        <v>3580</v>
      </c>
      <c r="V26" s="136">
        <v>0</v>
      </c>
      <c r="W26" s="136" t="s">
        <v>409</v>
      </c>
      <c r="X26" s="164" t="s">
        <v>76</v>
      </c>
      <c r="Y26" s="164" t="s">
        <v>131</v>
      </c>
      <c r="Z26" s="164"/>
      <c r="AA26" s="164" t="s">
        <v>120</v>
      </c>
      <c r="AB26" s="164" t="s">
        <v>99</v>
      </c>
      <c r="AC26"/>
      <c r="AD26"/>
      <c r="AE26"/>
      <c r="AF26"/>
      <c r="AG26"/>
      <c r="AH26"/>
      <c r="AI26"/>
      <c r="AJ26"/>
      <c r="AK26"/>
      <c r="AL26"/>
      <c r="AM26"/>
      <c r="AN26" s="102"/>
      <c r="AO26" s="90"/>
      <c r="AP26"/>
      <c r="AQ26" s="177"/>
      <c r="AR26"/>
      <c r="AS26" s="110"/>
      <c r="AT26"/>
      <c r="AX26" s="77"/>
      <c r="AY26" s="91"/>
      <c r="AZ26" s="91"/>
      <c r="BA26"/>
      <c r="BB26" s="140"/>
      <c r="BC26"/>
      <c r="BD26"/>
      <c r="BE26"/>
      <c r="BF26" s="140"/>
      <c r="BG26"/>
      <c r="BH26"/>
      <c r="BI26"/>
      <c r="BJ26" s="140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</row>
    <row r="27" spans="1:257" ht="17">
      <c r="A27" s="136" t="s">
        <v>213</v>
      </c>
      <c r="B27" s="136" t="s">
        <v>120</v>
      </c>
      <c r="C27" s="61" t="s">
        <v>214</v>
      </c>
      <c r="D27" s="151" t="s">
        <v>171</v>
      </c>
      <c r="E27" s="152" t="s">
        <v>172</v>
      </c>
      <c r="F27" s="152">
        <v>18516089280</v>
      </c>
      <c r="G27" s="158">
        <v>43819.416666666701</v>
      </c>
      <c r="H27" s="152" t="s">
        <v>215</v>
      </c>
      <c r="I27" s="152" t="s">
        <v>192</v>
      </c>
      <c r="J27" s="152" t="s">
        <v>173</v>
      </c>
      <c r="K27" s="152" t="s">
        <v>216</v>
      </c>
      <c r="L27" s="152" t="s">
        <v>217</v>
      </c>
      <c r="M27" s="152">
        <v>8</v>
      </c>
      <c r="N27" s="152" t="s">
        <v>218</v>
      </c>
      <c r="O27" s="152" t="s">
        <v>219</v>
      </c>
      <c r="P27" s="152" t="s">
        <v>220</v>
      </c>
      <c r="Q27" s="152" t="s">
        <v>221</v>
      </c>
      <c r="R27" s="174">
        <v>43818</v>
      </c>
      <c r="S27" s="149">
        <v>1400</v>
      </c>
      <c r="T27" s="136" t="s">
        <v>90</v>
      </c>
      <c r="U27" s="136">
        <v>1400</v>
      </c>
      <c r="V27" s="136">
        <v>0</v>
      </c>
      <c r="W27" s="136" t="s">
        <v>222</v>
      </c>
      <c r="X27" s="164" t="s">
        <v>76</v>
      </c>
      <c r="Y27" s="164"/>
      <c r="Z27" s="164"/>
      <c r="AA27" s="164" t="s">
        <v>120</v>
      </c>
      <c r="AB27" s="164" t="s">
        <v>102</v>
      </c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10">
        <v>43819</v>
      </c>
      <c r="AO27" s="114" t="s">
        <v>97</v>
      </c>
      <c r="AP27" s="91"/>
      <c r="AQ27" s="177">
        <v>10</v>
      </c>
      <c r="AR27" s="91"/>
      <c r="AS27" s="114" t="s">
        <v>109</v>
      </c>
      <c r="AT27" s="91"/>
      <c r="AU27" s="76" t="s">
        <v>73</v>
      </c>
      <c r="AV27" s="78" t="s">
        <v>73</v>
      </c>
      <c r="AW27" s="77" t="s">
        <v>73</v>
      </c>
      <c r="AX27" s="78">
        <v>1400</v>
      </c>
      <c r="AY27" s="91"/>
      <c r="AZ27" s="91"/>
      <c r="BA27" s="143"/>
      <c r="BB27" s="147"/>
      <c r="BC27" s="143"/>
      <c r="BD27" s="143"/>
      <c r="BE27" s="143"/>
      <c r="BF27" s="141">
        <v>43819</v>
      </c>
      <c r="BG27" s="142">
        <v>1400</v>
      </c>
      <c r="BH27" s="143"/>
      <c r="BI27" s="143"/>
      <c r="BJ27" s="147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43"/>
      <c r="EC27" s="143"/>
      <c r="ED27" s="143"/>
      <c r="EE27" s="143"/>
      <c r="EF27" s="143"/>
      <c r="EG27" s="143"/>
      <c r="EH27" s="143"/>
      <c r="EI27" s="143"/>
      <c r="EJ27" s="143"/>
      <c r="EK27" s="143"/>
      <c r="EL27" s="143"/>
      <c r="EM27" s="143"/>
      <c r="EN27" s="143"/>
      <c r="EO27" s="143"/>
      <c r="EP27" s="143"/>
      <c r="EQ27" s="143"/>
      <c r="ER27" s="143"/>
      <c r="ES27" s="143"/>
      <c r="ET27" s="143"/>
      <c r="EU27" s="143"/>
      <c r="EV27" s="143"/>
      <c r="EW27" s="143"/>
      <c r="EX27" s="143"/>
      <c r="EY27" s="143"/>
      <c r="EZ27" s="143"/>
      <c r="FA27" s="143"/>
      <c r="FB27" s="143"/>
      <c r="FC27" s="143"/>
      <c r="FD27" s="143"/>
      <c r="FE27" s="143"/>
      <c r="FF27" s="143"/>
      <c r="FG27" s="143"/>
      <c r="FH27" s="143"/>
      <c r="FI27" s="143"/>
      <c r="FJ27" s="143"/>
      <c r="FK27" s="143"/>
      <c r="FL27" s="143"/>
      <c r="FM27" s="143"/>
      <c r="FN27" s="143"/>
      <c r="FO27" s="143"/>
      <c r="FP27" s="143"/>
      <c r="FQ27" s="143"/>
      <c r="FR27" s="143"/>
    </row>
    <row r="28" spans="1:257" ht="17">
      <c r="A28" s="136" t="s">
        <v>213</v>
      </c>
      <c r="B28" s="136" t="s">
        <v>120</v>
      </c>
      <c r="C28" s="61" t="s">
        <v>223</v>
      </c>
      <c r="D28" s="151" t="s">
        <v>224</v>
      </c>
      <c r="E28" s="152" t="s">
        <v>225</v>
      </c>
      <c r="F28" s="152">
        <v>18001783093</v>
      </c>
      <c r="G28" s="158">
        <v>43820.666666666701</v>
      </c>
      <c r="H28" s="152" t="s">
        <v>215</v>
      </c>
      <c r="I28" s="152" t="s">
        <v>192</v>
      </c>
      <c r="J28" s="152" t="s">
        <v>226</v>
      </c>
      <c r="K28" s="152" t="s">
        <v>227</v>
      </c>
      <c r="L28" s="152" t="s">
        <v>217</v>
      </c>
      <c r="M28" s="152" t="s">
        <v>228</v>
      </c>
      <c r="N28" s="152" t="s">
        <v>145</v>
      </c>
      <c r="O28" s="152" t="s">
        <v>106</v>
      </c>
      <c r="P28" s="152" t="s">
        <v>220</v>
      </c>
      <c r="Q28" s="152" t="s">
        <v>221</v>
      </c>
      <c r="R28" s="174">
        <v>43818</v>
      </c>
      <c r="S28" s="149">
        <v>500</v>
      </c>
      <c r="T28" s="136" t="s">
        <v>90</v>
      </c>
      <c r="U28" s="136" t="s">
        <v>229</v>
      </c>
      <c r="V28" s="136">
        <v>1400</v>
      </c>
      <c r="W28" s="136" t="s">
        <v>230</v>
      </c>
      <c r="X28" s="164" t="s">
        <v>63</v>
      </c>
      <c r="Y28" s="164"/>
      <c r="Z28" s="164"/>
      <c r="AA28" s="164" t="s">
        <v>120</v>
      </c>
      <c r="AB28" s="164" t="s">
        <v>102</v>
      </c>
      <c r="AC28" s="144"/>
      <c r="AD28" s="143"/>
      <c r="AE28" s="143"/>
      <c r="AF28" s="143"/>
      <c r="AG28" s="144"/>
      <c r="AH28" s="143"/>
      <c r="AI28" s="143"/>
      <c r="AJ28" s="143"/>
      <c r="AK28" s="143"/>
      <c r="AL28" s="143"/>
      <c r="AM28" s="144"/>
      <c r="AN28" s="110">
        <v>43820</v>
      </c>
      <c r="AO28" s="114" t="s">
        <v>107</v>
      </c>
      <c r="AP28" s="89"/>
      <c r="AQ28" s="177">
        <v>10</v>
      </c>
      <c r="AR28" s="89"/>
      <c r="AS28" s="114" t="s">
        <v>231</v>
      </c>
      <c r="AT28" s="89"/>
      <c r="AU28" s="76">
        <v>43820</v>
      </c>
      <c r="AV28" s="78">
        <v>1400</v>
      </c>
      <c r="AW28" s="77" t="s">
        <v>98</v>
      </c>
      <c r="AX28" s="78">
        <v>1900</v>
      </c>
      <c r="AY28" s="91"/>
      <c r="AZ28" s="91"/>
      <c r="BA28" s="143"/>
      <c r="BB28" s="147"/>
      <c r="BC28" s="143"/>
      <c r="BD28" s="143"/>
      <c r="BE28" s="143"/>
      <c r="BF28" s="147"/>
      <c r="BG28" s="143"/>
      <c r="BH28" s="144"/>
      <c r="BI28" s="144"/>
      <c r="BJ28" s="146"/>
      <c r="BK28" s="143"/>
      <c r="BL28" s="144"/>
      <c r="BM28" s="144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45"/>
      <c r="EG28" s="145"/>
      <c r="EH28" s="145"/>
      <c r="EI28" s="145"/>
      <c r="EJ28" s="145"/>
      <c r="EK28" s="145"/>
      <c r="EL28" s="145"/>
      <c r="EM28" s="145"/>
      <c r="EN28" s="145"/>
      <c r="EO28" s="145"/>
      <c r="EP28" s="145"/>
      <c r="EQ28" s="145"/>
      <c r="ER28" s="145"/>
      <c r="ES28" s="145"/>
      <c r="ET28" s="145"/>
      <c r="EU28" s="145"/>
      <c r="EV28" s="145"/>
      <c r="EW28" s="145"/>
      <c r="EX28" s="145"/>
      <c r="EY28" s="145"/>
      <c r="EZ28" s="145"/>
      <c r="FA28" s="145"/>
      <c r="FB28" s="145"/>
      <c r="FC28" s="145"/>
      <c r="FD28" s="145"/>
      <c r="FE28" s="145"/>
      <c r="FF28" s="145"/>
      <c r="FG28" s="145"/>
      <c r="FH28" s="145"/>
      <c r="FI28" s="145"/>
      <c r="FJ28" s="145"/>
      <c r="FK28" s="145"/>
      <c r="FL28" s="145"/>
      <c r="FM28" s="145"/>
      <c r="FN28" s="145"/>
      <c r="FO28" s="145"/>
      <c r="FP28" s="145"/>
      <c r="FQ28" s="145"/>
      <c r="FR28" s="145"/>
    </row>
    <row r="29" spans="1:257" ht="17">
      <c r="A29" s="136" t="s">
        <v>213</v>
      </c>
      <c r="B29" s="136" t="s">
        <v>120</v>
      </c>
      <c r="C29" s="61" t="s">
        <v>410</v>
      </c>
      <c r="D29" s="151" t="s">
        <v>411</v>
      </c>
      <c r="E29" s="152" t="s">
        <v>412</v>
      </c>
      <c r="F29" s="152">
        <v>15800510390</v>
      </c>
      <c r="G29" s="158">
        <v>43841.416666666701</v>
      </c>
      <c r="H29" s="152" t="s">
        <v>215</v>
      </c>
      <c r="I29" s="152" t="s">
        <v>118</v>
      </c>
      <c r="J29" s="152" t="s">
        <v>413</v>
      </c>
      <c r="K29" s="152" t="s">
        <v>227</v>
      </c>
      <c r="L29" s="152" t="s">
        <v>253</v>
      </c>
      <c r="M29" s="152">
        <v>12</v>
      </c>
      <c r="N29" s="152" t="s">
        <v>145</v>
      </c>
      <c r="O29" s="152" t="s">
        <v>255</v>
      </c>
      <c r="P29" s="152" t="s">
        <v>220</v>
      </c>
      <c r="Q29" s="152" t="s">
        <v>221</v>
      </c>
      <c r="R29" s="174">
        <v>43819</v>
      </c>
      <c r="S29" s="149">
        <v>500</v>
      </c>
      <c r="T29" s="136" t="s">
        <v>90</v>
      </c>
      <c r="U29" s="170">
        <v>3000</v>
      </c>
      <c r="V29" s="136">
        <v>2500</v>
      </c>
      <c r="W29" s="136" t="s">
        <v>414</v>
      </c>
      <c r="X29" s="164" t="s">
        <v>73</v>
      </c>
      <c r="Y29" s="164"/>
      <c r="Z29" s="164"/>
      <c r="AA29" s="164" t="s">
        <v>120</v>
      </c>
      <c r="AB29" s="164" t="s">
        <v>100</v>
      </c>
      <c r="AC29" s="89"/>
      <c r="AD29" s="90"/>
      <c r="AE29" s="90"/>
      <c r="AF29" s="91"/>
      <c r="AG29" s="90"/>
      <c r="AH29" s="90"/>
      <c r="AI29" s="90"/>
      <c r="AJ29" s="90"/>
      <c r="AK29" s="90"/>
      <c r="AL29" s="90"/>
      <c r="AM29" s="89"/>
      <c r="AN29" s="102"/>
      <c r="AO29" s="90"/>
      <c r="AP29" s="90"/>
      <c r="AQ29" s="90"/>
      <c r="AR29" s="90"/>
      <c r="AS29" s="91"/>
      <c r="AT29" s="91"/>
      <c r="AW29" s="91"/>
      <c r="AX29" s="90"/>
      <c r="AY29" s="142"/>
      <c r="AZ29" s="142"/>
      <c r="BA29" s="91"/>
      <c r="BB29" s="102"/>
      <c r="BC29" s="91"/>
      <c r="BD29" s="91"/>
      <c r="BE29" s="91"/>
      <c r="BF29" s="102"/>
      <c r="BG29"/>
      <c r="BH29" s="90"/>
      <c r="BI29" s="90"/>
      <c r="BJ29" s="100"/>
      <c r="BK29" s="91"/>
      <c r="BL29" s="90"/>
      <c r="BM29" s="90"/>
      <c r="BN29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91"/>
      <c r="DL29" s="91"/>
      <c r="DM29" s="91"/>
      <c r="DN29" s="91"/>
      <c r="DO29" s="91"/>
      <c r="DP29" s="91"/>
      <c r="DQ29" s="91"/>
      <c r="DR29" s="91"/>
      <c r="DS29" s="91"/>
      <c r="DT29" s="91"/>
      <c r="DU29" s="91"/>
      <c r="DV29" s="91"/>
      <c r="DW29" s="91"/>
      <c r="DX29" s="91"/>
      <c r="DY29" s="91"/>
      <c r="DZ29" s="91"/>
      <c r="EA29" s="91"/>
      <c r="EB29" s="91"/>
      <c r="EC29" s="91"/>
      <c r="ED29" s="91"/>
      <c r="EE29" s="91"/>
      <c r="EF29" s="91"/>
      <c r="EG29" s="91"/>
      <c r="EH29" s="91"/>
      <c r="EI29" s="91"/>
      <c r="EJ29" s="91"/>
      <c r="EK29" s="91"/>
      <c r="EL29" s="91"/>
      <c r="EM29" s="91"/>
      <c r="EN29" s="91"/>
      <c r="EO29" s="91"/>
      <c r="EP29" s="91"/>
      <c r="EQ29" s="91"/>
      <c r="ER29" s="91"/>
      <c r="ES29" s="91"/>
      <c r="ET29" s="91"/>
      <c r="EU29" s="91"/>
      <c r="EV29" s="91"/>
      <c r="EW29" s="91"/>
      <c r="EX29" s="91"/>
      <c r="EY29" s="91"/>
      <c r="EZ29" s="91"/>
      <c r="FA29" s="91"/>
      <c r="FB29" s="91"/>
      <c r="FC29" s="91"/>
      <c r="FD29" s="91"/>
      <c r="FE29" s="91"/>
      <c r="FF29" s="91"/>
      <c r="FG29" s="91"/>
      <c r="FH29" s="91"/>
      <c r="FI29" s="91"/>
      <c r="FJ29" s="91"/>
      <c r="FK29" s="91"/>
      <c r="FL29" s="91"/>
      <c r="FM29" s="91"/>
      <c r="FN29" s="91"/>
      <c r="FO29" s="91"/>
      <c r="FP29" s="91"/>
      <c r="FQ29" s="91"/>
      <c r="FR29" s="91"/>
      <c r="FS29" s="91"/>
      <c r="FT29" s="91"/>
      <c r="FU29" s="91"/>
      <c r="FV29" s="91"/>
      <c r="FW29" s="91"/>
      <c r="FX29" s="91"/>
      <c r="FY29" s="91"/>
      <c r="FZ29" s="91"/>
      <c r="GA29" s="91"/>
      <c r="GB29" s="91"/>
      <c r="GC29" s="91"/>
      <c r="GD29" s="91"/>
      <c r="GE29" s="91"/>
      <c r="GF29" s="91"/>
      <c r="GG29" s="91"/>
      <c r="GH29" s="91"/>
      <c r="GI29" s="91"/>
      <c r="GJ29" s="91"/>
      <c r="GK29" s="91"/>
      <c r="GL29" s="91"/>
      <c r="GM29" s="91"/>
      <c r="GN29" s="91"/>
      <c r="GO29" s="91"/>
      <c r="GP29" s="91"/>
      <c r="GQ29" s="91"/>
      <c r="GR29" s="91"/>
      <c r="GS29" s="91"/>
      <c r="GT29" s="91"/>
      <c r="GU29" s="91"/>
      <c r="GV29" s="91"/>
      <c r="GW29" s="91"/>
      <c r="GX29" s="91"/>
      <c r="GY29" s="91"/>
      <c r="GZ29" s="91"/>
      <c r="HA29" s="91"/>
      <c r="HB29" s="91"/>
      <c r="HC29" s="91"/>
      <c r="HD29" s="91"/>
      <c r="HE29" s="91"/>
      <c r="HF29" s="91"/>
      <c r="HG29" s="91"/>
      <c r="HH29" s="91"/>
      <c r="HI29" s="91"/>
      <c r="HJ29" s="91"/>
      <c r="HK29" s="91"/>
      <c r="HL29" s="91"/>
      <c r="HM29" s="91"/>
      <c r="HN29" s="91"/>
      <c r="HO29" s="91"/>
      <c r="HP29" s="91"/>
      <c r="HQ29" s="91"/>
      <c r="HR29" s="91"/>
      <c r="HS29" s="91"/>
      <c r="HT29" s="91"/>
      <c r="HU29" s="91"/>
      <c r="HV29" s="91"/>
      <c r="HW29" s="91"/>
      <c r="HX29" s="91"/>
      <c r="HY29" s="91"/>
      <c r="HZ29" s="91"/>
      <c r="IA29" s="91"/>
      <c r="IB29" s="91"/>
      <c r="IC29" s="91"/>
      <c r="ID29" s="91"/>
      <c r="IE29" s="91"/>
      <c r="IF29" s="91"/>
      <c r="IG29" s="91"/>
      <c r="IH29" s="91"/>
      <c r="II29" s="91"/>
      <c r="IJ29" s="91"/>
      <c r="IK29" s="91"/>
      <c r="IL29" s="91"/>
      <c r="IM29" s="91"/>
      <c r="IN29" s="91"/>
      <c r="IO29" s="91"/>
      <c r="IP29" s="91"/>
      <c r="IQ29" s="91"/>
      <c r="IR29" s="91"/>
      <c r="IS29" s="91"/>
      <c r="IT29" s="91"/>
      <c r="IU29" s="91"/>
      <c r="IV29" s="91"/>
      <c r="IW29" s="91"/>
    </row>
    <row r="30" spans="1:257" ht="17">
      <c r="A30" s="136"/>
      <c r="B30" s="136" t="s">
        <v>120</v>
      </c>
      <c r="C30" s="61" t="s">
        <v>415</v>
      </c>
      <c r="D30" s="151" t="s">
        <v>171</v>
      </c>
      <c r="E30" s="152" t="s">
        <v>172</v>
      </c>
      <c r="F30" s="152">
        <v>18516089280</v>
      </c>
      <c r="G30" s="158" t="s">
        <v>416</v>
      </c>
      <c r="H30" s="152" t="s">
        <v>215</v>
      </c>
      <c r="I30" s="152" t="s">
        <v>122</v>
      </c>
      <c r="J30" s="152" t="s">
        <v>417</v>
      </c>
      <c r="K30" s="152" t="s">
        <v>246</v>
      </c>
      <c r="L30" s="152" t="s">
        <v>253</v>
      </c>
      <c r="M30" s="152">
        <v>16</v>
      </c>
      <c r="N30" s="152" t="s">
        <v>145</v>
      </c>
      <c r="O30" s="152" t="s">
        <v>255</v>
      </c>
      <c r="P30" s="152" t="s">
        <v>220</v>
      </c>
      <c r="Q30" s="152" t="s">
        <v>418</v>
      </c>
      <c r="R30" s="174">
        <v>43819</v>
      </c>
      <c r="S30" s="149">
        <v>1400</v>
      </c>
      <c r="T30" s="136" t="s">
        <v>90</v>
      </c>
      <c r="U30" s="170">
        <v>2480</v>
      </c>
      <c r="V30" s="136">
        <v>1080</v>
      </c>
      <c r="W30" s="136" t="s">
        <v>419</v>
      </c>
      <c r="X30" s="164" t="s">
        <v>76</v>
      </c>
      <c r="Y30" s="164" t="s">
        <v>131</v>
      </c>
      <c r="Z30" s="164"/>
      <c r="AA30" s="164" t="s">
        <v>120</v>
      </c>
      <c r="AB30" s="164" t="s">
        <v>99</v>
      </c>
      <c r="AC30" s="89"/>
      <c r="AD30" s="91"/>
      <c r="AE30" s="91"/>
      <c r="AF30" s="91"/>
      <c r="AG30" s="90"/>
      <c r="AH30" s="90"/>
      <c r="AI30" s="90"/>
      <c r="AJ30" s="90"/>
      <c r="AK30" s="90"/>
      <c r="AL30" s="90"/>
      <c r="AM30" s="89"/>
      <c r="AN30" s="102"/>
      <c r="AO30" s="90"/>
      <c r="AP30" s="90"/>
      <c r="AQ30" s="91"/>
      <c r="AR30" s="89"/>
      <c r="AS30" s="91"/>
      <c r="AT30" s="90"/>
      <c r="AW30" s="91"/>
      <c r="AX30" s="91"/>
      <c r="AY30" s="142"/>
      <c r="AZ30" s="142"/>
      <c r="BA30" s="91"/>
      <c r="BB30" s="102"/>
      <c r="BC30" s="91"/>
      <c r="BD30" s="91"/>
      <c r="BE30" s="91"/>
      <c r="BF30" s="102"/>
      <c r="BG30" s="91"/>
      <c r="BH30" s="89"/>
      <c r="BI30" s="89"/>
      <c r="BJ30" s="102"/>
      <c r="BK30" s="91"/>
      <c r="BL30" s="90"/>
      <c r="BM30" s="90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91"/>
      <c r="DW30" s="91"/>
      <c r="DX30" s="91"/>
      <c r="DY30" s="91"/>
      <c r="DZ30" s="91"/>
      <c r="EA30" s="91"/>
      <c r="EB30" s="91"/>
      <c r="EC30" s="91"/>
      <c r="ED30" s="91"/>
      <c r="EE30" s="91"/>
      <c r="EF30" s="91"/>
      <c r="EG30" s="91"/>
      <c r="EH30" s="91"/>
      <c r="EI30" s="91"/>
      <c r="EJ30" s="91"/>
      <c r="EK30" s="91"/>
      <c r="EL30" s="91"/>
      <c r="EM30" s="91"/>
      <c r="EN30" s="91"/>
      <c r="EO30" s="91"/>
      <c r="EP30" s="91"/>
      <c r="EQ30" s="91"/>
      <c r="ER30" s="91"/>
      <c r="ES30" s="91"/>
      <c r="ET30" s="91"/>
      <c r="EU30" s="91"/>
      <c r="EV30" s="91"/>
      <c r="EW30" s="91"/>
      <c r="EX30" s="91"/>
      <c r="EY30" s="91"/>
      <c r="EZ30" s="91"/>
      <c r="FA30" s="91"/>
      <c r="FB30" s="91"/>
      <c r="FC30" s="91"/>
      <c r="FD30" s="91"/>
      <c r="FE30" s="91"/>
      <c r="FF30" s="91"/>
      <c r="FG30" s="91"/>
      <c r="FH30" s="91"/>
      <c r="FI30" s="91"/>
      <c r="FJ30" s="91"/>
      <c r="FK30" s="91"/>
      <c r="FL30" s="91"/>
      <c r="FM30" s="91"/>
      <c r="FN30" s="91"/>
      <c r="FO30" s="91"/>
      <c r="FP30" s="91"/>
      <c r="FQ30" s="91"/>
      <c r="FR30" s="91"/>
    </row>
    <row r="31" spans="1:257" ht="60">
      <c r="A31" s="136" t="s">
        <v>213</v>
      </c>
      <c r="B31" s="136" t="s">
        <v>120</v>
      </c>
      <c r="C31" s="61" t="s">
        <v>243</v>
      </c>
      <c r="D31" s="151" t="s">
        <v>244</v>
      </c>
      <c r="E31" s="152" t="s">
        <v>244</v>
      </c>
      <c r="F31" s="152">
        <v>18601702120</v>
      </c>
      <c r="G31" s="158">
        <v>43821.416666666701</v>
      </c>
      <c r="H31" s="152" t="s">
        <v>215</v>
      </c>
      <c r="I31" s="152" t="s">
        <v>176</v>
      </c>
      <c r="J31" s="152" t="s">
        <v>245</v>
      </c>
      <c r="K31" s="152" t="s">
        <v>246</v>
      </c>
      <c r="L31" s="152" t="s">
        <v>238</v>
      </c>
      <c r="M31" s="152"/>
      <c r="N31" s="152" t="s">
        <v>145</v>
      </c>
      <c r="O31" s="152" t="s">
        <v>247</v>
      </c>
      <c r="P31" s="152" t="s">
        <v>220</v>
      </c>
      <c r="Q31" s="152" t="s">
        <v>221</v>
      </c>
      <c r="R31" s="174">
        <v>43819</v>
      </c>
      <c r="S31" s="149">
        <v>500</v>
      </c>
      <c r="T31" s="136" t="s">
        <v>90</v>
      </c>
      <c r="U31" s="136">
        <v>3580</v>
      </c>
      <c r="V31" s="136">
        <v>3080</v>
      </c>
      <c r="W31" s="136" t="s">
        <v>73</v>
      </c>
      <c r="X31" s="164" t="s">
        <v>73</v>
      </c>
      <c r="Y31" s="164" t="s">
        <v>242</v>
      </c>
      <c r="Z31" s="164"/>
      <c r="AA31" s="164" t="s">
        <v>120</v>
      </c>
      <c r="AB31" s="164" t="s">
        <v>100</v>
      </c>
      <c r="AC31" s="144"/>
      <c r="AD31" s="143"/>
      <c r="AE31" s="143"/>
      <c r="AF31" s="143"/>
      <c r="AG31" s="144"/>
      <c r="AH31" s="143"/>
      <c r="AI31" s="143"/>
      <c r="AJ31" s="143"/>
      <c r="AK31" s="143"/>
      <c r="AL31" s="144"/>
      <c r="AM31" s="143"/>
      <c r="AN31" s="110">
        <v>43821</v>
      </c>
      <c r="AO31" s="114" t="s">
        <v>97</v>
      </c>
      <c r="AP31" s="90"/>
      <c r="AQ31" s="114" t="s">
        <v>67</v>
      </c>
      <c r="AR31" s="90"/>
      <c r="AS31" s="114" t="s">
        <v>80</v>
      </c>
      <c r="AT31" s="89"/>
      <c r="AU31" s="76">
        <v>43821</v>
      </c>
      <c r="AV31" s="78">
        <v>3080</v>
      </c>
      <c r="AW31" s="114" t="s">
        <v>98</v>
      </c>
      <c r="AX31" s="115">
        <v>3580</v>
      </c>
      <c r="AY31" s="91"/>
      <c r="AZ31" s="91"/>
      <c r="BA31" s="143"/>
      <c r="BB31" s="147"/>
      <c r="BC31" s="143"/>
      <c r="BD31" s="143"/>
      <c r="BE31" s="143"/>
      <c r="BF31" s="141">
        <v>43826</v>
      </c>
      <c r="BG31" s="103">
        <v>3300</v>
      </c>
      <c r="BH31" s="145"/>
      <c r="BI31" s="145"/>
      <c r="BJ31" s="147"/>
      <c r="BK31" s="143"/>
      <c r="BL31" s="143"/>
      <c r="BM31" s="143"/>
      <c r="BN31" s="143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F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V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L31" s="145"/>
      <c r="FM31" s="145"/>
      <c r="FN31" s="145"/>
      <c r="FO31" s="145"/>
      <c r="FP31" s="145"/>
      <c r="FQ31" s="145"/>
      <c r="FR31" s="145"/>
    </row>
    <row r="32" spans="1:257" ht="120">
      <c r="A32" s="136" t="s">
        <v>213</v>
      </c>
      <c r="B32" s="136" t="s">
        <v>120</v>
      </c>
      <c r="C32" s="61" t="s">
        <v>420</v>
      </c>
      <c r="D32" s="151" t="s">
        <v>421</v>
      </c>
      <c r="E32" s="152" t="s">
        <v>422</v>
      </c>
      <c r="F32" s="154">
        <v>13661662466</v>
      </c>
      <c r="G32" s="158">
        <v>43825.416666666701</v>
      </c>
      <c r="H32" s="152" t="s">
        <v>215</v>
      </c>
      <c r="I32" s="152" t="s">
        <v>280</v>
      </c>
      <c r="J32" s="152" t="s">
        <v>423</v>
      </c>
      <c r="K32" s="152" t="s">
        <v>424</v>
      </c>
      <c r="L32" s="152" t="s">
        <v>253</v>
      </c>
      <c r="M32" s="152" t="s">
        <v>425</v>
      </c>
      <c r="N32" s="152" t="s">
        <v>145</v>
      </c>
      <c r="O32" s="152" t="s">
        <v>255</v>
      </c>
      <c r="P32" s="152" t="s">
        <v>220</v>
      </c>
      <c r="Q32" s="152" t="s">
        <v>426</v>
      </c>
      <c r="R32" s="174">
        <v>43819</v>
      </c>
      <c r="S32" s="149">
        <v>2980</v>
      </c>
      <c r="T32" s="136" t="s">
        <v>242</v>
      </c>
      <c r="U32" s="170">
        <v>3980</v>
      </c>
      <c r="V32" s="136">
        <v>1000</v>
      </c>
      <c r="W32" s="136" t="s">
        <v>427</v>
      </c>
      <c r="X32" s="164" t="s">
        <v>73</v>
      </c>
      <c r="Y32" s="164"/>
      <c r="Z32" s="164"/>
      <c r="AA32" s="164" t="s">
        <v>120</v>
      </c>
      <c r="AB32" s="164" t="s">
        <v>99</v>
      </c>
      <c r="AC32" s="90"/>
      <c r="AD32" s="91"/>
      <c r="AE32" s="91"/>
      <c r="AF32" s="91"/>
      <c r="AG32" s="91"/>
      <c r="AH32" s="90"/>
      <c r="AI32" s="90"/>
      <c r="AJ32" s="90"/>
      <c r="AK32" s="90"/>
      <c r="AL32" s="91"/>
      <c r="AM32" s="90"/>
      <c r="AN32" s="100"/>
      <c r="AO32" s="89"/>
      <c r="AP32" s="114"/>
      <c r="AQ32" s="91"/>
      <c r="AR32" s="114"/>
      <c r="AS32" s="91"/>
      <c r="AT32" s="114"/>
      <c r="AU32" s="100"/>
      <c r="AW32" s="91"/>
      <c r="AX32" s="89"/>
      <c r="AY32" s="142"/>
      <c r="AZ32" s="142"/>
      <c r="BA32" s="90"/>
      <c r="BB32" s="102"/>
      <c r="BC32" s="90"/>
      <c r="BD32" s="90"/>
      <c r="BE32" s="90"/>
      <c r="BF32" s="102"/>
      <c r="BG32" s="90"/>
      <c r="BH32" s="90"/>
      <c r="BI32" s="90"/>
      <c r="BJ32" s="128"/>
      <c r="BK32" s="90"/>
      <c r="BL32" s="129"/>
      <c r="BM32" s="129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90"/>
      <c r="DU32" s="90"/>
      <c r="DV32" s="90"/>
      <c r="DW32" s="90"/>
      <c r="DX32" s="90"/>
      <c r="DY32" s="90"/>
      <c r="DZ32" s="90"/>
      <c r="EA32" s="90"/>
      <c r="EB32" s="90"/>
      <c r="EC32" s="90"/>
      <c r="ED32" s="90"/>
      <c r="EE32" s="90"/>
      <c r="EF32" s="90"/>
      <c r="EG32" s="90"/>
      <c r="EH32" s="90"/>
      <c r="EI32" s="90"/>
      <c r="EJ32" s="90"/>
      <c r="EK32" s="90"/>
      <c r="EL32" s="90"/>
      <c r="EM32" s="90"/>
      <c r="EN32" s="90"/>
      <c r="EO32" s="90"/>
      <c r="EP32" s="90"/>
      <c r="EQ32" s="90"/>
      <c r="ER32" s="90"/>
      <c r="ES32" s="90"/>
      <c r="ET32" s="90"/>
      <c r="EU32" s="90"/>
      <c r="EV32" s="90"/>
      <c r="EW32" s="90"/>
      <c r="EX32" s="90"/>
      <c r="EY32" s="90"/>
      <c r="EZ32" s="90"/>
      <c r="FA32" s="90"/>
      <c r="FB32" s="90"/>
      <c r="FC32" s="90"/>
      <c r="FD32" s="90"/>
      <c r="FE32" s="90"/>
      <c r="FF32" s="90"/>
      <c r="FG32" s="90"/>
      <c r="FH32" s="90"/>
      <c r="FI32" s="90"/>
      <c r="FJ32" s="90"/>
      <c r="FK32" s="90"/>
      <c r="FL32" s="90"/>
      <c r="FM32" s="90"/>
      <c r="FN32" s="90"/>
      <c r="FO32" s="90"/>
      <c r="FP32" s="90"/>
      <c r="FQ32" s="90"/>
      <c r="FR32" s="90"/>
    </row>
    <row r="33" spans="1:257" ht="45">
      <c r="A33" s="136" t="s">
        <v>213</v>
      </c>
      <c r="B33" s="136" t="s">
        <v>120</v>
      </c>
      <c r="C33" s="61" t="s">
        <v>428</v>
      </c>
      <c r="D33" s="159" t="s">
        <v>429</v>
      </c>
      <c r="E33" s="152" t="s">
        <v>430</v>
      </c>
      <c r="F33" s="152">
        <v>13564339618</v>
      </c>
      <c r="G33" s="158">
        <v>43834.5625</v>
      </c>
      <c r="H33" s="152" t="s">
        <v>215</v>
      </c>
      <c r="I33" s="152" t="s">
        <v>118</v>
      </c>
      <c r="J33" s="152" t="s">
        <v>431</v>
      </c>
      <c r="K33" s="152" t="s">
        <v>227</v>
      </c>
      <c r="L33" s="152" t="s">
        <v>253</v>
      </c>
      <c r="M33" s="152" t="s">
        <v>432</v>
      </c>
      <c r="N33" s="152" t="s">
        <v>145</v>
      </c>
      <c r="O33" s="152" t="s">
        <v>433</v>
      </c>
      <c r="P33" s="152" t="s">
        <v>220</v>
      </c>
      <c r="Q33" s="152" t="s">
        <v>221</v>
      </c>
      <c r="R33" s="148">
        <v>43819</v>
      </c>
      <c r="S33" s="149">
        <v>500</v>
      </c>
      <c r="T33" s="136" t="s">
        <v>73</v>
      </c>
      <c r="U33" s="170">
        <v>2880</v>
      </c>
      <c r="V33" s="136">
        <v>2380</v>
      </c>
      <c r="W33" s="136" t="s">
        <v>434</v>
      </c>
      <c r="X33" s="164" t="s">
        <v>73</v>
      </c>
      <c r="Y33" s="164"/>
      <c r="Z33" s="164"/>
      <c r="AA33" s="164" t="s">
        <v>120</v>
      </c>
      <c r="AB33" s="164" t="s">
        <v>100</v>
      </c>
      <c r="AC33" s="90"/>
      <c r="AD33" s="91"/>
      <c r="AE33" s="91"/>
      <c r="AF33" s="91"/>
      <c r="AG33" s="91"/>
      <c r="AH33" s="90"/>
      <c r="AI33" s="90"/>
      <c r="AJ33" s="90"/>
      <c r="AK33" s="90"/>
      <c r="AL33" s="90"/>
      <c r="AM33" s="91"/>
      <c r="AN33" s="100"/>
      <c r="AO33" s="89"/>
      <c r="AP33" s="90"/>
      <c r="AQ33" s="91"/>
      <c r="AR33" s="91"/>
      <c r="AS33" s="91"/>
      <c r="AT33" s="90"/>
      <c r="AU33" s="100"/>
      <c r="AW33" s="91"/>
      <c r="AX33" s="89"/>
      <c r="AY33" s="142"/>
      <c r="AZ33" s="142"/>
      <c r="BA33" s="90"/>
      <c r="BB33" s="102"/>
      <c r="BC33" s="90"/>
      <c r="BD33" s="90"/>
      <c r="BE33" s="90"/>
      <c r="BF33" s="102"/>
      <c r="BG33" s="90"/>
      <c r="BH33" s="90"/>
      <c r="BI33" s="90"/>
      <c r="BJ33" s="102"/>
      <c r="BK33" s="90"/>
      <c r="BL33" s="91"/>
      <c r="BM33" s="91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0"/>
      <c r="DQ33" s="90"/>
      <c r="DR33" s="90"/>
      <c r="DS33" s="90"/>
      <c r="DT33" s="90"/>
      <c r="DU33" s="90"/>
      <c r="DV33" s="90"/>
      <c r="DW33" s="90"/>
      <c r="DX33" s="90"/>
      <c r="DY33" s="90"/>
      <c r="DZ33" s="90"/>
      <c r="EA33" s="90"/>
      <c r="EB33" s="90"/>
      <c r="EC33" s="90"/>
      <c r="ED33" s="90"/>
      <c r="EE33" s="90"/>
      <c r="EF33" s="90"/>
      <c r="EG33" s="90"/>
      <c r="EH33" s="90"/>
      <c r="EI33" s="90"/>
      <c r="EJ33" s="90"/>
      <c r="EK33" s="90"/>
      <c r="EL33" s="90"/>
      <c r="EM33" s="90"/>
      <c r="EN33" s="90"/>
      <c r="EO33" s="90"/>
      <c r="EP33" s="90"/>
      <c r="EQ33" s="90"/>
      <c r="ER33" s="90"/>
      <c r="ES33" s="90"/>
      <c r="ET33" s="90"/>
      <c r="EU33" s="90"/>
      <c r="EV33" s="90"/>
      <c r="EW33" s="90"/>
      <c r="EX33" s="90"/>
      <c r="EY33" s="90"/>
      <c r="EZ33" s="90"/>
      <c r="FA33" s="90"/>
      <c r="FB33" s="90"/>
      <c r="FC33" s="90"/>
      <c r="FD33" s="90"/>
      <c r="FE33" s="90"/>
      <c r="FF33" s="90"/>
      <c r="FG33" s="90"/>
      <c r="FH33" s="90"/>
      <c r="FI33" s="90"/>
      <c r="FJ33" s="90"/>
      <c r="FK33" s="90"/>
      <c r="FL33" s="90"/>
      <c r="FM33" s="90"/>
      <c r="FN33" s="90"/>
      <c r="FO33" s="90"/>
      <c r="FP33" s="90"/>
      <c r="FQ33" s="90"/>
      <c r="FR33" s="90"/>
      <c r="FS33" s="91"/>
      <c r="FT33" s="91"/>
      <c r="FU33" s="91"/>
      <c r="FV33" s="91"/>
      <c r="FW33" s="91"/>
      <c r="FX33" s="91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1"/>
      <c r="GM33" s="91"/>
      <c r="GN33" s="91"/>
      <c r="GO33" s="91"/>
      <c r="GP33" s="91"/>
      <c r="GQ33" s="91"/>
      <c r="GR33" s="91"/>
      <c r="GS33" s="91"/>
      <c r="GT33" s="91"/>
      <c r="GU33" s="91"/>
      <c r="GV33" s="91"/>
      <c r="GW33" s="91"/>
      <c r="GX33" s="91"/>
      <c r="GY33" s="91"/>
      <c r="GZ33" s="91"/>
      <c r="HA33" s="91"/>
      <c r="HB33" s="91"/>
      <c r="HC33" s="91"/>
      <c r="HD33" s="91"/>
      <c r="HE33" s="91"/>
      <c r="HF33" s="91"/>
      <c r="HG33" s="91"/>
      <c r="HH33" s="91"/>
      <c r="HI33" s="91"/>
      <c r="HJ33" s="91"/>
      <c r="HK33" s="91"/>
      <c r="HL33" s="91"/>
      <c r="HM33" s="91"/>
      <c r="HN33" s="91"/>
      <c r="HO33" s="91"/>
      <c r="HP33" s="91"/>
      <c r="HQ33" s="91"/>
      <c r="HR33" s="91"/>
      <c r="HS33" s="91"/>
      <c r="HT33" s="91"/>
      <c r="HU33" s="91"/>
      <c r="HV33" s="91"/>
      <c r="HW33" s="91"/>
      <c r="HX33" s="91"/>
      <c r="HY33" s="91"/>
      <c r="HZ33" s="91"/>
      <c r="IA33" s="91"/>
      <c r="IB33" s="91"/>
      <c r="IC33" s="91"/>
      <c r="ID33" s="91"/>
      <c r="IE33" s="91"/>
      <c r="IF33" s="91"/>
      <c r="IG33" s="91"/>
      <c r="IH33" s="91"/>
      <c r="II33" s="91"/>
      <c r="IJ33" s="91"/>
      <c r="IK33" s="91"/>
      <c r="IL33" s="91"/>
      <c r="IM33" s="91"/>
      <c r="IN33" s="91"/>
      <c r="IO33" s="91"/>
      <c r="IP33" s="91"/>
      <c r="IQ33" s="91"/>
      <c r="IR33" s="91"/>
      <c r="IS33" s="91"/>
      <c r="IT33" s="91"/>
      <c r="IU33" s="91"/>
      <c r="IV33" s="91"/>
      <c r="IW33" s="91"/>
    </row>
    <row r="34" spans="1:257" ht="30">
      <c r="A34" s="136" t="s">
        <v>213</v>
      </c>
      <c r="B34" s="136" t="s">
        <v>120</v>
      </c>
      <c r="C34" s="61" t="s">
        <v>248</v>
      </c>
      <c r="D34" s="151" t="s">
        <v>249</v>
      </c>
      <c r="E34" s="152" t="s">
        <v>250</v>
      </c>
      <c r="F34" s="152">
        <v>15618012875</v>
      </c>
      <c r="G34" s="158">
        <v>43821.5625</v>
      </c>
      <c r="H34" s="152" t="s">
        <v>215</v>
      </c>
      <c r="I34" s="152" t="s">
        <v>122</v>
      </c>
      <c r="J34" s="152" t="s">
        <v>251</v>
      </c>
      <c r="K34" s="152" t="s">
        <v>252</v>
      </c>
      <c r="L34" s="152" t="s">
        <v>253</v>
      </c>
      <c r="M34" s="152" t="s">
        <v>254</v>
      </c>
      <c r="N34" s="152" t="s">
        <v>145</v>
      </c>
      <c r="O34" s="152" t="s">
        <v>255</v>
      </c>
      <c r="P34" s="152" t="s">
        <v>220</v>
      </c>
      <c r="Q34" s="152" t="s">
        <v>221</v>
      </c>
      <c r="R34" s="165">
        <v>43821</v>
      </c>
      <c r="S34" s="149">
        <v>2980</v>
      </c>
      <c r="T34" s="136" t="s">
        <v>242</v>
      </c>
      <c r="U34" s="136">
        <v>2980</v>
      </c>
      <c r="V34" s="136">
        <v>0</v>
      </c>
      <c r="W34" s="136" t="s">
        <v>256</v>
      </c>
      <c r="X34" s="164" t="s">
        <v>242</v>
      </c>
      <c r="Y34" s="164"/>
      <c r="Z34" s="164"/>
      <c r="AA34" s="164" t="s">
        <v>120</v>
      </c>
      <c r="AB34" s="164" t="s">
        <v>99</v>
      </c>
      <c r="AC34" s="144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10">
        <v>43821</v>
      </c>
      <c r="AO34" s="114" t="s">
        <v>97</v>
      </c>
      <c r="AP34" s="91"/>
      <c r="AQ34" s="77" t="s">
        <v>178</v>
      </c>
      <c r="AR34" s="89"/>
      <c r="AS34" s="114" t="s">
        <v>80</v>
      </c>
      <c r="AT34" s="89"/>
      <c r="AU34" s="76" t="s">
        <v>73</v>
      </c>
      <c r="AV34" s="78" t="s">
        <v>73</v>
      </c>
      <c r="AW34" s="77" t="s">
        <v>73</v>
      </c>
      <c r="AX34" s="115">
        <v>2980</v>
      </c>
      <c r="AY34" s="91"/>
      <c r="AZ34" s="91"/>
      <c r="BA34" s="143"/>
      <c r="BB34" s="147"/>
      <c r="BC34" s="143"/>
      <c r="BD34" s="143"/>
      <c r="BE34" s="143"/>
      <c r="BF34" s="147"/>
      <c r="BG34" s="143"/>
      <c r="BH34" s="143"/>
      <c r="BI34" s="143"/>
      <c r="BJ34" s="147"/>
      <c r="BK34" s="143"/>
      <c r="BL34" s="143"/>
      <c r="BM34" s="143"/>
      <c r="BN34" s="145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  <c r="DB34" s="143"/>
      <c r="DC34" s="143"/>
      <c r="DD34" s="143"/>
      <c r="DE34" s="143"/>
      <c r="DF34" s="143"/>
      <c r="DG34" s="143"/>
      <c r="DH34" s="143"/>
      <c r="DI34" s="143"/>
      <c r="DJ34" s="143"/>
      <c r="DK34" s="143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3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3"/>
      <c r="EH34" s="143"/>
      <c r="EI34" s="143"/>
      <c r="EJ34" s="143"/>
      <c r="EK34" s="143"/>
      <c r="EL34" s="143"/>
      <c r="EM34" s="143"/>
      <c r="EN34" s="143"/>
      <c r="EO34" s="143"/>
      <c r="EP34" s="143"/>
      <c r="EQ34" s="143"/>
      <c r="ER34" s="143"/>
      <c r="ES34" s="143"/>
      <c r="ET34" s="143"/>
      <c r="EU34" s="143"/>
      <c r="EV34" s="143"/>
      <c r="EW34" s="143"/>
      <c r="EX34" s="143"/>
      <c r="EY34" s="143"/>
      <c r="EZ34" s="143"/>
      <c r="FA34" s="143"/>
      <c r="FB34" s="143"/>
      <c r="FC34" s="143"/>
      <c r="FD34" s="143"/>
      <c r="FE34" s="143"/>
      <c r="FF34" s="143"/>
      <c r="FG34" s="143"/>
      <c r="FH34" s="143"/>
      <c r="FI34" s="143"/>
      <c r="FJ34" s="143"/>
      <c r="FK34" s="143"/>
      <c r="FL34" s="143"/>
      <c r="FM34" s="143"/>
      <c r="FN34" s="143"/>
      <c r="FO34" s="143"/>
      <c r="FP34" s="143"/>
      <c r="FQ34" s="143"/>
      <c r="FR34" s="143"/>
    </row>
    <row r="35" spans="1:257" ht="60">
      <c r="A35" s="136"/>
      <c r="B35" s="136" t="s">
        <v>120</v>
      </c>
      <c r="C35" s="61" t="s">
        <v>435</v>
      </c>
      <c r="D35" s="151" t="s">
        <v>74</v>
      </c>
      <c r="E35" s="152" t="s">
        <v>73</v>
      </c>
      <c r="F35" s="152">
        <v>18018667505</v>
      </c>
      <c r="G35" s="158" t="s">
        <v>436</v>
      </c>
      <c r="H35" s="152" t="s">
        <v>215</v>
      </c>
      <c r="I35" s="152" t="s">
        <v>151</v>
      </c>
      <c r="J35" s="152" t="s">
        <v>437</v>
      </c>
      <c r="K35" s="152" t="s">
        <v>151</v>
      </c>
      <c r="L35" s="152" t="s">
        <v>151</v>
      </c>
      <c r="M35" s="152" t="s">
        <v>151</v>
      </c>
      <c r="N35" s="152" t="s">
        <v>151</v>
      </c>
      <c r="O35" s="152" t="s">
        <v>151</v>
      </c>
      <c r="P35" s="152" t="s">
        <v>220</v>
      </c>
      <c r="Q35" s="152" t="s">
        <v>221</v>
      </c>
      <c r="R35" s="148">
        <v>43821</v>
      </c>
      <c r="S35" s="149">
        <v>500</v>
      </c>
      <c r="T35" s="136" t="s">
        <v>73</v>
      </c>
      <c r="U35" s="170" t="s">
        <v>151</v>
      </c>
      <c r="V35" s="136" t="s">
        <v>73</v>
      </c>
      <c r="W35" s="136" t="s">
        <v>438</v>
      </c>
      <c r="X35" s="164" t="s">
        <v>76</v>
      </c>
      <c r="Y35" s="164"/>
      <c r="Z35" s="164"/>
      <c r="AA35" s="164" t="s">
        <v>120</v>
      </c>
      <c r="AB35" s="164"/>
      <c r="AC35" s="90"/>
      <c r="AD35" s="89"/>
      <c r="AE35" s="89"/>
      <c r="AF35" s="90"/>
      <c r="AG35" s="90"/>
      <c r="AH35" s="90"/>
      <c r="AI35" s="90"/>
      <c r="AJ35" s="90"/>
      <c r="AK35" s="90"/>
      <c r="AL35" s="90"/>
      <c r="AM35" s="90"/>
      <c r="AN35" s="110"/>
      <c r="AO35" s="114"/>
      <c r="AP35" s="91"/>
      <c r="AR35" s="91"/>
      <c r="AS35" s="114"/>
      <c r="AT35" s="90"/>
      <c r="AX35" s="115"/>
      <c r="AY35" s="66"/>
      <c r="AZ35" s="66"/>
      <c r="BA35" s="90"/>
      <c r="BB35" s="102"/>
      <c r="BC35" s="90"/>
      <c r="BD35" s="90"/>
      <c r="BE35" s="90"/>
      <c r="BF35" s="102"/>
      <c r="BG35" s="90"/>
      <c r="BH35" s="89"/>
      <c r="BI35" s="89"/>
      <c r="BJ35" s="102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  <c r="EN35" s="90"/>
      <c r="EO35" s="90"/>
      <c r="EP35" s="90"/>
      <c r="EQ35" s="90"/>
      <c r="ER35" s="90"/>
      <c r="ES35" s="90"/>
      <c r="ET35" s="90"/>
      <c r="EU35" s="90"/>
      <c r="EV35" s="90"/>
      <c r="EW35" s="90"/>
      <c r="EX35" s="90"/>
      <c r="EY35" s="90"/>
      <c r="EZ35" s="90"/>
      <c r="FA35" s="90"/>
      <c r="FB35" s="90"/>
      <c r="FC35" s="90"/>
      <c r="FD35" s="90"/>
      <c r="FE35" s="90"/>
      <c r="FF35" s="90"/>
      <c r="FG35" s="90"/>
      <c r="FH35" s="90"/>
      <c r="FI35" s="90"/>
      <c r="FJ35" s="90"/>
      <c r="FK35" s="90"/>
      <c r="FL35" s="90"/>
      <c r="FM35" s="90"/>
      <c r="FN35" s="90"/>
      <c r="FO35" s="90"/>
      <c r="FP35" s="90"/>
      <c r="FQ35" s="90"/>
      <c r="FR35" s="90"/>
    </row>
    <row r="36" spans="1:257" ht="60">
      <c r="A36" s="136" t="s">
        <v>213</v>
      </c>
      <c r="B36" s="136" t="s">
        <v>120</v>
      </c>
      <c r="C36" s="61" t="s">
        <v>439</v>
      </c>
      <c r="D36" s="151" t="s">
        <v>71</v>
      </c>
      <c r="E36" s="152" t="s">
        <v>73</v>
      </c>
      <c r="F36" s="152">
        <v>15221391157</v>
      </c>
      <c r="G36" s="158">
        <v>43834.395833333299</v>
      </c>
      <c r="H36" s="152" t="s">
        <v>215</v>
      </c>
      <c r="I36" s="152" t="s">
        <v>196</v>
      </c>
      <c r="J36" s="152" t="s">
        <v>440</v>
      </c>
      <c r="K36" s="152" t="s">
        <v>246</v>
      </c>
      <c r="L36" s="152" t="s">
        <v>238</v>
      </c>
      <c r="M36" s="152">
        <v>14</v>
      </c>
      <c r="N36" s="152" t="s">
        <v>145</v>
      </c>
      <c r="O36" s="152" t="s">
        <v>255</v>
      </c>
      <c r="P36" s="152" t="s">
        <v>220</v>
      </c>
      <c r="Q36" s="152" t="s">
        <v>221</v>
      </c>
      <c r="R36" s="148" t="s">
        <v>73</v>
      </c>
      <c r="S36" s="165" t="s">
        <v>73</v>
      </c>
      <c r="T36" s="165" t="s">
        <v>73</v>
      </c>
      <c r="U36" s="170" t="s">
        <v>73</v>
      </c>
      <c r="V36" s="165" t="s">
        <v>73</v>
      </c>
      <c r="W36" s="136" t="s">
        <v>441</v>
      </c>
      <c r="X36" s="164" t="s">
        <v>76</v>
      </c>
      <c r="Y36" s="164"/>
      <c r="Z36" s="164"/>
      <c r="AA36" s="164" t="s">
        <v>120</v>
      </c>
      <c r="AB36" s="164" t="s">
        <v>100</v>
      </c>
      <c r="AC36" s="90"/>
      <c r="AD36" s="101" t="s">
        <v>72</v>
      </c>
      <c r="AE36" s="61" t="s">
        <v>68</v>
      </c>
      <c r="AF36" s="141">
        <v>42746</v>
      </c>
      <c r="AG36" s="90"/>
      <c r="AH36" s="90"/>
      <c r="AI36" s="90"/>
      <c r="AJ36" s="90"/>
      <c r="AK36" s="90"/>
      <c r="AL36" s="91"/>
      <c r="AM36" s="90"/>
      <c r="AN36" s="110"/>
      <c r="AO36" s="114"/>
      <c r="AP36" s="91"/>
      <c r="AR36" s="91"/>
      <c r="AS36" s="114"/>
      <c r="AT36" s="90"/>
      <c r="AX36" s="115"/>
      <c r="AY36" s="66"/>
      <c r="AZ36" s="66"/>
      <c r="BA36" s="90"/>
      <c r="BB36" s="102"/>
      <c r="BC36" s="90"/>
      <c r="BD36" s="90"/>
      <c r="BE36" s="90"/>
      <c r="BF36" s="102"/>
      <c r="BG36" s="90"/>
      <c r="BH36" s="90"/>
      <c r="BI36" s="90"/>
      <c r="BJ36" s="102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90"/>
      <c r="DW36" s="90"/>
      <c r="DX36" s="90"/>
      <c r="DY36" s="90"/>
      <c r="DZ36" s="90"/>
      <c r="EA36" s="90"/>
      <c r="EB36" s="90"/>
      <c r="EC36" s="90"/>
      <c r="ED36" s="90"/>
      <c r="EE36" s="90"/>
      <c r="EF36" s="90"/>
      <c r="EG36" s="90"/>
      <c r="EH36" s="90"/>
      <c r="EI36" s="90"/>
      <c r="EJ36" s="90"/>
      <c r="EK36" s="90"/>
      <c r="EL36" s="90"/>
      <c r="EM36" s="90"/>
      <c r="EN36" s="90"/>
      <c r="EO36" s="90"/>
      <c r="EP36" s="90"/>
      <c r="EQ36" s="90"/>
      <c r="ER36" s="90"/>
      <c r="ES36" s="90"/>
      <c r="ET36" s="90"/>
      <c r="EU36" s="90"/>
      <c r="EV36" s="90"/>
      <c r="EW36" s="90"/>
      <c r="EX36" s="90"/>
      <c r="EY36" s="90"/>
      <c r="EZ36" s="90"/>
      <c r="FA36" s="90"/>
      <c r="FB36" s="90"/>
      <c r="FC36" s="90"/>
      <c r="FD36" s="90"/>
      <c r="FE36" s="90"/>
      <c r="FF36" s="90"/>
      <c r="FG36" s="90"/>
      <c r="FH36" s="90"/>
      <c r="FI36" s="90"/>
      <c r="FJ36" s="90"/>
      <c r="FK36" s="90"/>
      <c r="FL36" s="90"/>
      <c r="FM36" s="90"/>
      <c r="FN36" s="90"/>
      <c r="FO36" s="90"/>
      <c r="FP36" s="90"/>
      <c r="FQ36" s="90"/>
      <c r="FR36" s="90"/>
    </row>
    <row r="37" spans="1:257" ht="90">
      <c r="A37" s="136" t="s">
        <v>213</v>
      </c>
      <c r="B37" s="136" t="s">
        <v>120</v>
      </c>
      <c r="C37" s="61" t="s">
        <v>442</v>
      </c>
      <c r="D37" s="151" t="s">
        <v>443</v>
      </c>
      <c r="E37" s="152" t="s">
        <v>443</v>
      </c>
      <c r="F37" s="152">
        <v>15370119812</v>
      </c>
      <c r="G37" s="158">
        <v>43848.416666666701</v>
      </c>
      <c r="H37" s="152" t="s">
        <v>215</v>
      </c>
      <c r="I37" s="152" t="s">
        <v>290</v>
      </c>
      <c r="J37" s="152" t="s">
        <v>444</v>
      </c>
      <c r="K37" s="152" t="s">
        <v>227</v>
      </c>
      <c r="L37" s="152" t="s">
        <v>253</v>
      </c>
      <c r="M37" s="152" t="s">
        <v>292</v>
      </c>
      <c r="N37" s="152" t="s">
        <v>106</v>
      </c>
      <c r="O37" s="152" t="s">
        <v>219</v>
      </c>
      <c r="P37" s="152" t="s">
        <v>220</v>
      </c>
      <c r="Q37" s="152" t="s">
        <v>445</v>
      </c>
      <c r="R37" s="165">
        <v>43821</v>
      </c>
      <c r="S37" s="149">
        <v>500</v>
      </c>
      <c r="T37" s="136" t="s">
        <v>90</v>
      </c>
      <c r="U37" s="170" t="s">
        <v>446</v>
      </c>
      <c r="V37" s="136">
        <v>2020</v>
      </c>
      <c r="W37" s="136" t="s">
        <v>73</v>
      </c>
      <c r="X37" s="164"/>
      <c r="Y37" s="164"/>
      <c r="Z37" s="164"/>
      <c r="AA37" s="164" t="s">
        <v>120</v>
      </c>
      <c r="AB37" s="164" t="s">
        <v>102</v>
      </c>
      <c r="AC37" s="89"/>
      <c r="AD37" s="90"/>
      <c r="AE37" s="90"/>
      <c r="AF37" s="90"/>
      <c r="AG37" s="90"/>
      <c r="AH37" s="90"/>
      <c r="AI37" s="90"/>
      <c r="AJ37" s="90"/>
      <c r="AK37" s="90"/>
      <c r="AL37" s="89"/>
      <c r="AM37" s="90"/>
      <c r="AN37" s="110"/>
      <c r="AO37" s="114"/>
      <c r="AP37" s="91"/>
      <c r="AR37" s="114"/>
      <c r="AS37" s="114"/>
      <c r="AT37" s="91"/>
      <c r="AX37" s="115"/>
      <c r="AY37" s="66"/>
      <c r="AZ37" s="66"/>
      <c r="BA37" s="90"/>
      <c r="BB37" s="102"/>
      <c r="BC37" s="90"/>
      <c r="BD37" s="90"/>
      <c r="BE37" s="90"/>
      <c r="BF37" s="102"/>
      <c r="BG37" s="90"/>
      <c r="BH37" s="90"/>
      <c r="BI37" s="90"/>
      <c r="BJ37" s="102"/>
      <c r="BK37" s="90"/>
      <c r="BL37" s="91"/>
      <c r="BM37" s="91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90"/>
      <c r="DU37" s="90"/>
      <c r="DV37" s="90"/>
      <c r="DW37" s="90"/>
      <c r="DX37" s="90"/>
      <c r="DY37" s="90"/>
      <c r="DZ37" s="90"/>
      <c r="EA37" s="90"/>
      <c r="EB37" s="90"/>
      <c r="EC37" s="90"/>
      <c r="ED37" s="90"/>
      <c r="EE37" s="90"/>
      <c r="EF37" s="90"/>
      <c r="EG37" s="90"/>
      <c r="EH37" s="90"/>
      <c r="EI37" s="90"/>
      <c r="EJ37" s="90"/>
      <c r="EK37" s="90"/>
      <c r="EL37" s="90"/>
      <c r="EM37" s="90"/>
      <c r="EN37" s="90"/>
      <c r="EO37" s="90"/>
      <c r="EP37" s="90"/>
      <c r="EQ37" s="90"/>
      <c r="ER37" s="90"/>
      <c r="ES37" s="90"/>
      <c r="ET37" s="90"/>
      <c r="EU37" s="90"/>
      <c r="EV37" s="90"/>
      <c r="EW37" s="90"/>
      <c r="EX37" s="90"/>
      <c r="EY37" s="90"/>
      <c r="EZ37" s="90"/>
      <c r="FA37" s="90"/>
      <c r="FB37" s="90"/>
      <c r="FC37" s="90"/>
      <c r="FD37" s="90"/>
      <c r="FE37" s="90"/>
      <c r="FF37" s="90"/>
      <c r="FG37" s="90"/>
      <c r="FH37" s="90"/>
      <c r="FI37" s="90"/>
      <c r="FJ37" s="90"/>
      <c r="FK37" s="90"/>
      <c r="FL37" s="90"/>
      <c r="FM37" s="90"/>
      <c r="FN37" s="90"/>
      <c r="FO37" s="90"/>
      <c r="FP37" s="90"/>
      <c r="FQ37" s="90"/>
      <c r="FR37" s="90"/>
    </row>
    <row r="38" spans="1:257" ht="45">
      <c r="A38" s="184"/>
      <c r="B38" s="136" t="s">
        <v>120</v>
      </c>
      <c r="C38" s="61" t="s">
        <v>447</v>
      </c>
      <c r="D38" s="151" t="s">
        <v>207</v>
      </c>
      <c r="E38" s="152" t="s">
        <v>208</v>
      </c>
      <c r="F38" s="152">
        <v>15902145929</v>
      </c>
      <c r="G38" s="153" t="s">
        <v>356</v>
      </c>
      <c r="H38" s="154" t="s">
        <v>215</v>
      </c>
      <c r="I38" s="152" t="s">
        <v>101</v>
      </c>
      <c r="J38" s="152" t="s">
        <v>448</v>
      </c>
      <c r="K38" s="152" t="s">
        <v>227</v>
      </c>
      <c r="L38" s="152" t="s">
        <v>253</v>
      </c>
      <c r="M38" s="152">
        <v>12</v>
      </c>
      <c r="N38" s="152" t="s">
        <v>145</v>
      </c>
      <c r="O38" s="152" t="s">
        <v>255</v>
      </c>
      <c r="P38" s="152" t="s">
        <v>220</v>
      </c>
      <c r="Q38" s="152" t="s">
        <v>221</v>
      </c>
      <c r="R38" s="165">
        <v>43821</v>
      </c>
      <c r="S38" s="149">
        <v>2880</v>
      </c>
      <c r="T38" s="136" t="s">
        <v>194</v>
      </c>
      <c r="U38" s="170">
        <v>2880</v>
      </c>
      <c r="V38" s="136">
        <v>0</v>
      </c>
      <c r="W38" s="136" t="s">
        <v>449</v>
      </c>
      <c r="X38" s="164" t="s">
        <v>76</v>
      </c>
      <c r="Y38" s="169" t="s">
        <v>131</v>
      </c>
      <c r="Z38" s="169"/>
      <c r="AA38" s="164" t="s">
        <v>120</v>
      </c>
      <c r="AB38" s="164" t="s">
        <v>100</v>
      </c>
      <c r="AC38" s="90"/>
      <c r="AD38" s="90"/>
      <c r="AE38" s="90"/>
      <c r="AF38" s="90"/>
      <c r="AG38" s="91"/>
      <c r="AH38" s="90"/>
      <c r="AI38" s="90"/>
      <c r="AJ38" s="90"/>
      <c r="AK38" s="90"/>
      <c r="AL38" s="90"/>
      <c r="AM38" s="90"/>
      <c r="AN38" s="110"/>
      <c r="AO38" s="114"/>
      <c r="AP38" s="91"/>
      <c r="AR38" s="91"/>
      <c r="AS38" s="114"/>
      <c r="AT38" s="91"/>
      <c r="AX38" s="115"/>
      <c r="AY38" s="66"/>
      <c r="AZ38" s="66"/>
      <c r="BA38" s="90"/>
      <c r="BB38" s="102"/>
      <c r="BC38" s="90"/>
      <c r="BD38" s="90"/>
      <c r="BE38" s="90"/>
      <c r="BF38" s="102"/>
      <c r="BG38" s="90"/>
      <c r="BH38" s="90"/>
      <c r="BI38" s="90"/>
      <c r="BJ38" s="102"/>
      <c r="BK38" s="90"/>
      <c r="BL38" s="91"/>
      <c r="BM38" s="91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90"/>
      <c r="DU38" s="90"/>
      <c r="DV38" s="90"/>
      <c r="DW38" s="90"/>
      <c r="DX38" s="90"/>
      <c r="DY38" s="90"/>
      <c r="DZ38" s="90"/>
      <c r="EA38" s="90"/>
      <c r="EB38" s="90"/>
      <c r="EC38" s="90"/>
      <c r="ED38" s="90"/>
      <c r="EE38" s="90"/>
      <c r="EF38" s="90"/>
      <c r="EG38" s="90"/>
      <c r="EH38" s="90"/>
      <c r="EI38" s="90"/>
      <c r="EJ38" s="90"/>
      <c r="EK38" s="90"/>
      <c r="EL38" s="90"/>
      <c r="EM38" s="90"/>
      <c r="EN38" s="90"/>
      <c r="EO38" s="90"/>
      <c r="EP38" s="90"/>
      <c r="EQ38" s="90"/>
      <c r="ER38" s="90"/>
      <c r="ES38" s="90"/>
      <c r="ET38" s="90"/>
      <c r="EU38" s="90"/>
      <c r="EV38" s="90"/>
      <c r="EW38" s="90"/>
      <c r="EX38" s="90"/>
      <c r="EY38" s="90"/>
      <c r="EZ38" s="90"/>
      <c r="FA38" s="90"/>
      <c r="FB38" s="90"/>
      <c r="FC38" s="90"/>
      <c r="FD38" s="90"/>
      <c r="FE38" s="90"/>
      <c r="FF38" s="90"/>
      <c r="FG38" s="90"/>
      <c r="FH38" s="90"/>
      <c r="FI38" s="90"/>
      <c r="FJ38" s="90"/>
      <c r="FK38" s="90"/>
      <c r="FL38" s="90"/>
      <c r="FM38" s="90"/>
      <c r="FN38" s="90"/>
      <c r="FO38" s="90"/>
      <c r="FP38" s="90"/>
      <c r="FQ38" s="90"/>
      <c r="FR38" s="90"/>
    </row>
    <row r="39" spans="1:257" ht="90">
      <c r="A39" s="136" t="s">
        <v>213</v>
      </c>
      <c r="B39" s="136" t="s">
        <v>120</v>
      </c>
      <c r="C39" s="61" t="s">
        <v>287</v>
      </c>
      <c r="D39" s="151" t="s">
        <v>288</v>
      </c>
      <c r="E39" s="152" t="s">
        <v>289</v>
      </c>
      <c r="F39" s="152">
        <v>13524497723</v>
      </c>
      <c r="G39" s="158">
        <v>43827.666666666701</v>
      </c>
      <c r="H39" s="152" t="s">
        <v>215</v>
      </c>
      <c r="I39" s="152" t="s">
        <v>290</v>
      </c>
      <c r="J39" s="152" t="s">
        <v>291</v>
      </c>
      <c r="K39" s="152" t="s">
        <v>227</v>
      </c>
      <c r="L39" s="152" t="s">
        <v>253</v>
      </c>
      <c r="M39" s="152" t="s">
        <v>292</v>
      </c>
      <c r="N39" s="152" t="s">
        <v>106</v>
      </c>
      <c r="O39" s="152" t="s">
        <v>219</v>
      </c>
      <c r="P39" s="152" t="s">
        <v>220</v>
      </c>
      <c r="Q39" s="152" t="s">
        <v>221</v>
      </c>
      <c r="R39" s="148">
        <v>43822</v>
      </c>
      <c r="S39" s="149">
        <v>500</v>
      </c>
      <c r="T39" s="136" t="s">
        <v>90</v>
      </c>
      <c r="U39" s="170">
        <v>2020</v>
      </c>
      <c r="V39" s="136">
        <v>1520</v>
      </c>
      <c r="W39" s="136" t="s">
        <v>293</v>
      </c>
      <c r="X39" s="164" t="s">
        <v>224</v>
      </c>
      <c r="Y39" s="164"/>
      <c r="Z39" s="164"/>
      <c r="AA39" s="164" t="s">
        <v>120</v>
      </c>
      <c r="AB39" s="164" t="s">
        <v>102</v>
      </c>
      <c r="AC39" s="91"/>
      <c r="AD39" s="91"/>
      <c r="AE39" s="91"/>
      <c r="AF39" s="91"/>
      <c r="AG39" s="91"/>
      <c r="AH39" s="91"/>
      <c r="AI39" s="91"/>
      <c r="AJ39" s="91"/>
      <c r="AK39" s="91"/>
      <c r="AL39"/>
      <c r="AM39" s="91"/>
      <c r="AN39" s="110">
        <v>43827</v>
      </c>
      <c r="AO39" s="114" t="s">
        <v>107</v>
      </c>
      <c r="AP39" s="91"/>
      <c r="AQ39" s="77">
        <v>10</v>
      </c>
      <c r="AR39" s="91"/>
      <c r="AS39" s="114" t="s">
        <v>209</v>
      </c>
      <c r="AT39" s="91"/>
      <c r="AU39" s="76">
        <v>43827</v>
      </c>
      <c r="AV39" s="78">
        <v>1520</v>
      </c>
      <c r="AW39" s="77" t="s">
        <v>98</v>
      </c>
      <c r="AX39" s="115">
        <v>2020</v>
      </c>
      <c r="AY39" s="91"/>
      <c r="AZ39" s="91"/>
      <c r="BA39" s="91"/>
      <c r="BB39" s="102"/>
      <c r="BC39" s="91"/>
      <c r="BD39" s="91"/>
      <c r="BE39" s="91"/>
      <c r="BF39" s="102"/>
      <c r="BG39" s="91"/>
      <c r="BH39" s="91"/>
      <c r="BI39" s="91"/>
      <c r="BJ39" s="102"/>
      <c r="BK39" s="91"/>
      <c r="BL39" s="91"/>
      <c r="BM39" s="91"/>
      <c r="BN39" s="91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 s="91"/>
      <c r="FT39" s="91"/>
      <c r="FU39" s="91"/>
      <c r="FV39" s="91"/>
      <c r="FW39" s="91"/>
      <c r="FX39" s="91"/>
      <c r="FY39" s="91"/>
      <c r="FZ39" s="91"/>
      <c r="GA39" s="91"/>
      <c r="GB39" s="91"/>
      <c r="GC39" s="91"/>
      <c r="GD39" s="91"/>
      <c r="GE39" s="91"/>
      <c r="GF39" s="91"/>
      <c r="GG39" s="91"/>
      <c r="GH39" s="91"/>
      <c r="GI39" s="91"/>
      <c r="GJ39" s="91"/>
      <c r="GK39" s="91"/>
      <c r="GL39" s="91"/>
      <c r="GM39" s="91"/>
      <c r="GN39" s="91"/>
      <c r="GO39" s="91"/>
      <c r="GP39" s="91"/>
      <c r="GQ39" s="91"/>
      <c r="GR39" s="91"/>
      <c r="GS39" s="91"/>
      <c r="GT39" s="91"/>
      <c r="GU39" s="91"/>
      <c r="GV39" s="91"/>
      <c r="GW39" s="91"/>
      <c r="GX39" s="91"/>
      <c r="GY39" s="91"/>
      <c r="GZ39" s="91"/>
      <c r="HA39" s="91"/>
      <c r="HB39" s="91"/>
      <c r="HC39" s="91"/>
      <c r="HD39" s="91"/>
      <c r="HE39" s="91"/>
      <c r="HF39" s="91"/>
      <c r="HG39" s="91"/>
      <c r="HH39" s="91"/>
      <c r="HI39" s="91"/>
      <c r="HJ39" s="91"/>
      <c r="HK39" s="91"/>
      <c r="HL39" s="91"/>
      <c r="HM39" s="91"/>
      <c r="HN39" s="91"/>
      <c r="HO39" s="91"/>
      <c r="HP39" s="91"/>
      <c r="HQ39" s="91"/>
      <c r="HR39" s="91"/>
      <c r="HS39" s="91"/>
      <c r="HT39" s="91"/>
      <c r="HU39" s="91"/>
      <c r="HV39" s="91"/>
      <c r="HW39" s="91"/>
      <c r="HX39" s="91"/>
      <c r="HY39" s="91"/>
      <c r="HZ39" s="91"/>
      <c r="IA39" s="91"/>
      <c r="IB39" s="91"/>
      <c r="IC39" s="91"/>
      <c r="ID39" s="91"/>
      <c r="IE39" s="91"/>
      <c r="IF39" s="91"/>
      <c r="IG39" s="91"/>
      <c r="IH39" s="91"/>
      <c r="II39" s="91"/>
      <c r="IJ39" s="91"/>
      <c r="IK39" s="91"/>
      <c r="IL39" s="91"/>
      <c r="IM39" s="91"/>
      <c r="IN39" s="91"/>
      <c r="IO39" s="91"/>
      <c r="IP39" s="91"/>
      <c r="IQ39" s="91"/>
      <c r="IR39" s="91"/>
      <c r="IS39" s="91"/>
      <c r="IT39" s="91"/>
      <c r="IU39" s="91"/>
      <c r="IV39" s="91"/>
      <c r="IW39" s="91"/>
    </row>
    <row r="40" spans="1:257" ht="45">
      <c r="A40" s="136" t="s">
        <v>213</v>
      </c>
      <c r="B40" s="136" t="s">
        <v>120</v>
      </c>
      <c r="C40" s="61" t="s">
        <v>270</v>
      </c>
      <c r="D40" s="159" t="s">
        <v>174</v>
      </c>
      <c r="E40" s="152" t="s">
        <v>174</v>
      </c>
      <c r="F40" s="160">
        <v>19822798256</v>
      </c>
      <c r="G40" s="158">
        <v>43825.416666666701</v>
      </c>
      <c r="H40" s="152" t="s">
        <v>215</v>
      </c>
      <c r="I40" s="152" t="s">
        <v>271</v>
      </c>
      <c r="J40" s="152" t="s">
        <v>272</v>
      </c>
      <c r="K40" s="152" t="s">
        <v>246</v>
      </c>
      <c r="L40" s="152" t="s">
        <v>238</v>
      </c>
      <c r="M40" s="152">
        <v>25</v>
      </c>
      <c r="N40" s="152" t="s">
        <v>145</v>
      </c>
      <c r="O40" s="152" t="s">
        <v>273</v>
      </c>
      <c r="P40" s="152" t="s">
        <v>220</v>
      </c>
      <c r="Q40" s="152" t="s">
        <v>221</v>
      </c>
      <c r="R40" s="165" t="s">
        <v>73</v>
      </c>
      <c r="S40" s="149" t="s">
        <v>73</v>
      </c>
      <c r="T40" s="136" t="s">
        <v>73</v>
      </c>
      <c r="U40" s="170">
        <v>8000</v>
      </c>
      <c r="V40" s="136">
        <v>0</v>
      </c>
      <c r="W40" s="136" t="s">
        <v>274</v>
      </c>
      <c r="X40" s="164" t="s">
        <v>76</v>
      </c>
      <c r="Y40" s="164"/>
      <c r="Z40" s="164"/>
      <c r="AA40" s="164" t="s">
        <v>120</v>
      </c>
      <c r="AB40" s="164" t="s">
        <v>100</v>
      </c>
      <c r="AC40" s="90"/>
      <c r="AD40" s="91"/>
      <c r="AE40" s="91"/>
      <c r="AF40" s="91"/>
      <c r="AG40" s="90"/>
      <c r="AH40" s="91"/>
      <c r="AI40" s="91"/>
      <c r="AJ40" s="91"/>
      <c r="AK40" s="91"/>
      <c r="AL40" s="90"/>
      <c r="AM40" s="91"/>
      <c r="AN40" s="110">
        <v>43825</v>
      </c>
      <c r="AO40" s="114" t="s">
        <v>64</v>
      </c>
      <c r="AP40" s="114"/>
      <c r="AQ40" s="114">
        <v>10</v>
      </c>
      <c r="AR40" s="114"/>
      <c r="AS40" s="114" t="s">
        <v>116</v>
      </c>
      <c r="AT40" s="114"/>
      <c r="AU40" s="76" t="s">
        <v>73</v>
      </c>
      <c r="AV40" s="78" t="s">
        <v>73</v>
      </c>
      <c r="AW40" s="77" t="s">
        <v>73</v>
      </c>
      <c r="AX40" s="115">
        <v>4000</v>
      </c>
      <c r="AY40" s="91"/>
      <c r="AZ40" s="91"/>
      <c r="BA40" s="91"/>
      <c r="BB40" s="102"/>
      <c r="BC40" s="91"/>
      <c r="BD40" s="91"/>
      <c r="BE40" s="91"/>
      <c r="BF40" s="102"/>
      <c r="BG40"/>
      <c r="BH40" s="90"/>
      <c r="BI40" s="90"/>
      <c r="BJ40" s="102"/>
      <c r="BK40" s="91"/>
      <c r="BL40" s="90"/>
      <c r="BM40" s="90"/>
      <c r="BN4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90"/>
      <c r="DU40" s="90"/>
      <c r="DV40" s="90"/>
      <c r="DW40" s="90"/>
      <c r="DX40" s="90"/>
      <c r="DY40" s="90"/>
      <c r="DZ40" s="90"/>
      <c r="EA40" s="90"/>
      <c r="EB40" s="90"/>
      <c r="EC40" s="90"/>
      <c r="ED40" s="90"/>
      <c r="EE40" s="90"/>
      <c r="EF40" s="90"/>
      <c r="EG40" s="90"/>
      <c r="EH40" s="90"/>
      <c r="EI40" s="90"/>
      <c r="EJ40" s="90"/>
      <c r="EK40" s="90"/>
      <c r="EL40" s="90"/>
      <c r="EM40" s="90"/>
      <c r="EN40" s="90"/>
      <c r="EO40" s="90"/>
      <c r="EP40" s="90"/>
      <c r="EQ40" s="90"/>
      <c r="ER40" s="90"/>
      <c r="ES40" s="90"/>
      <c r="ET40" s="90"/>
      <c r="EU40" s="90"/>
      <c r="EV40" s="90"/>
      <c r="EW40" s="90"/>
      <c r="EX40" s="90"/>
      <c r="EY40" s="90"/>
      <c r="EZ40" s="90"/>
      <c r="FA40" s="90"/>
      <c r="FB40" s="90"/>
      <c r="FC40" s="90"/>
      <c r="FD40" s="90"/>
      <c r="FE40" s="90"/>
      <c r="FF40" s="90"/>
      <c r="FG40" s="90"/>
      <c r="FH40" s="90"/>
      <c r="FI40" s="90"/>
      <c r="FJ40" s="90"/>
      <c r="FK40" s="90"/>
      <c r="FL40" s="90"/>
      <c r="FM40" s="90"/>
      <c r="FN40" s="90"/>
      <c r="FO40" s="90"/>
      <c r="FP40" s="90"/>
      <c r="FQ40" s="90"/>
      <c r="FR40" s="90"/>
      <c r="FS40" s="89"/>
      <c r="FT40" s="89"/>
      <c r="FU40" s="89"/>
      <c r="FV40" s="89"/>
      <c r="FW40" s="89"/>
      <c r="FX40" s="89"/>
      <c r="FY40" s="89"/>
      <c r="FZ40" s="89"/>
      <c r="GA40" s="89"/>
      <c r="GB40" s="89"/>
      <c r="GC40" s="89"/>
      <c r="GD40" s="89"/>
      <c r="GE40" s="89"/>
      <c r="GF40" s="89"/>
      <c r="GG40" s="89"/>
      <c r="GH40" s="89"/>
      <c r="GI40" s="89"/>
      <c r="GJ40" s="89"/>
      <c r="GK40" s="89"/>
      <c r="GL40" s="89"/>
      <c r="GM40" s="89"/>
      <c r="GN40" s="89"/>
      <c r="GO40" s="89"/>
      <c r="GP40" s="89"/>
      <c r="GQ40" s="89"/>
      <c r="GR40" s="89"/>
      <c r="GS40" s="89"/>
      <c r="GT40" s="89"/>
      <c r="GU40" s="89"/>
      <c r="GV40" s="89"/>
      <c r="GW40" s="89"/>
      <c r="GX40" s="89"/>
      <c r="GY40" s="89"/>
      <c r="GZ40" s="89"/>
      <c r="HA40" s="89"/>
      <c r="HB40" s="89"/>
      <c r="HC40" s="89"/>
      <c r="HD40" s="89"/>
      <c r="HE40" s="89"/>
      <c r="HF40" s="89"/>
      <c r="HG40" s="89"/>
      <c r="HH40" s="89"/>
      <c r="HI40" s="89"/>
      <c r="HJ40" s="89"/>
      <c r="HK40" s="89"/>
      <c r="HL40" s="89"/>
      <c r="HM40" s="89"/>
      <c r="HN40" s="89"/>
      <c r="HO40" s="89"/>
      <c r="HP40" s="89"/>
      <c r="HQ40" s="89"/>
      <c r="HR40" s="89"/>
      <c r="HS40" s="89"/>
      <c r="HT40" s="89"/>
      <c r="HU40" s="89"/>
      <c r="HV40" s="89"/>
      <c r="HW40" s="89"/>
      <c r="HX40" s="89"/>
      <c r="HY40" s="89"/>
      <c r="HZ40" s="89"/>
      <c r="IA40" s="89"/>
      <c r="IB40" s="89"/>
      <c r="IC40" s="89"/>
      <c r="ID40" s="89"/>
      <c r="IE40" s="89"/>
      <c r="IF40" s="89"/>
      <c r="IG40" s="89"/>
      <c r="IH40" s="89"/>
      <c r="II40" s="89"/>
      <c r="IJ40" s="89"/>
      <c r="IK40" s="89"/>
      <c r="IL40" s="89"/>
      <c r="IM40" s="89"/>
      <c r="IN40" s="89"/>
      <c r="IO40" s="89"/>
      <c r="IP40" s="89"/>
      <c r="IQ40" s="89"/>
      <c r="IR40" s="89"/>
      <c r="IS40" s="89"/>
      <c r="IT40" s="89"/>
      <c r="IU40" s="89"/>
      <c r="IV40" s="89"/>
      <c r="IW40" s="89"/>
    </row>
    <row r="41" spans="1:257" ht="60">
      <c r="A41" s="136" t="s">
        <v>213</v>
      </c>
      <c r="B41" s="136" t="s">
        <v>120</v>
      </c>
      <c r="C41" s="61" t="s">
        <v>450</v>
      </c>
      <c r="D41" s="151" t="s">
        <v>451</v>
      </c>
      <c r="E41" s="160" t="s">
        <v>152</v>
      </c>
      <c r="F41" s="160">
        <v>13801686729</v>
      </c>
      <c r="G41" s="158">
        <v>43863.5625</v>
      </c>
      <c r="H41" s="152" t="s">
        <v>215</v>
      </c>
      <c r="I41" s="152" t="s">
        <v>101</v>
      </c>
      <c r="J41" s="152" t="s">
        <v>452</v>
      </c>
      <c r="K41" s="152" t="s">
        <v>227</v>
      </c>
      <c r="L41" s="152" t="s">
        <v>253</v>
      </c>
      <c r="M41" s="152" t="s">
        <v>432</v>
      </c>
      <c r="N41" s="152" t="s">
        <v>145</v>
      </c>
      <c r="O41" s="152" t="s">
        <v>106</v>
      </c>
      <c r="P41" s="152" t="s">
        <v>220</v>
      </c>
      <c r="Q41" s="152" t="s">
        <v>453</v>
      </c>
      <c r="R41" s="148">
        <v>43822</v>
      </c>
      <c r="S41" s="149">
        <v>500</v>
      </c>
      <c r="T41" s="136" t="s">
        <v>90</v>
      </c>
      <c r="U41" s="170">
        <v>2880</v>
      </c>
      <c r="V41" s="136">
        <v>2380</v>
      </c>
      <c r="W41" s="136" t="s">
        <v>454</v>
      </c>
      <c r="X41" s="164" t="s">
        <v>76</v>
      </c>
      <c r="Y41" s="164"/>
      <c r="Z41" s="164"/>
      <c r="AA41" s="164" t="s">
        <v>120</v>
      </c>
      <c r="AB41" s="164" t="s">
        <v>100</v>
      </c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102"/>
      <c r="AO41" s="90"/>
      <c r="AP41" s="90"/>
      <c r="AQ41" s="90"/>
      <c r="AR41" s="90"/>
      <c r="AS41" s="90"/>
      <c r="AT41" s="90"/>
      <c r="AX41" s="115"/>
      <c r="AY41" s="91"/>
      <c r="AZ41" s="91"/>
      <c r="BA41" s="90"/>
      <c r="BB41" s="102"/>
      <c r="BC41" s="90"/>
      <c r="BD41" s="90"/>
      <c r="BE41" s="90"/>
      <c r="BF41" s="102"/>
      <c r="BG41" s="90"/>
      <c r="BH41" s="90"/>
      <c r="BI41" s="90"/>
      <c r="BJ41" s="102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0"/>
      <c r="DQ41" s="90"/>
      <c r="DR41" s="90"/>
      <c r="DS41" s="90"/>
      <c r="DT41" s="90"/>
      <c r="DU41" s="90"/>
      <c r="DV41" s="90"/>
      <c r="DW41" s="90"/>
      <c r="DX41" s="90"/>
      <c r="DY41" s="90"/>
      <c r="DZ41" s="90"/>
      <c r="EA41" s="90"/>
      <c r="EB41" s="90"/>
      <c r="EC41" s="90"/>
      <c r="ED41" s="90"/>
      <c r="EE41" s="90"/>
      <c r="EF41" s="90"/>
      <c r="EG41" s="90"/>
      <c r="EH41" s="90"/>
      <c r="EI41" s="90"/>
      <c r="EJ41" s="90"/>
      <c r="EK41" s="90"/>
      <c r="EL41" s="90"/>
      <c r="EM41" s="90"/>
      <c r="EN41" s="90"/>
      <c r="EO41" s="90"/>
      <c r="EP41" s="90"/>
      <c r="EQ41" s="90"/>
      <c r="ER41" s="90"/>
      <c r="ES41" s="90"/>
      <c r="ET41" s="90"/>
      <c r="EU41" s="90"/>
      <c r="EV41" s="90"/>
      <c r="EW41" s="90"/>
      <c r="EX41" s="90"/>
      <c r="EY41" s="90"/>
      <c r="EZ41" s="90"/>
      <c r="FA41" s="90"/>
      <c r="FB41" s="90"/>
      <c r="FC41" s="90"/>
      <c r="FD41" s="90"/>
      <c r="FE41" s="90"/>
      <c r="FF41" s="90"/>
      <c r="FG41" s="90"/>
      <c r="FH41" s="90"/>
      <c r="FI41" s="90"/>
      <c r="FJ41" s="90"/>
      <c r="FK41" s="90"/>
      <c r="FL41" s="90"/>
      <c r="FM41" s="90"/>
      <c r="FN41" s="90"/>
      <c r="FO41" s="90"/>
      <c r="FP41" s="90"/>
      <c r="FQ41" s="90"/>
      <c r="FR41" s="90"/>
      <c r="FS41" s="91"/>
      <c r="FT41" s="91"/>
      <c r="FU41" s="91"/>
      <c r="FV41" s="91"/>
      <c r="FW41" s="91"/>
      <c r="FX41" s="91"/>
      <c r="FY41" s="91"/>
      <c r="FZ41" s="91"/>
      <c r="GA41" s="91"/>
      <c r="GB41" s="91"/>
      <c r="GC41" s="91"/>
      <c r="GD41" s="91"/>
      <c r="GE41" s="91"/>
      <c r="GF41" s="91"/>
      <c r="GG41" s="91"/>
      <c r="GH41" s="91"/>
      <c r="GI41" s="91"/>
      <c r="GJ41" s="91"/>
      <c r="GK41" s="91"/>
      <c r="GL41" s="91"/>
      <c r="GM41" s="91"/>
      <c r="GN41" s="91"/>
      <c r="GO41" s="91"/>
      <c r="GP41" s="91"/>
      <c r="GQ41" s="91"/>
      <c r="GR41" s="91"/>
      <c r="GS41" s="91"/>
      <c r="GT41" s="91"/>
      <c r="GU41" s="91"/>
      <c r="GV41" s="91"/>
      <c r="GW41" s="91"/>
      <c r="GX41" s="91"/>
      <c r="GY41" s="91"/>
      <c r="GZ41" s="91"/>
      <c r="HA41" s="91"/>
      <c r="HB41" s="91"/>
      <c r="HC41" s="91"/>
      <c r="HD41" s="91"/>
      <c r="HE41" s="91"/>
      <c r="HF41" s="91"/>
      <c r="HG41" s="91"/>
      <c r="HH41" s="91"/>
      <c r="HI41" s="91"/>
      <c r="HJ41" s="91"/>
      <c r="HK41" s="91"/>
      <c r="HL41" s="91"/>
      <c r="HM41" s="91"/>
      <c r="HN41" s="91"/>
      <c r="HO41" s="91"/>
      <c r="HP41" s="91"/>
      <c r="HQ41" s="91"/>
      <c r="HR41" s="91"/>
      <c r="HS41" s="91"/>
      <c r="HT41" s="91"/>
      <c r="HU41" s="91"/>
      <c r="HV41" s="91"/>
      <c r="HW41" s="91"/>
      <c r="HX41" s="91"/>
      <c r="HY41" s="91"/>
      <c r="HZ41" s="91"/>
      <c r="IA41" s="91"/>
      <c r="IB41" s="91"/>
      <c r="IC41" s="91"/>
      <c r="ID41" s="91"/>
      <c r="IE41" s="91"/>
      <c r="IF41" s="91"/>
      <c r="IG41" s="91"/>
      <c r="IH41" s="91"/>
      <c r="II41" s="91"/>
      <c r="IJ41" s="91"/>
      <c r="IK41" s="91"/>
      <c r="IL41" s="91"/>
      <c r="IM41" s="91"/>
      <c r="IN41" s="91"/>
      <c r="IO41" s="91"/>
      <c r="IP41" s="91"/>
      <c r="IQ41" s="91"/>
      <c r="IR41" s="91"/>
      <c r="IS41" s="91"/>
      <c r="IT41" s="91"/>
      <c r="IU41" s="91"/>
      <c r="IV41" s="91"/>
      <c r="IW41" s="91"/>
    </row>
    <row r="42" spans="1:257" ht="60">
      <c r="A42" s="136"/>
      <c r="B42" s="136" t="s">
        <v>120</v>
      </c>
      <c r="C42" s="61" t="s">
        <v>455</v>
      </c>
      <c r="D42" s="151" t="s">
        <v>155</v>
      </c>
      <c r="E42" s="152" t="s">
        <v>456</v>
      </c>
      <c r="F42" s="152" t="s">
        <v>73</v>
      </c>
      <c r="G42" s="158" t="s">
        <v>457</v>
      </c>
      <c r="H42" s="152" t="s">
        <v>215</v>
      </c>
      <c r="I42" s="152" t="s">
        <v>122</v>
      </c>
      <c r="J42" s="152" t="s">
        <v>458</v>
      </c>
      <c r="K42" s="152" t="s">
        <v>246</v>
      </c>
      <c r="L42" s="152" t="s">
        <v>253</v>
      </c>
      <c r="M42" s="152">
        <v>16</v>
      </c>
      <c r="N42" s="152" t="s">
        <v>145</v>
      </c>
      <c r="O42" s="152" t="s">
        <v>255</v>
      </c>
      <c r="P42" s="152" t="s">
        <v>220</v>
      </c>
      <c r="Q42" s="152" t="s">
        <v>221</v>
      </c>
      <c r="R42" s="165">
        <v>43822</v>
      </c>
      <c r="S42" s="149">
        <v>2480</v>
      </c>
      <c r="T42" s="136" t="s">
        <v>194</v>
      </c>
      <c r="U42" s="170">
        <v>2480</v>
      </c>
      <c r="V42" s="136">
        <v>0</v>
      </c>
      <c r="W42" s="136" t="s">
        <v>459</v>
      </c>
      <c r="X42" s="164" t="s">
        <v>76</v>
      </c>
      <c r="Y42" s="164" t="s">
        <v>131</v>
      </c>
      <c r="Z42" s="164"/>
      <c r="AA42" s="164" t="s">
        <v>120</v>
      </c>
      <c r="AB42" s="164" t="s">
        <v>99</v>
      </c>
      <c r="AC42" s="90"/>
      <c r="AD42" s="90"/>
      <c r="AE42" s="90"/>
      <c r="AF42" s="90"/>
      <c r="AG42" s="91"/>
      <c r="AH42" s="90"/>
      <c r="AI42" s="90"/>
      <c r="AJ42" s="90"/>
      <c r="AK42" s="90"/>
      <c r="AL42" s="91"/>
      <c r="AM42" s="90"/>
      <c r="AN42" s="102"/>
      <c r="AO42" s="90"/>
      <c r="AP42" s="91"/>
      <c r="AQ42" s="90"/>
      <c r="AR42" s="89"/>
      <c r="AS42" s="90"/>
      <c r="AT42" s="91"/>
      <c r="AX42" s="115"/>
      <c r="AY42" s="91"/>
      <c r="AZ42" s="91"/>
      <c r="BA42" s="90"/>
      <c r="BB42" s="102"/>
      <c r="BC42" s="90"/>
      <c r="BD42" s="90"/>
      <c r="BE42" s="90"/>
      <c r="BF42" s="102"/>
      <c r="BG42" s="90"/>
      <c r="BH42" s="90"/>
      <c r="BI42" s="90"/>
      <c r="BJ42" s="100"/>
      <c r="BK42" s="90"/>
      <c r="BL42" s="89"/>
      <c r="BM42" s="89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90"/>
      <c r="DW42" s="90"/>
      <c r="DX42" s="90"/>
      <c r="DY42" s="90"/>
      <c r="DZ42" s="90"/>
      <c r="EA42" s="90"/>
      <c r="EB42" s="90"/>
      <c r="EC42" s="90"/>
      <c r="ED42" s="90"/>
      <c r="EE42" s="90"/>
      <c r="EF42" s="90"/>
      <c r="EG42" s="90"/>
      <c r="EH42" s="90"/>
      <c r="EI42" s="90"/>
      <c r="EJ42" s="90"/>
      <c r="EK42" s="90"/>
      <c r="EL42" s="90"/>
      <c r="EM42" s="90"/>
      <c r="EN42" s="90"/>
      <c r="EO42" s="90"/>
      <c r="EP42" s="90"/>
      <c r="EQ42" s="90"/>
      <c r="ER42" s="90"/>
      <c r="ES42" s="90"/>
      <c r="ET42" s="90"/>
      <c r="EU42" s="90"/>
      <c r="EV42" s="90"/>
      <c r="EW42" s="90"/>
      <c r="EX42" s="90"/>
      <c r="EY42" s="90"/>
      <c r="EZ42" s="90"/>
      <c r="FA42" s="90"/>
      <c r="FB42" s="90"/>
      <c r="FC42" s="90"/>
      <c r="FD42" s="90"/>
      <c r="FE42" s="90"/>
      <c r="FF42" s="90"/>
      <c r="FG42" s="90"/>
      <c r="FH42" s="90"/>
      <c r="FI42" s="90"/>
      <c r="FJ42" s="90"/>
      <c r="FK42" s="90"/>
      <c r="FL42" s="90"/>
      <c r="FM42" s="90"/>
      <c r="FN42" s="90"/>
      <c r="FO42" s="90"/>
      <c r="FP42" s="90"/>
      <c r="FQ42" s="90"/>
      <c r="FR42" s="90"/>
    </row>
    <row r="43" spans="1:257" ht="75">
      <c r="A43" s="136" t="s">
        <v>213</v>
      </c>
      <c r="B43" s="136" t="s">
        <v>120</v>
      </c>
      <c r="C43" s="61" t="s">
        <v>460</v>
      </c>
      <c r="D43" s="156" t="s">
        <v>461</v>
      </c>
      <c r="E43" s="157" t="s">
        <v>462</v>
      </c>
      <c r="F43" s="157">
        <v>15000690018</v>
      </c>
      <c r="G43" s="179">
        <v>43836.416666666701</v>
      </c>
      <c r="H43" s="157" t="s">
        <v>215</v>
      </c>
      <c r="I43" s="157" t="s">
        <v>463</v>
      </c>
      <c r="J43" s="157" t="s">
        <v>464</v>
      </c>
      <c r="K43" s="157" t="s">
        <v>465</v>
      </c>
      <c r="L43" s="157" t="s">
        <v>253</v>
      </c>
      <c r="M43" s="157" t="s">
        <v>466</v>
      </c>
      <c r="N43" s="157" t="s">
        <v>145</v>
      </c>
      <c r="O43" s="157" t="s">
        <v>255</v>
      </c>
      <c r="P43" s="157" t="s">
        <v>220</v>
      </c>
      <c r="Q43" s="157" t="s">
        <v>221</v>
      </c>
      <c r="R43" s="148">
        <v>43823</v>
      </c>
      <c r="S43" s="149">
        <v>2980</v>
      </c>
      <c r="T43" s="136" t="s">
        <v>242</v>
      </c>
      <c r="U43" s="170">
        <v>2980</v>
      </c>
      <c r="V43" s="136">
        <v>0</v>
      </c>
      <c r="W43" s="136" t="s">
        <v>467</v>
      </c>
      <c r="X43" s="164" t="s">
        <v>242</v>
      </c>
      <c r="Y43" s="164" t="s">
        <v>242</v>
      </c>
      <c r="Z43" s="164" t="s">
        <v>73</v>
      </c>
      <c r="AA43" s="164" t="s">
        <v>120</v>
      </c>
      <c r="AB43" s="164" t="s">
        <v>99</v>
      </c>
      <c r="AC43" s="90"/>
      <c r="AD43" s="90"/>
      <c r="AE43" s="89"/>
      <c r="AF43" s="90"/>
      <c r="AG43" s="90"/>
      <c r="AH43" s="90"/>
      <c r="AI43" s="90"/>
      <c r="AJ43" s="90"/>
      <c r="AK43" s="90"/>
      <c r="AL43" s="90"/>
      <c r="AM43" s="90"/>
      <c r="AN43" s="91"/>
      <c r="AO43" s="89"/>
      <c r="AP43" s="90"/>
      <c r="AQ43" s="89"/>
      <c r="AR43" s="90"/>
      <c r="AS43" s="90"/>
      <c r="AT43" s="90"/>
      <c r="AX43" s="115"/>
      <c r="AY43" s="91"/>
      <c r="AZ43" s="91"/>
      <c r="BA43" s="90"/>
      <c r="BB43" s="91"/>
      <c r="BC43" s="90"/>
      <c r="BD43" s="90"/>
      <c r="BE43" s="90"/>
      <c r="BF43" s="91"/>
      <c r="BG43" s="90"/>
      <c r="BH43" s="90"/>
      <c r="BI43" s="90"/>
      <c r="BJ43" s="91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90"/>
      <c r="DU43" s="90"/>
      <c r="DV43" s="90"/>
      <c r="DW43" s="90"/>
      <c r="DX43" s="90"/>
      <c r="DY43" s="90"/>
      <c r="DZ43" s="90"/>
      <c r="EA43" s="90"/>
      <c r="EB43" s="90"/>
      <c r="EC43" s="90"/>
      <c r="ED43" s="90"/>
      <c r="EE43" s="90"/>
      <c r="EF43" s="90"/>
      <c r="EG43" s="90"/>
      <c r="EH43" s="90"/>
      <c r="EI43" s="90"/>
      <c r="EJ43" s="90"/>
      <c r="EK43" s="90"/>
      <c r="EL43" s="90"/>
      <c r="EM43" s="90"/>
      <c r="EN43" s="90"/>
      <c r="EO43" s="90"/>
      <c r="EP43" s="90"/>
      <c r="EQ43" s="90"/>
      <c r="ER43" s="90"/>
      <c r="ES43" s="90"/>
      <c r="ET43" s="90"/>
      <c r="EU43" s="90"/>
      <c r="EV43" s="90"/>
      <c r="EW43" s="90"/>
      <c r="EX43" s="90"/>
      <c r="EY43" s="90"/>
      <c r="EZ43" s="90"/>
      <c r="FA43" s="90"/>
      <c r="FB43" s="90"/>
      <c r="FC43" s="90"/>
      <c r="FD43" s="90"/>
      <c r="FE43" s="90"/>
      <c r="FF43" s="90"/>
      <c r="FG43" s="90"/>
      <c r="FH43" s="90"/>
      <c r="FI43" s="90"/>
      <c r="FJ43" s="90"/>
      <c r="FK43" s="90"/>
      <c r="FL43" s="90"/>
      <c r="FM43" s="90"/>
      <c r="FN43" s="90"/>
      <c r="FO43" s="90"/>
      <c r="FP43" s="90"/>
      <c r="FQ43" s="90"/>
      <c r="FR43" s="90"/>
    </row>
    <row r="44" spans="1:257" ht="60">
      <c r="A44" s="136"/>
      <c r="B44" s="136" t="s">
        <v>120</v>
      </c>
      <c r="C44" s="61" t="s">
        <v>468</v>
      </c>
      <c r="D44" s="156" t="s">
        <v>469</v>
      </c>
      <c r="E44" s="157" t="s">
        <v>137</v>
      </c>
      <c r="F44" s="157">
        <v>18221033195</v>
      </c>
      <c r="G44" s="179">
        <v>43836.395833333299</v>
      </c>
      <c r="H44" s="157" t="s">
        <v>215</v>
      </c>
      <c r="I44" s="157" t="s">
        <v>463</v>
      </c>
      <c r="J44" s="157" t="s">
        <v>470</v>
      </c>
      <c r="K44" s="157" t="s">
        <v>465</v>
      </c>
      <c r="L44" s="157" t="s">
        <v>253</v>
      </c>
      <c r="M44" s="157" t="s">
        <v>471</v>
      </c>
      <c r="N44" s="157" t="s">
        <v>145</v>
      </c>
      <c r="O44" s="157" t="s">
        <v>472</v>
      </c>
      <c r="P44" s="157" t="s">
        <v>220</v>
      </c>
      <c r="Q44" s="157" t="s">
        <v>473</v>
      </c>
      <c r="R44" s="165">
        <v>43823</v>
      </c>
      <c r="S44" s="149">
        <v>2980</v>
      </c>
      <c r="T44" s="136" t="s">
        <v>242</v>
      </c>
      <c r="U44" s="170">
        <v>2980</v>
      </c>
      <c r="V44" s="136">
        <v>0</v>
      </c>
      <c r="W44" s="136" t="s">
        <v>474</v>
      </c>
      <c r="X44" s="164" t="s">
        <v>76</v>
      </c>
      <c r="Y44" s="164"/>
      <c r="Z44" s="164" t="s">
        <v>73</v>
      </c>
      <c r="AA44" s="164" t="s">
        <v>120</v>
      </c>
      <c r="AB44" s="164" t="s">
        <v>99</v>
      </c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1"/>
      <c r="AO44" s="91"/>
      <c r="AP44" s="90"/>
      <c r="AQ44" s="91"/>
      <c r="AR44" s="90"/>
      <c r="AS44" s="91"/>
      <c r="AT44" s="90"/>
      <c r="AX44" s="115"/>
      <c r="AY44" s="91"/>
      <c r="AZ44" s="91"/>
      <c r="BA44" s="90"/>
      <c r="BB44" s="91"/>
      <c r="BC44" s="90"/>
      <c r="BD44" s="90"/>
      <c r="BE44" s="90"/>
      <c r="BF44" s="91"/>
      <c r="BG44" s="90"/>
      <c r="BH44" s="90"/>
      <c r="BI44" s="90"/>
      <c r="BJ44" s="91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0"/>
      <c r="DU44" s="90"/>
      <c r="DV44" s="90"/>
      <c r="DW44" s="90"/>
      <c r="DX44" s="90"/>
      <c r="DY44" s="90"/>
      <c r="DZ44" s="90"/>
      <c r="EA44" s="90"/>
      <c r="EB44" s="90"/>
      <c r="EC44" s="90"/>
      <c r="ED44" s="90"/>
      <c r="EE44" s="90"/>
      <c r="EF44" s="90"/>
      <c r="EG44" s="90"/>
      <c r="EH44" s="90"/>
      <c r="EI44" s="90"/>
      <c r="EJ44" s="90"/>
      <c r="EK44" s="90"/>
      <c r="EL44" s="90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90"/>
      <c r="FC44" s="90"/>
      <c r="FD44" s="90"/>
      <c r="FE44" s="90"/>
      <c r="FF44" s="90"/>
      <c r="FG44" s="90"/>
      <c r="FH44" s="90"/>
      <c r="FI44" s="90"/>
      <c r="FJ44" s="90"/>
      <c r="FK44" s="90"/>
      <c r="FL44" s="90"/>
      <c r="FM44" s="90"/>
      <c r="FN44" s="90"/>
      <c r="FO44" s="90"/>
      <c r="FP44" s="90"/>
      <c r="FQ44" s="90"/>
      <c r="FR44" s="90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91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91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91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  <c r="ID44" s="91"/>
      <c r="IE44" s="91"/>
      <c r="IF44" s="91"/>
      <c r="IG44" s="91"/>
      <c r="IH44" s="91"/>
      <c r="II44" s="91"/>
      <c r="IJ44" s="91"/>
      <c r="IK44" s="91"/>
      <c r="IL44" s="91"/>
      <c r="IM44" s="91"/>
      <c r="IN44" s="91"/>
      <c r="IO44" s="91"/>
      <c r="IP44" s="91"/>
      <c r="IQ44" s="91"/>
      <c r="IR44" s="91"/>
      <c r="IS44" s="91"/>
      <c r="IT44" s="91"/>
      <c r="IU44" s="91"/>
      <c r="IV44" s="91"/>
      <c r="IW44" s="91"/>
    </row>
    <row r="45" spans="1:257" ht="30">
      <c r="A45" s="136" t="s">
        <v>213</v>
      </c>
      <c r="B45" s="136" t="s">
        <v>120</v>
      </c>
      <c r="C45" s="61" t="s">
        <v>475</v>
      </c>
      <c r="D45" s="156" t="s">
        <v>139</v>
      </c>
      <c r="E45" s="69" t="s">
        <v>140</v>
      </c>
      <c r="F45" s="69">
        <v>13764947805</v>
      </c>
      <c r="G45" s="179">
        <v>43835.416666666701</v>
      </c>
      <c r="H45" s="157" t="s">
        <v>215</v>
      </c>
      <c r="I45" s="157" t="s">
        <v>103</v>
      </c>
      <c r="J45" s="157" t="s">
        <v>476</v>
      </c>
      <c r="K45" s="157" t="s">
        <v>477</v>
      </c>
      <c r="L45" s="157" t="s">
        <v>327</v>
      </c>
      <c r="M45" s="157" t="s">
        <v>478</v>
      </c>
      <c r="N45" s="157" t="s">
        <v>145</v>
      </c>
      <c r="O45" s="157" t="s">
        <v>345</v>
      </c>
      <c r="P45" s="157" t="s">
        <v>220</v>
      </c>
      <c r="Q45" s="157" t="s">
        <v>479</v>
      </c>
      <c r="R45" s="165">
        <v>43823</v>
      </c>
      <c r="S45" s="149">
        <v>3500</v>
      </c>
      <c r="T45" s="136"/>
      <c r="U45" s="170"/>
      <c r="V45" s="136"/>
      <c r="W45" s="136"/>
      <c r="X45" s="164" t="s">
        <v>76</v>
      </c>
      <c r="Y45" s="164"/>
      <c r="Z45" s="164" t="s">
        <v>73</v>
      </c>
      <c r="AA45" s="164" t="s">
        <v>120</v>
      </c>
      <c r="AB45" s="164" t="s">
        <v>99</v>
      </c>
      <c r="AC45" s="90"/>
      <c r="AD45" s="91"/>
      <c r="AE45" s="91"/>
      <c r="AF45" s="91"/>
      <c r="AG45" s="90"/>
      <c r="AH45" s="90"/>
      <c r="AI45" s="90"/>
      <c r="AJ45" s="90"/>
      <c r="AK45" s="90"/>
      <c r="AL45" s="90"/>
      <c r="AM45" s="90"/>
      <c r="AN45" s="91"/>
      <c r="AO45" s="91"/>
      <c r="AP45" s="90"/>
      <c r="AQ45" s="91"/>
      <c r="AR45" s="90"/>
      <c r="AS45" s="91"/>
      <c r="AT45" s="90"/>
      <c r="AX45" s="115"/>
      <c r="AY45" s="91"/>
      <c r="AZ45" s="91"/>
      <c r="BA45" s="90"/>
      <c r="BB45" s="91"/>
      <c r="BC45" s="90"/>
      <c r="BD45" s="90"/>
      <c r="BE45" s="90"/>
      <c r="BF45" s="91"/>
      <c r="BG45" s="90"/>
      <c r="BH45" s="90"/>
      <c r="BI45" s="90"/>
      <c r="BJ45" s="91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90"/>
      <c r="DU45" s="90"/>
      <c r="DV45" s="90"/>
      <c r="DW45" s="90"/>
      <c r="DX45" s="90"/>
      <c r="DY45" s="90"/>
      <c r="DZ45" s="90"/>
      <c r="EA45" s="90"/>
      <c r="EB45" s="90"/>
      <c r="EC45" s="90"/>
      <c r="ED45" s="90"/>
      <c r="EE45" s="90"/>
      <c r="EF45" s="90"/>
      <c r="EG45" s="90"/>
      <c r="EH45" s="90"/>
      <c r="EI45" s="90"/>
      <c r="EJ45" s="90"/>
      <c r="EK45" s="90"/>
      <c r="EL45" s="90"/>
      <c r="EM45" s="90"/>
      <c r="EN45" s="90"/>
      <c r="EO45" s="90"/>
      <c r="EP45" s="90"/>
      <c r="EQ45" s="90"/>
      <c r="ER45" s="90"/>
      <c r="ES45" s="90"/>
      <c r="ET45" s="90"/>
      <c r="EU45" s="90"/>
      <c r="EV45" s="90"/>
      <c r="EW45" s="90"/>
      <c r="EX45" s="90"/>
      <c r="EY45" s="90"/>
      <c r="EZ45" s="90"/>
      <c r="FA45" s="90"/>
      <c r="FB45" s="90"/>
      <c r="FC45" s="90"/>
      <c r="FD45" s="90"/>
      <c r="FE45" s="90"/>
      <c r="FF45" s="90"/>
      <c r="FG45" s="90"/>
      <c r="FH45" s="90"/>
      <c r="FI45" s="90"/>
      <c r="FJ45" s="90"/>
      <c r="FK45" s="90"/>
      <c r="FL45" s="90"/>
      <c r="FM45" s="90"/>
      <c r="FN45" s="90"/>
      <c r="FO45" s="90"/>
      <c r="FP45" s="90"/>
      <c r="FQ45" s="90"/>
      <c r="FR45" s="90"/>
    </row>
    <row r="46" spans="1:257" ht="45">
      <c r="A46" s="136" t="s">
        <v>213</v>
      </c>
      <c r="B46" s="136" t="s">
        <v>120</v>
      </c>
      <c r="C46" s="61" t="s">
        <v>480</v>
      </c>
      <c r="D46" s="156" t="s">
        <v>133</v>
      </c>
      <c r="E46" s="157" t="s">
        <v>134</v>
      </c>
      <c r="F46" s="157">
        <v>13641935971</v>
      </c>
      <c r="G46" s="179">
        <v>43834.5625</v>
      </c>
      <c r="H46" s="157" t="s">
        <v>215</v>
      </c>
      <c r="I46" s="157" t="s">
        <v>324</v>
      </c>
      <c r="J46" s="157" t="s">
        <v>481</v>
      </c>
      <c r="K46" s="157" t="s">
        <v>482</v>
      </c>
      <c r="L46" s="157" t="s">
        <v>327</v>
      </c>
      <c r="M46" s="157" t="s">
        <v>483</v>
      </c>
      <c r="N46" s="157" t="s">
        <v>145</v>
      </c>
      <c r="O46" s="157" t="s">
        <v>347</v>
      </c>
      <c r="P46" s="157" t="s">
        <v>220</v>
      </c>
      <c r="Q46" s="157" t="s">
        <v>221</v>
      </c>
      <c r="R46" s="165">
        <v>43823</v>
      </c>
      <c r="S46" s="149">
        <v>500</v>
      </c>
      <c r="T46" s="136" t="s">
        <v>92</v>
      </c>
      <c r="U46" s="170">
        <v>3312</v>
      </c>
      <c r="V46" s="136">
        <v>2812</v>
      </c>
      <c r="W46" s="136" t="s">
        <v>484</v>
      </c>
      <c r="X46" s="164" t="s">
        <v>76</v>
      </c>
      <c r="Y46" s="164"/>
      <c r="Z46" s="164" t="s">
        <v>73</v>
      </c>
      <c r="AA46" s="164" t="s">
        <v>120</v>
      </c>
      <c r="AB46" s="164" t="s">
        <v>99</v>
      </c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91"/>
      <c r="AP46" s="90"/>
      <c r="AQ46" s="91"/>
      <c r="AR46" s="91"/>
      <c r="AS46" s="91"/>
      <c r="AT46" s="90"/>
      <c r="AX46" s="115"/>
      <c r="AY46" s="91"/>
      <c r="AZ46" s="91"/>
      <c r="BA46" s="90"/>
      <c r="BB46" s="91"/>
      <c r="BC46" s="90"/>
      <c r="BD46" s="90"/>
      <c r="BE46" s="90"/>
      <c r="BF46" s="91"/>
      <c r="BG46" s="90"/>
      <c r="BH46" s="90"/>
      <c r="BI46" s="90"/>
      <c r="BJ46" s="91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0"/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90"/>
      <c r="DU46" s="90"/>
      <c r="DV46" s="90"/>
      <c r="DW46" s="90"/>
      <c r="DX46" s="90"/>
      <c r="DY46" s="90"/>
      <c r="DZ46" s="90"/>
      <c r="EA46" s="90"/>
      <c r="EB46" s="90"/>
      <c r="EC46" s="90"/>
      <c r="ED46" s="90"/>
      <c r="EE46" s="90"/>
      <c r="EF46" s="90"/>
      <c r="EG46" s="90"/>
      <c r="EH46" s="90"/>
      <c r="EI46" s="90"/>
      <c r="EJ46" s="90"/>
      <c r="EK46" s="90"/>
      <c r="EL46" s="90"/>
      <c r="EM46" s="90"/>
      <c r="EN46" s="90"/>
      <c r="EO46" s="90"/>
      <c r="EP46" s="90"/>
      <c r="EQ46" s="90"/>
      <c r="ER46" s="90"/>
      <c r="ES46" s="90"/>
      <c r="ET46" s="90"/>
      <c r="EU46" s="90"/>
      <c r="EV46" s="90"/>
      <c r="EW46" s="90"/>
      <c r="EX46" s="90"/>
      <c r="EY46" s="90"/>
      <c r="EZ46" s="90"/>
      <c r="FA46" s="90"/>
      <c r="FB46" s="90"/>
      <c r="FC46" s="90"/>
      <c r="FD46" s="90"/>
      <c r="FE46" s="90"/>
      <c r="FF46" s="90"/>
      <c r="FG46" s="90"/>
      <c r="FH46" s="90"/>
      <c r="FI46" s="90"/>
      <c r="FJ46" s="90"/>
      <c r="FK46" s="90"/>
      <c r="FL46" s="90"/>
      <c r="FM46" s="90"/>
      <c r="FN46" s="90"/>
      <c r="FO46" s="90"/>
      <c r="FP46" s="90"/>
      <c r="FQ46" s="90"/>
      <c r="FR46" s="90"/>
      <c r="FS46" s="91"/>
      <c r="FT46" s="91"/>
      <c r="FU46" s="91"/>
      <c r="FV46" s="91"/>
      <c r="FW46" s="91"/>
      <c r="FX46" s="91"/>
      <c r="FY46" s="91"/>
      <c r="FZ46" s="91"/>
      <c r="GA46" s="91"/>
      <c r="GB46" s="91"/>
      <c r="GC46" s="91"/>
      <c r="GD46" s="91"/>
      <c r="GE46" s="91"/>
      <c r="GF46" s="91"/>
      <c r="GG46" s="91"/>
      <c r="GH46" s="91"/>
      <c r="GI46" s="91"/>
      <c r="GJ46" s="91"/>
      <c r="GK46" s="91"/>
      <c r="GL46" s="91"/>
      <c r="GM46" s="91"/>
      <c r="GN46" s="91"/>
      <c r="GO46" s="91"/>
      <c r="GP46" s="91"/>
      <c r="GQ46" s="91"/>
      <c r="GR46" s="91"/>
      <c r="GS46" s="91"/>
      <c r="GT46" s="91"/>
      <c r="GU46" s="91"/>
      <c r="GV46" s="91"/>
      <c r="GW46" s="91"/>
      <c r="GX46" s="91"/>
      <c r="GY46" s="91"/>
      <c r="GZ46" s="91"/>
      <c r="HA46" s="91"/>
      <c r="HB46" s="91"/>
      <c r="HC46" s="91"/>
      <c r="HD46" s="91"/>
      <c r="HE46" s="91"/>
      <c r="HF46" s="91"/>
      <c r="HG46" s="91"/>
      <c r="HH46" s="91"/>
      <c r="HI46" s="91"/>
      <c r="HJ46" s="91"/>
      <c r="HK46" s="91"/>
      <c r="HL46" s="91"/>
      <c r="HM46" s="91"/>
      <c r="HN46" s="91"/>
      <c r="HO46" s="91"/>
      <c r="HP46" s="91"/>
      <c r="HQ46" s="91"/>
      <c r="HR46" s="91"/>
      <c r="HS46" s="91"/>
      <c r="HT46" s="91"/>
      <c r="HU46" s="91"/>
      <c r="HV46" s="91"/>
      <c r="HW46" s="91"/>
      <c r="HX46" s="91"/>
      <c r="HY46" s="91"/>
      <c r="HZ46" s="91"/>
      <c r="IA46" s="91"/>
      <c r="IB46" s="91"/>
      <c r="IC46" s="91"/>
      <c r="ID46" s="91"/>
      <c r="IE46" s="91"/>
      <c r="IF46" s="91"/>
      <c r="IG46" s="91"/>
      <c r="IH46" s="91"/>
      <c r="II46" s="91"/>
      <c r="IJ46" s="91"/>
      <c r="IK46" s="91"/>
      <c r="IL46" s="91"/>
      <c r="IM46" s="91"/>
      <c r="IN46" s="91"/>
      <c r="IO46" s="91"/>
      <c r="IP46" s="91"/>
      <c r="IQ46" s="91"/>
      <c r="IR46" s="91"/>
      <c r="IS46" s="91"/>
      <c r="IT46" s="91"/>
      <c r="IU46" s="91"/>
      <c r="IV46" s="91"/>
      <c r="IW46" s="91"/>
    </row>
    <row r="47" spans="1:257" ht="75">
      <c r="A47" s="136" t="s">
        <v>213</v>
      </c>
      <c r="B47" s="136" t="s">
        <v>120</v>
      </c>
      <c r="C47" s="61" t="s">
        <v>485</v>
      </c>
      <c r="D47" s="156" t="s">
        <v>486</v>
      </c>
      <c r="E47" s="178" t="s">
        <v>487</v>
      </c>
      <c r="F47" s="157">
        <v>13564303414</v>
      </c>
      <c r="G47" s="179">
        <v>43883.416666666701</v>
      </c>
      <c r="H47" s="157" t="s">
        <v>215</v>
      </c>
      <c r="I47" s="157" t="s">
        <v>101</v>
      </c>
      <c r="J47" s="157" t="s">
        <v>488</v>
      </c>
      <c r="K47" s="157" t="s">
        <v>482</v>
      </c>
      <c r="L47" s="157" t="s">
        <v>327</v>
      </c>
      <c r="M47" s="157">
        <v>12</v>
      </c>
      <c r="N47" s="157" t="s">
        <v>145</v>
      </c>
      <c r="O47" s="157" t="s">
        <v>255</v>
      </c>
      <c r="P47" s="157" t="s">
        <v>220</v>
      </c>
      <c r="Q47" s="157" t="s">
        <v>221</v>
      </c>
      <c r="R47" s="165">
        <v>43824</v>
      </c>
      <c r="S47" s="149">
        <v>500</v>
      </c>
      <c r="T47" s="136" t="s">
        <v>92</v>
      </c>
      <c r="U47" s="170">
        <v>2880</v>
      </c>
      <c r="V47" s="136">
        <v>2380</v>
      </c>
      <c r="W47" s="175" t="s">
        <v>489</v>
      </c>
      <c r="X47" s="164" t="s">
        <v>64</v>
      </c>
      <c r="Y47" s="164"/>
      <c r="Z47" s="164" t="s">
        <v>73</v>
      </c>
      <c r="AA47" s="164" t="s">
        <v>120</v>
      </c>
      <c r="AB47" s="164" t="s">
        <v>100</v>
      </c>
      <c r="AC47" s="90"/>
      <c r="AD47" s="90"/>
      <c r="AE47" s="90"/>
      <c r="AF47" s="90"/>
      <c r="AG47" s="89"/>
      <c r="AH47" s="90"/>
      <c r="AI47" s="90"/>
      <c r="AJ47" s="90"/>
      <c r="AK47" s="90"/>
      <c r="AL47" s="90"/>
      <c r="AM47" s="90"/>
      <c r="AN47" s="89"/>
      <c r="AO47" s="91"/>
      <c r="AP47" s="89"/>
      <c r="AQ47" s="91"/>
      <c r="AR47" s="89"/>
      <c r="AS47" s="91"/>
      <c r="AT47" s="89"/>
      <c r="AX47" s="115"/>
      <c r="AY47" s="91"/>
      <c r="AZ47" s="91"/>
      <c r="BA47" s="90"/>
      <c r="BB47" s="89"/>
      <c r="BC47" s="90"/>
      <c r="BD47" s="90"/>
      <c r="BE47" s="90"/>
      <c r="BF47" s="89"/>
      <c r="BG47" s="90"/>
      <c r="BH47" s="90"/>
      <c r="BI47" s="90"/>
      <c r="BJ47" s="91"/>
      <c r="BK47" s="90"/>
      <c r="BL47" s="89"/>
      <c r="BM47" s="89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90"/>
      <c r="DU47" s="90"/>
      <c r="DV47" s="90"/>
      <c r="DW47" s="90"/>
      <c r="DX47" s="90"/>
      <c r="DY47" s="90"/>
      <c r="DZ47" s="90"/>
      <c r="EA47" s="90"/>
      <c r="EB47" s="90"/>
      <c r="EC47" s="90"/>
      <c r="ED47" s="90"/>
      <c r="EE47" s="90"/>
      <c r="EF47" s="90"/>
      <c r="EG47" s="90"/>
      <c r="EH47" s="90"/>
      <c r="EI47" s="90"/>
      <c r="EJ47" s="90"/>
      <c r="EK47" s="90"/>
      <c r="EL47" s="90"/>
      <c r="EM47" s="90"/>
      <c r="EN47" s="90"/>
      <c r="EO47" s="90"/>
      <c r="EP47" s="90"/>
      <c r="EQ47" s="90"/>
      <c r="ER47" s="90"/>
      <c r="ES47" s="90"/>
      <c r="ET47" s="90"/>
      <c r="EU47" s="90"/>
      <c r="EV47" s="90"/>
      <c r="EW47" s="90"/>
      <c r="EX47" s="90"/>
      <c r="EY47" s="90"/>
      <c r="EZ47" s="90"/>
      <c r="FA47" s="90"/>
      <c r="FB47" s="90"/>
      <c r="FC47" s="90"/>
      <c r="FD47" s="90"/>
      <c r="FE47" s="90"/>
      <c r="FF47" s="90"/>
      <c r="FG47" s="90"/>
      <c r="FH47" s="90"/>
      <c r="FI47" s="90"/>
      <c r="FJ47" s="90"/>
      <c r="FK47" s="90"/>
      <c r="FL47" s="90"/>
      <c r="FM47" s="90"/>
      <c r="FN47" s="90"/>
      <c r="FO47" s="90"/>
      <c r="FP47" s="90"/>
      <c r="FQ47" s="90"/>
      <c r="FR47" s="90"/>
      <c r="FS47" s="89"/>
      <c r="FT47" s="89"/>
      <c r="FU47" s="89"/>
      <c r="FV47" s="89"/>
      <c r="FW47" s="89"/>
      <c r="FX47" s="89"/>
      <c r="FY47" s="89"/>
      <c r="FZ47" s="89"/>
      <c r="GA47" s="89"/>
      <c r="GB47" s="89"/>
      <c r="GC47" s="89"/>
      <c r="GD47" s="89"/>
      <c r="GE47" s="89"/>
      <c r="GF47" s="89"/>
      <c r="GG47" s="89"/>
      <c r="GH47" s="89"/>
      <c r="GI47" s="89"/>
      <c r="GJ47" s="89"/>
      <c r="GK47" s="89"/>
      <c r="GL47" s="89"/>
      <c r="GM47" s="89"/>
      <c r="GN47" s="89"/>
      <c r="GO47" s="89"/>
      <c r="GP47" s="89"/>
      <c r="GQ47" s="89"/>
      <c r="GR47" s="89"/>
      <c r="GS47" s="89"/>
      <c r="GT47" s="89"/>
      <c r="GU47" s="89"/>
      <c r="GV47" s="89"/>
      <c r="GW47" s="89"/>
      <c r="GX47" s="89"/>
      <c r="GY47" s="89"/>
      <c r="GZ47" s="89"/>
      <c r="HA47" s="89"/>
      <c r="HB47" s="89"/>
      <c r="HC47" s="89"/>
      <c r="HD47" s="89"/>
      <c r="HE47" s="89"/>
      <c r="HF47" s="89"/>
      <c r="HG47" s="89"/>
      <c r="HH47" s="89"/>
      <c r="HI47" s="89"/>
      <c r="HJ47" s="89"/>
      <c r="HK47" s="89"/>
      <c r="HL47" s="89"/>
      <c r="HM47" s="89"/>
      <c r="HN47" s="89"/>
      <c r="HO47" s="89"/>
      <c r="HP47" s="89"/>
      <c r="HQ47" s="89"/>
      <c r="HR47" s="89"/>
      <c r="HS47" s="89"/>
      <c r="HT47" s="89"/>
      <c r="HU47" s="89"/>
      <c r="HV47" s="89"/>
      <c r="HW47" s="89"/>
      <c r="HX47" s="89"/>
      <c r="HY47" s="89"/>
      <c r="HZ47" s="89"/>
      <c r="IA47" s="89"/>
      <c r="IB47" s="89"/>
      <c r="IC47" s="89"/>
      <c r="ID47" s="89"/>
      <c r="IE47" s="89"/>
      <c r="IF47" s="89"/>
      <c r="IG47" s="89"/>
      <c r="IH47" s="89"/>
      <c r="II47" s="89"/>
      <c r="IJ47" s="89"/>
      <c r="IK47" s="89"/>
      <c r="IL47" s="89"/>
      <c r="IM47" s="89"/>
      <c r="IN47" s="89"/>
      <c r="IO47" s="89"/>
      <c r="IP47" s="89"/>
      <c r="IQ47" s="89"/>
      <c r="IR47" s="89"/>
      <c r="IS47" s="89"/>
      <c r="IT47" s="89"/>
      <c r="IU47" s="89"/>
      <c r="IV47" s="89"/>
      <c r="IW47" s="89"/>
    </row>
    <row r="48" spans="1:257" ht="30">
      <c r="A48" s="136" t="s">
        <v>213</v>
      </c>
      <c r="B48" s="136" t="s">
        <v>120</v>
      </c>
      <c r="C48" s="61" t="s">
        <v>490</v>
      </c>
      <c r="D48" s="156" t="s">
        <v>491</v>
      </c>
      <c r="E48" s="178" t="s">
        <v>491</v>
      </c>
      <c r="F48" s="157">
        <v>18616351660</v>
      </c>
      <c r="G48" s="179">
        <v>43832.416666666701</v>
      </c>
      <c r="H48" s="157" t="s">
        <v>215</v>
      </c>
      <c r="I48" s="157" t="s">
        <v>290</v>
      </c>
      <c r="J48" s="157" t="s">
        <v>492</v>
      </c>
      <c r="K48" s="157" t="s">
        <v>227</v>
      </c>
      <c r="L48" s="157" t="s">
        <v>327</v>
      </c>
      <c r="M48" s="157" t="s">
        <v>493</v>
      </c>
      <c r="N48" s="157" t="s">
        <v>106</v>
      </c>
      <c r="O48" s="157" t="s">
        <v>219</v>
      </c>
      <c r="P48" s="157" t="s">
        <v>220</v>
      </c>
      <c r="Q48" s="157" t="s">
        <v>221</v>
      </c>
      <c r="R48" s="165">
        <v>43824</v>
      </c>
      <c r="S48" s="149">
        <v>500</v>
      </c>
      <c r="T48" s="136" t="s">
        <v>90</v>
      </c>
      <c r="U48" s="170">
        <v>4020</v>
      </c>
      <c r="V48" s="136">
        <v>3520</v>
      </c>
      <c r="W48" s="175" t="s">
        <v>494</v>
      </c>
      <c r="X48" s="164" t="s">
        <v>63</v>
      </c>
      <c r="Y48" s="164"/>
      <c r="Z48" s="164" t="s">
        <v>73</v>
      </c>
      <c r="AA48" s="164" t="s">
        <v>120</v>
      </c>
      <c r="AB48" s="164" t="s">
        <v>99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139"/>
      <c r="AQ48" s="90"/>
      <c r="AR48"/>
      <c r="AS48" s="90"/>
      <c r="AT48"/>
      <c r="AX48" s="115"/>
      <c r="AY48" s="142"/>
      <c r="AZ48" s="142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</row>
    <row r="49" spans="1:16384" ht="105">
      <c r="A49" s="136" t="s">
        <v>213</v>
      </c>
      <c r="B49" s="136" t="s">
        <v>120</v>
      </c>
      <c r="C49" s="61" t="s">
        <v>495</v>
      </c>
      <c r="D49" s="156" t="s">
        <v>77</v>
      </c>
      <c r="E49" s="157" t="s">
        <v>69</v>
      </c>
      <c r="F49" s="157">
        <v>13816395610</v>
      </c>
      <c r="G49" s="179">
        <v>43835.5625</v>
      </c>
      <c r="H49" s="157" t="s">
        <v>215</v>
      </c>
      <c r="I49" s="157" t="s">
        <v>101</v>
      </c>
      <c r="J49" s="157" t="s">
        <v>496</v>
      </c>
      <c r="K49" s="157" t="s">
        <v>227</v>
      </c>
      <c r="L49" s="157" t="s">
        <v>327</v>
      </c>
      <c r="M49" s="157">
        <v>12</v>
      </c>
      <c r="N49" s="157" t="s">
        <v>145</v>
      </c>
      <c r="O49" s="157" t="s">
        <v>255</v>
      </c>
      <c r="P49" s="157" t="s">
        <v>220</v>
      </c>
      <c r="Q49" s="157" t="s">
        <v>221</v>
      </c>
      <c r="R49" s="165" t="s">
        <v>73</v>
      </c>
      <c r="S49" s="149">
        <v>699</v>
      </c>
      <c r="T49" s="136" t="s">
        <v>73</v>
      </c>
      <c r="U49" s="170">
        <v>2880</v>
      </c>
      <c r="V49" s="136">
        <v>2181</v>
      </c>
      <c r="W49" s="175" t="s">
        <v>497</v>
      </c>
      <c r="X49" s="164" t="s">
        <v>76</v>
      </c>
      <c r="Y49" s="164"/>
      <c r="Z49" s="164" t="s">
        <v>73</v>
      </c>
      <c r="AA49" s="164" t="s">
        <v>120</v>
      </c>
      <c r="AB49" s="164" t="s">
        <v>100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s="90"/>
      <c r="AR49"/>
      <c r="AS49" s="90"/>
      <c r="AT49"/>
      <c r="AX49" s="115"/>
      <c r="AY49" s="142"/>
      <c r="AZ49" s="142"/>
      <c r="BA49"/>
      <c r="BB49"/>
      <c r="BC49"/>
      <c r="BD49"/>
      <c r="BE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</row>
    <row r="50" spans="1:16384" ht="30">
      <c r="A50" s="136" t="s">
        <v>213</v>
      </c>
      <c r="B50" s="136" t="s">
        <v>120</v>
      </c>
      <c r="C50" s="61" t="s">
        <v>498</v>
      </c>
      <c r="D50" s="156" t="s">
        <v>499</v>
      </c>
      <c r="E50" s="178" t="s">
        <v>500</v>
      </c>
      <c r="F50" s="157">
        <v>15601895753</v>
      </c>
      <c r="G50" s="179">
        <v>43866.520833333299</v>
      </c>
      <c r="H50" s="157" t="s">
        <v>215</v>
      </c>
      <c r="I50" s="157" t="s">
        <v>125</v>
      </c>
      <c r="J50" s="157" t="s">
        <v>501</v>
      </c>
      <c r="K50" s="157" t="s">
        <v>502</v>
      </c>
      <c r="L50" s="157" t="s">
        <v>327</v>
      </c>
      <c r="M50" s="157" t="s">
        <v>268</v>
      </c>
      <c r="N50" s="157" t="s">
        <v>145</v>
      </c>
      <c r="O50" s="157" t="s">
        <v>240</v>
      </c>
      <c r="P50" s="157" t="s">
        <v>220</v>
      </c>
      <c r="Q50" s="157" t="s">
        <v>221</v>
      </c>
      <c r="R50" s="165">
        <v>43824</v>
      </c>
      <c r="S50" s="149">
        <v>3680</v>
      </c>
      <c r="T50" s="136" t="s">
        <v>242</v>
      </c>
      <c r="U50" s="170">
        <v>3680</v>
      </c>
      <c r="V50" s="136">
        <v>0</v>
      </c>
      <c r="W50" s="175" t="s">
        <v>503</v>
      </c>
      <c r="X50" s="164" t="s">
        <v>504</v>
      </c>
      <c r="Y50" s="164" t="s">
        <v>504</v>
      </c>
      <c r="Z50" s="164" t="s">
        <v>73</v>
      </c>
      <c r="AA50" s="164" t="s">
        <v>120</v>
      </c>
      <c r="AB50" s="164" t="s">
        <v>99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s="90"/>
      <c r="AR50"/>
      <c r="AS50" s="90"/>
      <c r="AT50"/>
      <c r="AX50" s="115"/>
      <c r="AY50" s="142"/>
      <c r="AZ50" s="142"/>
      <c r="BA50"/>
      <c r="BB50" s="89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</row>
    <row r="51" spans="1:16384" ht="45">
      <c r="A51" s="136"/>
      <c r="B51" s="136" t="s">
        <v>62</v>
      </c>
      <c r="C51" s="61" t="s">
        <v>261</v>
      </c>
      <c r="D51" s="156" t="s">
        <v>84</v>
      </c>
      <c r="E51" s="178" t="s">
        <v>85</v>
      </c>
      <c r="F51" s="157">
        <v>18018671749</v>
      </c>
      <c r="G51" s="179"/>
      <c r="H51" s="157" t="s">
        <v>215</v>
      </c>
      <c r="I51" s="157" t="s">
        <v>103</v>
      </c>
      <c r="J51" s="157"/>
      <c r="K51" s="157"/>
      <c r="L51" s="157"/>
      <c r="M51" s="157"/>
      <c r="N51" s="157"/>
      <c r="O51" s="157"/>
      <c r="P51" s="157"/>
      <c r="Q51" s="157"/>
      <c r="R51" s="165">
        <v>43409</v>
      </c>
      <c r="S51" s="149">
        <v>500</v>
      </c>
      <c r="T51" s="136" t="s">
        <v>92</v>
      </c>
      <c r="U51" s="136"/>
      <c r="V51" s="136">
        <v>2480</v>
      </c>
      <c r="W51" s="186"/>
      <c r="X51" s="164" t="s">
        <v>76</v>
      </c>
      <c r="Y51" s="164"/>
      <c r="Z51" s="164" t="s">
        <v>100</v>
      </c>
      <c r="AA51" s="164"/>
      <c r="AB51" s="164" t="s">
        <v>100</v>
      </c>
      <c r="AC51" s="145"/>
      <c r="AD51" s="142" t="s">
        <v>197</v>
      </c>
      <c r="AE51" s="142" t="s">
        <v>75</v>
      </c>
      <c r="AF51" s="142">
        <v>43008</v>
      </c>
      <c r="AG51" s="90"/>
      <c r="AH51" s="91"/>
      <c r="AI51" s="91"/>
      <c r="AJ51" s="91"/>
      <c r="AK51" s="143"/>
      <c r="AL51" s="90"/>
      <c r="AM51" s="90"/>
      <c r="AN51" s="110">
        <v>43824</v>
      </c>
      <c r="AO51" s="114" t="s">
        <v>64</v>
      </c>
      <c r="AP51" s="114"/>
      <c r="AQ51" s="114">
        <v>10</v>
      </c>
      <c r="AR51" s="114"/>
      <c r="AS51" s="114" t="s">
        <v>130</v>
      </c>
      <c r="AT51" s="114"/>
      <c r="AU51" s="76">
        <v>43824</v>
      </c>
      <c r="AV51" s="78">
        <v>1924.5</v>
      </c>
      <c r="AW51" s="77" t="s">
        <v>262</v>
      </c>
      <c r="AX51" s="115">
        <v>2424.5</v>
      </c>
      <c r="AY51" s="91"/>
      <c r="AZ51" s="91"/>
      <c r="BA51" s="143"/>
      <c r="BB51" s="121"/>
      <c r="BC51" s="143"/>
      <c r="BD51" s="143"/>
      <c r="BE51" s="143"/>
      <c r="BF51" s="143"/>
      <c r="BG51" s="143"/>
      <c r="BH51" s="90"/>
      <c r="BI51" s="90"/>
      <c r="BJ51" s="128"/>
      <c r="BK51" s="143"/>
      <c r="BL51" s="129"/>
      <c r="BM51" s="129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91"/>
      <c r="GO51" s="91"/>
      <c r="GP51" s="91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91"/>
      <c r="HB51" s="91"/>
      <c r="HC51" s="91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91"/>
      <c r="HO51" s="91"/>
      <c r="HP51" s="91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91"/>
      <c r="IB51" s="91"/>
      <c r="IC51" s="91"/>
      <c r="ID51" s="91"/>
      <c r="IE51" s="91"/>
      <c r="IF51" s="91"/>
      <c r="IG51" s="91"/>
      <c r="IH51" s="91"/>
      <c r="II51" s="91"/>
      <c r="IJ51" s="91"/>
      <c r="IK51" s="91"/>
      <c r="IL51" s="91"/>
      <c r="IM51" s="91"/>
      <c r="IN51" s="91"/>
      <c r="IO51" s="91"/>
      <c r="IP51" s="91"/>
      <c r="IQ51" s="91"/>
      <c r="IR51" s="91"/>
      <c r="IS51" s="91"/>
      <c r="IT51" s="91"/>
      <c r="IU51" s="91"/>
      <c r="IV51" s="91"/>
      <c r="IW51" s="91"/>
    </row>
    <row r="52" spans="1:16384" ht="30">
      <c r="A52" s="136"/>
      <c r="B52" s="136" t="s">
        <v>63</v>
      </c>
      <c r="C52" s="61" t="s">
        <v>505</v>
      </c>
      <c r="D52" s="156" t="s">
        <v>343</v>
      </c>
      <c r="E52" s="178" t="s">
        <v>506</v>
      </c>
      <c r="F52" s="157">
        <v>15800921760</v>
      </c>
      <c r="G52" s="179" t="s">
        <v>151</v>
      </c>
      <c r="H52" s="157" t="s">
        <v>215</v>
      </c>
      <c r="I52" s="157" t="s">
        <v>351</v>
      </c>
      <c r="J52" s="157" t="s">
        <v>507</v>
      </c>
      <c r="K52" s="157" t="s">
        <v>143</v>
      </c>
      <c r="L52" s="157" t="s">
        <v>144</v>
      </c>
      <c r="M52" s="157">
        <v>13</v>
      </c>
      <c r="N52" s="157" t="s">
        <v>145</v>
      </c>
      <c r="O52" s="157" t="s">
        <v>146</v>
      </c>
      <c r="P52" s="157" t="s">
        <v>147</v>
      </c>
      <c r="Q52" s="157"/>
      <c r="R52" s="165">
        <v>43737</v>
      </c>
      <c r="S52" s="149">
        <v>2980</v>
      </c>
      <c r="T52" s="136" t="s">
        <v>132</v>
      </c>
      <c r="U52" s="136"/>
      <c r="V52" s="136" t="s">
        <v>73</v>
      </c>
      <c r="W52" s="175"/>
      <c r="X52" s="164" t="s">
        <v>81</v>
      </c>
      <c r="Y52" s="164" t="s">
        <v>81</v>
      </c>
      <c r="Z52" s="164"/>
      <c r="AA52" s="164" t="s">
        <v>120</v>
      </c>
      <c r="AB52" s="164" t="s">
        <v>99</v>
      </c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87"/>
      <c r="AO52" s="139"/>
      <c r="AP52" s="139"/>
      <c r="AQ52" s="114"/>
      <c r="AR52" s="139"/>
      <c r="AS52" s="114"/>
      <c r="AT52" s="139"/>
      <c r="AX52" s="115"/>
      <c r="AY52" s="142"/>
      <c r="AZ52" s="142"/>
      <c r="BA52" s="135"/>
      <c r="BB52" s="135"/>
      <c r="BC52" s="189"/>
      <c r="BD52" s="135"/>
      <c r="BE52" s="135"/>
      <c r="BF52" s="138"/>
      <c r="BG52" s="134"/>
      <c r="BH52" s="103"/>
      <c r="BI52" s="103"/>
      <c r="BJ52" s="190"/>
      <c r="BK52" s="191"/>
      <c r="BL52" s="192"/>
      <c r="BM52" s="192"/>
      <c r="BN52" s="103"/>
      <c r="BO52" s="103"/>
      <c r="BP52" s="103"/>
      <c r="BQ52" s="103"/>
      <c r="BR52" s="103"/>
      <c r="BS52" s="103"/>
      <c r="BT52" s="103"/>
      <c r="BU52" s="103"/>
      <c r="BV52" s="103"/>
      <c r="BW52" s="103"/>
      <c r="BX52" s="103"/>
      <c r="BY52" s="103"/>
      <c r="BZ52" s="103"/>
      <c r="CA52" s="103"/>
      <c r="CB52" s="103"/>
      <c r="CC52" s="103"/>
      <c r="CD52" s="103"/>
      <c r="CE52" s="103"/>
      <c r="CF52" s="103"/>
      <c r="CG52" s="103"/>
      <c r="CH52" s="103"/>
      <c r="CI52" s="103"/>
      <c r="CJ52" s="103"/>
      <c r="CK52" s="103"/>
      <c r="CL52" s="103"/>
      <c r="CM52" s="103"/>
      <c r="CN52" s="103"/>
      <c r="CO52" s="103"/>
      <c r="CP52" s="103"/>
      <c r="CQ52" s="103"/>
      <c r="CR52" s="103"/>
      <c r="CS52" s="103"/>
      <c r="CT52" s="103"/>
      <c r="CU52" s="103"/>
      <c r="CV52" s="103"/>
      <c r="CW52" s="103"/>
      <c r="CX52" s="103"/>
      <c r="CY52" s="103"/>
      <c r="CZ52" s="103"/>
      <c r="DA52" s="103"/>
      <c r="DB52" s="103"/>
      <c r="DC52" s="103"/>
      <c r="DD52" s="103"/>
      <c r="DE52" s="103"/>
      <c r="DF52" s="103"/>
      <c r="DG52" s="103"/>
      <c r="DH52" s="103"/>
      <c r="DI52" s="103"/>
      <c r="DJ52" s="103"/>
      <c r="DK52" s="103"/>
      <c r="DL52" s="103"/>
      <c r="DM52" s="103"/>
      <c r="DN52" s="103"/>
      <c r="DO52" s="103"/>
      <c r="DP52" s="103"/>
      <c r="DQ52" s="103"/>
      <c r="DR52" s="103"/>
      <c r="DS52" s="103"/>
      <c r="DT52" s="103"/>
      <c r="DU52" s="103"/>
      <c r="DV52" s="103"/>
      <c r="DW52" s="103"/>
      <c r="DX52" s="103"/>
      <c r="DY52" s="103"/>
      <c r="DZ52" s="103"/>
      <c r="EA52" s="103"/>
      <c r="EB52" s="103"/>
      <c r="EC52" s="103"/>
      <c r="ED52" s="103"/>
      <c r="EE52" s="103"/>
      <c r="EF52" s="103"/>
      <c r="EG52" s="103"/>
      <c r="EH52" s="103"/>
      <c r="EI52" s="103"/>
      <c r="EJ52" s="103"/>
      <c r="EK52" s="103"/>
      <c r="EL52" s="103"/>
      <c r="EM52" s="103"/>
      <c r="EN52" s="103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3"/>
      <c r="FO52" s="103"/>
      <c r="FP52" s="103"/>
      <c r="FQ52" s="103"/>
      <c r="FR52" s="103"/>
      <c r="FS52" s="103"/>
      <c r="FT52" s="103"/>
      <c r="FU52" s="103"/>
      <c r="FV52" s="103"/>
      <c r="FW52" s="103"/>
      <c r="FX52" s="103"/>
      <c r="FY52" s="103"/>
      <c r="FZ52" s="103"/>
      <c r="GA52" s="103"/>
      <c r="GB52" s="103"/>
      <c r="GC52" s="103"/>
      <c r="GD52" s="103"/>
      <c r="GE52" s="103"/>
      <c r="GF52" s="103"/>
      <c r="GG52" s="103"/>
      <c r="GH52" s="103"/>
      <c r="GI52" s="103"/>
      <c r="GJ52" s="103"/>
      <c r="GK52" s="103"/>
      <c r="GL52" s="103"/>
      <c r="GM52" s="103"/>
      <c r="GN52" s="103"/>
      <c r="GO52" s="103"/>
      <c r="GP52" s="103"/>
      <c r="GQ52" s="103"/>
      <c r="GR52" s="103"/>
      <c r="GS52" s="103"/>
      <c r="GT52" s="103"/>
      <c r="GU52" s="103"/>
      <c r="GV52" s="103"/>
      <c r="GW52" s="103"/>
      <c r="GX52" s="103"/>
      <c r="GY52" s="103"/>
      <c r="GZ52" s="103"/>
      <c r="HA52" s="103"/>
      <c r="HB52" s="103"/>
      <c r="HC52" s="103"/>
      <c r="HD52" s="103"/>
      <c r="HE52" s="103"/>
      <c r="HF52" s="103"/>
      <c r="HG52" s="103"/>
      <c r="HH52" s="103"/>
      <c r="HI52" s="103"/>
      <c r="HJ52" s="103"/>
      <c r="HK52" s="103"/>
      <c r="HL52" s="103"/>
      <c r="HM52" s="103"/>
      <c r="HN52" s="103"/>
      <c r="HO52" s="103"/>
      <c r="HP52" s="103"/>
      <c r="HQ52" s="103"/>
      <c r="HR52" s="103"/>
      <c r="HS52" s="103"/>
      <c r="HT52" s="103"/>
      <c r="HU52" s="103"/>
      <c r="HV52" s="103"/>
      <c r="HW52" s="103"/>
      <c r="HX52" s="103"/>
      <c r="HY52" s="103"/>
      <c r="HZ52" s="103"/>
      <c r="IA52" s="103"/>
      <c r="IB52" s="103"/>
      <c r="IC52" s="103"/>
      <c r="ID52" s="103"/>
      <c r="IE52" s="103"/>
      <c r="IF52" s="103"/>
      <c r="IG52" s="103"/>
      <c r="IH52" s="103"/>
      <c r="II52" s="103"/>
      <c r="IJ52" s="103"/>
      <c r="IK52" s="103"/>
      <c r="IL52" s="103"/>
      <c r="IM52" s="103"/>
      <c r="IN52" s="103"/>
      <c r="IO52" s="103"/>
      <c r="IP52" s="103"/>
      <c r="IQ52" s="103"/>
      <c r="IR52" s="103"/>
      <c r="IS52" s="103"/>
      <c r="IT52" s="103"/>
      <c r="IU52" s="103"/>
      <c r="IV52" s="103"/>
      <c r="IW52" s="103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  <c r="XFD52"/>
    </row>
    <row r="53" spans="1:16384" ht="30">
      <c r="A53" s="136"/>
      <c r="B53" s="136" t="s">
        <v>63</v>
      </c>
      <c r="C53" s="61" t="s">
        <v>508</v>
      </c>
      <c r="D53" s="156" t="s">
        <v>349</v>
      </c>
      <c r="E53" s="178" t="s">
        <v>350</v>
      </c>
      <c r="F53" s="157">
        <v>13761750895</v>
      </c>
      <c r="G53" s="179" t="s">
        <v>158</v>
      </c>
      <c r="H53" s="157" t="s">
        <v>215</v>
      </c>
      <c r="I53" s="157" t="s">
        <v>181</v>
      </c>
      <c r="J53" s="157"/>
      <c r="K53" s="157"/>
      <c r="L53" s="157"/>
      <c r="M53" s="157"/>
      <c r="N53" s="157"/>
      <c r="O53" s="157"/>
      <c r="P53" s="157"/>
      <c r="Q53" s="157"/>
      <c r="R53" s="165">
        <v>43728</v>
      </c>
      <c r="S53" s="149">
        <v>500</v>
      </c>
      <c r="T53" s="136" t="s">
        <v>98</v>
      </c>
      <c r="U53" s="136"/>
      <c r="V53" s="136" t="s">
        <v>73</v>
      </c>
      <c r="W53" s="175"/>
      <c r="X53" s="164" t="s">
        <v>170</v>
      </c>
      <c r="Y53" s="164" t="s">
        <v>148</v>
      </c>
      <c r="Z53" s="164" t="s">
        <v>73</v>
      </c>
      <c r="AA53" s="164" t="s">
        <v>61</v>
      </c>
      <c r="AB53" s="164" t="s">
        <v>99</v>
      </c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87"/>
      <c r="AO53" s="139"/>
      <c r="AP53" s="139"/>
      <c r="AQ53" s="114"/>
      <c r="AR53" s="139"/>
      <c r="AS53" s="114"/>
      <c r="AT53" s="139"/>
      <c r="AX53" s="115"/>
      <c r="AY53" s="142"/>
      <c r="AZ53" s="142"/>
      <c r="BA53" s="135"/>
      <c r="BB53" s="135"/>
      <c r="BC53" s="189"/>
      <c r="BD53" s="135"/>
      <c r="BE53" s="135"/>
      <c r="BF53" s="138"/>
      <c r="BG53" s="134"/>
      <c r="BH53" s="103"/>
      <c r="BI53" s="103"/>
      <c r="BJ53" s="190"/>
      <c r="BK53" s="191"/>
      <c r="BL53" s="192"/>
      <c r="BM53" s="192"/>
      <c r="BN53" s="103"/>
      <c r="BO53" s="103"/>
      <c r="BP53" s="103"/>
      <c r="BQ53" s="103"/>
      <c r="BR53" s="103"/>
      <c r="BS53" s="103"/>
      <c r="BT53" s="103"/>
      <c r="BU53" s="103"/>
      <c r="BV53" s="103"/>
      <c r="BW53" s="103"/>
      <c r="BX53" s="103"/>
      <c r="BY53" s="103"/>
      <c r="BZ53" s="103"/>
      <c r="CA53" s="103"/>
      <c r="CB53" s="103"/>
      <c r="CC53" s="103"/>
      <c r="CD53" s="103"/>
      <c r="CE53" s="103"/>
      <c r="CF53" s="103"/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  <c r="CU53" s="103"/>
      <c r="CV53" s="103"/>
      <c r="CW53" s="103"/>
      <c r="CX53" s="103"/>
      <c r="CY53" s="103"/>
      <c r="CZ53" s="103"/>
      <c r="DA53" s="103"/>
      <c r="DB53" s="103"/>
      <c r="DC53" s="103"/>
      <c r="DD53" s="103"/>
      <c r="DE53" s="103"/>
      <c r="DF53" s="103"/>
      <c r="DG53" s="103"/>
      <c r="DH53" s="103"/>
      <c r="DI53" s="103"/>
      <c r="DJ53" s="103"/>
      <c r="DK53" s="103"/>
      <c r="DL53" s="103"/>
      <c r="DM53" s="103"/>
      <c r="DN53" s="103"/>
      <c r="DO53" s="103"/>
      <c r="DP53" s="103"/>
      <c r="DQ53" s="103"/>
      <c r="DR53" s="103"/>
      <c r="DS53" s="103"/>
      <c r="DT53" s="103"/>
      <c r="DU53" s="103"/>
      <c r="DV53" s="103"/>
      <c r="DW53" s="103"/>
      <c r="DX53" s="103"/>
      <c r="DY53" s="103"/>
      <c r="DZ53" s="103"/>
      <c r="EA53" s="103"/>
      <c r="EB53" s="103"/>
      <c r="EC53" s="103"/>
      <c r="ED53" s="103"/>
      <c r="EE53" s="103"/>
      <c r="EF53" s="103"/>
      <c r="EG53" s="103"/>
      <c r="EH53" s="103"/>
      <c r="EI53" s="103"/>
      <c r="EJ53" s="103"/>
      <c r="EK53" s="103"/>
      <c r="EL53" s="103"/>
      <c r="EM53" s="103"/>
      <c r="EN53" s="103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3"/>
      <c r="FO53" s="103"/>
      <c r="FP53" s="103"/>
      <c r="FQ53" s="103"/>
      <c r="FR53" s="103"/>
      <c r="FS53" s="103"/>
      <c r="FT53" s="103"/>
      <c r="FU53" s="103"/>
      <c r="FV53" s="103"/>
      <c r="FW53" s="103"/>
      <c r="FX53" s="103"/>
      <c r="FY53" s="103"/>
      <c r="FZ53" s="103"/>
      <c r="GA53" s="103"/>
      <c r="GB53" s="103"/>
      <c r="GC53" s="103"/>
      <c r="GD53" s="103"/>
      <c r="GE53" s="103"/>
      <c r="GF53" s="103"/>
      <c r="GG53" s="103"/>
      <c r="GH53" s="103"/>
      <c r="GI53" s="103"/>
      <c r="GJ53" s="103"/>
      <c r="GK53" s="103"/>
      <c r="GL53" s="103"/>
      <c r="GM53" s="103"/>
      <c r="GN53" s="103"/>
      <c r="GO53" s="103"/>
      <c r="GP53" s="103"/>
      <c r="GQ53" s="103"/>
      <c r="GR53" s="103"/>
      <c r="GS53" s="103"/>
      <c r="GT53" s="103"/>
      <c r="GU53" s="103"/>
      <c r="GV53" s="103"/>
      <c r="GW53" s="103"/>
      <c r="GX53" s="103"/>
      <c r="GY53" s="103"/>
      <c r="GZ53" s="103"/>
      <c r="HA53" s="103"/>
      <c r="HB53" s="103"/>
      <c r="HC53" s="103"/>
      <c r="HD53" s="103"/>
      <c r="HE53" s="103"/>
      <c r="HF53" s="103"/>
      <c r="HG53" s="103"/>
      <c r="HH53" s="103"/>
      <c r="HI53" s="103"/>
      <c r="HJ53" s="103"/>
      <c r="HK53" s="103"/>
      <c r="HL53" s="103"/>
      <c r="HM53" s="103"/>
      <c r="HN53" s="103"/>
      <c r="HO53" s="103"/>
      <c r="HP53" s="103"/>
      <c r="HQ53" s="103"/>
      <c r="HR53" s="103"/>
      <c r="HS53" s="103"/>
      <c r="HT53" s="103"/>
      <c r="HU53" s="103"/>
      <c r="HV53" s="103"/>
      <c r="HW53" s="103"/>
      <c r="HX53" s="103"/>
      <c r="HY53" s="103"/>
      <c r="HZ53" s="103"/>
      <c r="IA53" s="103"/>
      <c r="IB53" s="103"/>
      <c r="IC53" s="103"/>
      <c r="ID53" s="103"/>
      <c r="IE53" s="103"/>
      <c r="IF53" s="103"/>
      <c r="IG53" s="103"/>
      <c r="IH53" s="103"/>
      <c r="II53" s="103"/>
      <c r="IJ53" s="103"/>
      <c r="IK53" s="103"/>
      <c r="IL53" s="103"/>
      <c r="IM53" s="103"/>
      <c r="IN53" s="103"/>
      <c r="IO53" s="103"/>
      <c r="IP53" s="103"/>
      <c r="IQ53" s="103"/>
      <c r="IR53" s="103"/>
      <c r="IS53" s="103"/>
      <c r="IT53" s="103"/>
      <c r="IU53" s="103"/>
      <c r="IV53" s="103"/>
      <c r="IW53" s="10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pans="1:16384" ht="45">
      <c r="A54" s="136"/>
      <c r="B54" s="136" t="s">
        <v>63</v>
      </c>
      <c r="C54" s="61" t="s">
        <v>509</v>
      </c>
      <c r="D54" s="156" t="s">
        <v>195</v>
      </c>
      <c r="E54" s="178" t="s">
        <v>195</v>
      </c>
      <c r="F54" s="157">
        <v>13816598567</v>
      </c>
      <c r="G54" s="179" t="s">
        <v>151</v>
      </c>
      <c r="H54" s="157" t="s">
        <v>215</v>
      </c>
      <c r="I54" s="157" t="s">
        <v>101</v>
      </c>
      <c r="J54" s="157" t="s">
        <v>510</v>
      </c>
      <c r="K54" s="157" t="s">
        <v>346</v>
      </c>
      <c r="L54" s="157" t="s">
        <v>327</v>
      </c>
      <c r="M54" s="157">
        <v>20</v>
      </c>
      <c r="N54" s="157" t="s">
        <v>145</v>
      </c>
      <c r="O54" s="157" t="s">
        <v>255</v>
      </c>
      <c r="P54" s="157" t="s">
        <v>147</v>
      </c>
      <c r="Q54" s="157" t="s">
        <v>221</v>
      </c>
      <c r="R54" s="165">
        <v>43790</v>
      </c>
      <c r="S54" s="149">
        <v>2880</v>
      </c>
      <c r="T54" s="136" t="s">
        <v>194</v>
      </c>
      <c r="U54" s="136">
        <v>2880</v>
      </c>
      <c r="V54" s="136">
        <v>0</v>
      </c>
      <c r="W54" s="175" t="s">
        <v>511</v>
      </c>
      <c r="X54" s="164" t="s">
        <v>76</v>
      </c>
      <c r="Y54" s="164" t="s">
        <v>131</v>
      </c>
      <c r="Z54" s="164"/>
      <c r="AA54" s="164" t="s">
        <v>120</v>
      </c>
      <c r="AB54" s="164" t="s">
        <v>99</v>
      </c>
      <c r="AC54" s="103"/>
      <c r="AD54" s="103" t="s">
        <v>512</v>
      </c>
      <c r="AE54" s="103" t="s">
        <v>75</v>
      </c>
      <c r="AF54" s="103" t="s">
        <v>513</v>
      </c>
      <c r="AG54" s="103"/>
      <c r="AH54" s="103"/>
      <c r="AI54" s="103"/>
      <c r="AJ54" s="103"/>
      <c r="AK54" s="103"/>
      <c r="AL54" s="103"/>
      <c r="AM54" s="103"/>
      <c r="AN54" s="187"/>
      <c r="AO54" s="139"/>
      <c r="AP54" s="139"/>
      <c r="AQ54" s="114"/>
      <c r="AR54" s="139"/>
      <c r="AS54" s="114"/>
      <c r="AT54" s="139"/>
      <c r="AX54" s="115"/>
      <c r="AY54" s="142"/>
      <c r="AZ54" s="142"/>
      <c r="BA54" s="135"/>
      <c r="BB54" s="135"/>
      <c r="BC54" s="189"/>
      <c r="BD54" s="135"/>
      <c r="BE54" s="135"/>
      <c r="BF54" s="138"/>
      <c r="BG54" s="134"/>
      <c r="BH54" s="103"/>
      <c r="BI54" s="103"/>
      <c r="BJ54" s="190"/>
      <c r="BK54" s="191"/>
      <c r="BL54" s="192"/>
      <c r="BM54" s="192"/>
      <c r="BN54" s="103"/>
      <c r="BO54" s="103"/>
      <c r="BP54" s="103"/>
      <c r="BQ54" s="103"/>
      <c r="BR54" s="103"/>
      <c r="BS54" s="103"/>
      <c r="BT54" s="103"/>
      <c r="BU54" s="103"/>
      <c r="BV54" s="103"/>
      <c r="BW54" s="103"/>
      <c r="BX54" s="103"/>
      <c r="BY54" s="103"/>
      <c r="BZ54" s="103"/>
      <c r="CA54" s="103"/>
      <c r="CB54" s="103"/>
      <c r="CC54" s="103"/>
      <c r="CD54" s="103"/>
      <c r="CE54" s="103"/>
      <c r="CF54" s="103"/>
      <c r="CG54" s="103"/>
      <c r="CH54" s="103"/>
      <c r="CI54" s="103"/>
      <c r="CJ54" s="103"/>
      <c r="CK54" s="103"/>
      <c r="CL54" s="103"/>
      <c r="CM54" s="103"/>
      <c r="CN54" s="103"/>
      <c r="CO54" s="103"/>
      <c r="CP54" s="103"/>
      <c r="CQ54" s="103"/>
      <c r="CR54" s="103"/>
      <c r="CS54" s="103"/>
      <c r="CT54" s="103"/>
      <c r="CU54" s="103"/>
      <c r="CV54" s="103"/>
      <c r="CW54" s="103"/>
      <c r="CX54" s="103"/>
      <c r="CY54" s="103"/>
      <c r="CZ54" s="103"/>
      <c r="DA54" s="103"/>
      <c r="DB54" s="103"/>
      <c r="DC54" s="103"/>
      <c r="DD54" s="103"/>
      <c r="DE54" s="103"/>
      <c r="DF54" s="103"/>
      <c r="DG54" s="103"/>
      <c r="DH54" s="103"/>
      <c r="DI54" s="103"/>
      <c r="DJ54" s="103"/>
      <c r="DK54" s="103"/>
      <c r="DL54" s="103"/>
      <c r="DM54" s="103"/>
      <c r="DN54" s="103"/>
      <c r="DO54" s="103"/>
      <c r="DP54" s="103"/>
      <c r="DQ54" s="103"/>
      <c r="DR54" s="103"/>
      <c r="DS54" s="103"/>
      <c r="DT54" s="103"/>
      <c r="DU54" s="103"/>
      <c r="DV54" s="103"/>
      <c r="DW54" s="103"/>
      <c r="DX54" s="103"/>
      <c r="DY54" s="103"/>
      <c r="DZ54" s="103"/>
      <c r="EA54" s="103"/>
      <c r="EB54" s="103"/>
      <c r="EC54" s="103"/>
      <c r="ED54" s="103"/>
      <c r="EE54" s="103"/>
      <c r="EF54" s="103"/>
      <c r="EG54" s="103"/>
      <c r="EH54" s="103"/>
      <c r="EI54" s="103"/>
      <c r="EJ54" s="103"/>
      <c r="EK54" s="103"/>
      <c r="EL54" s="103"/>
      <c r="EM54" s="103"/>
      <c r="EN54" s="103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3"/>
      <c r="FO54" s="103"/>
      <c r="FP54" s="103"/>
      <c r="FQ54" s="103"/>
      <c r="FR54" s="103"/>
      <c r="FS54" s="103"/>
      <c r="FT54" s="103"/>
      <c r="FU54" s="103"/>
      <c r="FV54" s="103"/>
      <c r="FW54" s="103"/>
      <c r="FX54" s="103"/>
      <c r="FY54" s="103"/>
      <c r="FZ54" s="103"/>
      <c r="GA54" s="103"/>
      <c r="GB54" s="103"/>
      <c r="GC54" s="103"/>
      <c r="GD54" s="103"/>
      <c r="GE54" s="103"/>
      <c r="GF54" s="103"/>
      <c r="GG54" s="103"/>
      <c r="GH54" s="103"/>
      <c r="GI54" s="103"/>
      <c r="GJ54" s="103"/>
      <c r="GK54" s="103"/>
      <c r="GL54" s="103"/>
      <c r="GM54" s="103"/>
      <c r="GN54" s="103"/>
      <c r="GO54" s="103"/>
      <c r="GP54" s="103"/>
      <c r="GQ54" s="103"/>
      <c r="GR54" s="103"/>
      <c r="GS54" s="103"/>
      <c r="GT54" s="103"/>
      <c r="GU54" s="103"/>
      <c r="GV54" s="103"/>
      <c r="GW54" s="103"/>
      <c r="GX54" s="103"/>
      <c r="GY54" s="103"/>
      <c r="GZ54" s="103"/>
      <c r="HA54" s="103"/>
      <c r="HB54" s="103"/>
      <c r="HC54" s="103"/>
      <c r="HD54" s="103"/>
      <c r="HE54" s="103"/>
      <c r="HF54" s="103"/>
      <c r="HG54" s="103"/>
      <c r="HH54" s="103"/>
      <c r="HI54" s="103"/>
      <c r="HJ54" s="103"/>
      <c r="HK54" s="103"/>
      <c r="HL54" s="103"/>
      <c r="HM54" s="103"/>
      <c r="HN54" s="103"/>
      <c r="HO54" s="103"/>
      <c r="HP54" s="103"/>
      <c r="HQ54" s="103"/>
      <c r="HR54" s="103"/>
      <c r="HS54" s="103"/>
      <c r="HT54" s="103"/>
      <c r="HU54" s="103"/>
      <c r="HV54" s="103"/>
      <c r="HW54" s="103"/>
      <c r="HX54" s="103"/>
      <c r="HY54" s="103"/>
      <c r="HZ54" s="103"/>
      <c r="IA54" s="103"/>
      <c r="IB54" s="103"/>
      <c r="IC54" s="103"/>
      <c r="ID54" s="103"/>
      <c r="IE54" s="103"/>
      <c r="IF54" s="103"/>
      <c r="IG54" s="103"/>
      <c r="IH54" s="103"/>
      <c r="II54" s="103"/>
      <c r="IJ54" s="103"/>
      <c r="IK54" s="103"/>
      <c r="IL54" s="103"/>
      <c r="IM54" s="103"/>
      <c r="IN54" s="103"/>
      <c r="IO54" s="103"/>
      <c r="IP54" s="103"/>
      <c r="IQ54" s="103"/>
      <c r="IR54" s="103"/>
      <c r="IS54" s="103"/>
      <c r="IT54" s="103"/>
      <c r="IU54" s="103"/>
      <c r="IV54" s="103"/>
      <c r="IW54" s="103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pans="1:16384" ht="135">
      <c r="A55" s="136"/>
      <c r="B55" s="136" t="s">
        <v>120</v>
      </c>
      <c r="C55" s="61" t="s">
        <v>514</v>
      </c>
      <c r="D55" s="161" t="s">
        <v>139</v>
      </c>
      <c r="E55" s="180" t="s">
        <v>140</v>
      </c>
      <c r="F55" s="180">
        <v>13764947805</v>
      </c>
      <c r="G55" s="182" t="s">
        <v>151</v>
      </c>
      <c r="H55" s="162" t="s">
        <v>215</v>
      </c>
      <c r="I55" s="162" t="s">
        <v>463</v>
      </c>
      <c r="J55" s="162" t="s">
        <v>515</v>
      </c>
      <c r="K55" s="162" t="s">
        <v>516</v>
      </c>
      <c r="L55" s="162" t="s">
        <v>253</v>
      </c>
      <c r="M55" s="162">
        <v>16</v>
      </c>
      <c r="N55" s="162" t="s">
        <v>145</v>
      </c>
      <c r="O55" s="162" t="s">
        <v>472</v>
      </c>
      <c r="P55" s="162" t="s">
        <v>220</v>
      </c>
      <c r="Q55" s="162" t="s">
        <v>221</v>
      </c>
      <c r="R55" s="165">
        <v>43824</v>
      </c>
      <c r="S55" s="149">
        <v>500</v>
      </c>
      <c r="T55" s="136" t="s">
        <v>90</v>
      </c>
      <c r="U55" s="136">
        <v>2480</v>
      </c>
      <c r="V55" s="136">
        <v>1980</v>
      </c>
      <c r="W55" s="186" t="s">
        <v>517</v>
      </c>
      <c r="X55" s="164" t="s">
        <v>76</v>
      </c>
      <c r="Y55" s="164"/>
      <c r="Z55" s="164"/>
      <c r="AA55" s="164" t="s">
        <v>120</v>
      </c>
      <c r="AB55" s="164" t="s">
        <v>99</v>
      </c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114"/>
      <c r="AR55" s="91"/>
      <c r="AS55" s="114"/>
      <c r="AT55" s="91"/>
      <c r="AU55" s="91"/>
      <c r="AV55" s="91"/>
      <c r="AW55" s="91"/>
      <c r="AX55" s="115"/>
      <c r="AY55" s="101"/>
      <c r="AZ55" s="10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91"/>
      <c r="FW55" s="91"/>
      <c r="FX55" s="91"/>
      <c r="FY55" s="91"/>
      <c r="FZ55" s="91"/>
      <c r="GA55" s="91"/>
      <c r="GB55" s="91"/>
      <c r="GC55" s="91"/>
      <c r="GD55" s="91"/>
      <c r="GE55" s="91"/>
      <c r="GF55" s="91"/>
      <c r="GG55" s="91"/>
      <c r="GH55" s="91"/>
      <c r="GI55" s="91"/>
      <c r="GJ55" s="91"/>
      <c r="GK55" s="91"/>
      <c r="GL55" s="91"/>
      <c r="GM55" s="91"/>
      <c r="GN55" s="91"/>
      <c r="GO55" s="91"/>
      <c r="GP55" s="91"/>
      <c r="GQ55" s="91"/>
      <c r="GR55" s="91"/>
      <c r="GS55" s="91"/>
      <c r="GT55" s="91"/>
      <c r="GU55" s="91"/>
      <c r="GV55" s="91"/>
      <c r="GW55" s="91"/>
      <c r="GX55" s="91"/>
      <c r="GY55" s="91"/>
      <c r="GZ55" s="91"/>
      <c r="HA55" s="91"/>
      <c r="HB55" s="91"/>
      <c r="HC55" s="91"/>
      <c r="HD55" s="91"/>
      <c r="HE55" s="91"/>
      <c r="HF55" s="91"/>
      <c r="HG55" s="91"/>
      <c r="HH55" s="91"/>
      <c r="HI55" s="91"/>
      <c r="HJ55" s="91"/>
      <c r="HK55" s="91"/>
      <c r="HL55" s="91"/>
      <c r="HM55" s="91"/>
      <c r="HN55" s="91"/>
      <c r="HO55" s="91"/>
      <c r="HP55" s="91"/>
      <c r="HQ55" s="91"/>
      <c r="HR55" s="91"/>
      <c r="HS55" s="91"/>
      <c r="HT55" s="91"/>
      <c r="HU55" s="91"/>
      <c r="HV55" s="91"/>
      <c r="HW55" s="91"/>
      <c r="HX55" s="91"/>
      <c r="HY55" s="91"/>
      <c r="HZ55" s="91"/>
      <c r="IA55" s="91"/>
      <c r="IB55" s="91"/>
      <c r="IC55" s="91"/>
      <c r="ID55" s="91"/>
      <c r="IE55" s="91"/>
      <c r="IF55" s="91"/>
      <c r="IG55" s="91"/>
      <c r="IH55" s="91"/>
      <c r="II55" s="91"/>
      <c r="IJ55" s="91"/>
      <c r="IK55" s="91"/>
      <c r="IL55" s="91"/>
      <c r="IM55" s="91"/>
      <c r="IN55" s="91"/>
      <c r="IO55" s="91"/>
      <c r="IP55" s="91"/>
      <c r="IQ55" s="91"/>
      <c r="IR55" s="91"/>
      <c r="IS55" s="91"/>
      <c r="IT55" s="91"/>
      <c r="IU55" s="91"/>
      <c r="IV55" s="91"/>
      <c r="IW55" s="91"/>
    </row>
    <row r="56" spans="1:16384" ht="60">
      <c r="A56" s="136"/>
      <c r="B56" s="136" t="s">
        <v>120</v>
      </c>
      <c r="C56" s="61" t="s">
        <v>518</v>
      </c>
      <c r="D56" s="161" t="s">
        <v>127</v>
      </c>
      <c r="E56" s="183" t="s">
        <v>128</v>
      </c>
      <c r="F56" s="162">
        <v>13916594158</v>
      </c>
      <c r="G56" s="182">
        <v>43835.666666666701</v>
      </c>
      <c r="H56" s="162" t="s">
        <v>215</v>
      </c>
      <c r="I56" s="162" t="s">
        <v>187</v>
      </c>
      <c r="J56" s="162" t="s">
        <v>519</v>
      </c>
      <c r="K56" s="162" t="s">
        <v>516</v>
      </c>
      <c r="L56" s="162" t="s">
        <v>327</v>
      </c>
      <c r="M56" s="162">
        <v>18</v>
      </c>
      <c r="N56" s="162" t="s">
        <v>145</v>
      </c>
      <c r="O56" s="162" t="s">
        <v>240</v>
      </c>
      <c r="P56" s="162" t="s">
        <v>220</v>
      </c>
      <c r="Q56" s="162" t="s">
        <v>221</v>
      </c>
      <c r="R56" s="165">
        <v>43824</v>
      </c>
      <c r="S56" s="149">
        <v>500</v>
      </c>
      <c r="T56" s="136" t="s">
        <v>92</v>
      </c>
      <c r="U56" s="136">
        <v>3980</v>
      </c>
      <c r="V56" s="136">
        <v>3480</v>
      </c>
      <c r="W56" s="175" t="s">
        <v>520</v>
      </c>
      <c r="X56" s="164" t="s">
        <v>76</v>
      </c>
      <c r="Y56" s="164"/>
      <c r="Z56" s="164"/>
      <c r="AA56" s="164" t="s">
        <v>120</v>
      </c>
      <c r="AB56" s="164" t="s">
        <v>100</v>
      </c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114"/>
      <c r="AR56" s="91"/>
      <c r="AS56" s="114"/>
      <c r="AT56" s="91"/>
      <c r="AU56" s="91"/>
      <c r="AV56" s="91"/>
      <c r="AW56" s="91"/>
      <c r="AX56" s="115"/>
      <c r="AY56" s="101"/>
      <c r="AZ56" s="10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DY56" s="91"/>
      <c r="DZ56" s="91"/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  <c r="FU56" s="91"/>
      <c r="FV56" s="91"/>
      <c r="FW56" s="91"/>
      <c r="FX56" s="91"/>
      <c r="FY56" s="91"/>
      <c r="FZ56" s="91"/>
      <c r="GA56" s="91"/>
      <c r="GB56" s="91"/>
      <c r="GC56" s="91"/>
      <c r="GD56" s="91"/>
      <c r="GE56" s="91"/>
      <c r="GF56" s="91"/>
      <c r="GG56" s="91"/>
      <c r="GH56" s="91"/>
      <c r="GI56" s="91"/>
      <c r="GJ56" s="91"/>
      <c r="GK56" s="91"/>
      <c r="GL56" s="91"/>
      <c r="GM56" s="91"/>
      <c r="GN56" s="91"/>
      <c r="GO56" s="91"/>
      <c r="GP56" s="91"/>
      <c r="GQ56" s="91"/>
      <c r="GR56" s="91"/>
      <c r="GS56" s="91"/>
      <c r="GT56" s="91"/>
      <c r="GU56" s="91"/>
      <c r="GV56" s="91"/>
      <c r="GW56" s="91"/>
      <c r="GX56" s="91"/>
      <c r="GY56" s="91"/>
      <c r="GZ56" s="91"/>
      <c r="HA56" s="91"/>
      <c r="HB56" s="91"/>
      <c r="HC56" s="91"/>
      <c r="HD56" s="91"/>
      <c r="HE56" s="91"/>
      <c r="HF56" s="91"/>
      <c r="HG56" s="91"/>
      <c r="HH56" s="91"/>
      <c r="HI56" s="91"/>
      <c r="HJ56" s="91"/>
      <c r="HK56" s="91"/>
      <c r="HL56" s="91"/>
      <c r="HM56" s="91"/>
      <c r="HN56" s="91"/>
      <c r="HO56" s="91"/>
      <c r="HP56" s="91"/>
      <c r="HQ56" s="91"/>
      <c r="HR56" s="91"/>
      <c r="HS56" s="91"/>
      <c r="HT56" s="91"/>
      <c r="HU56" s="91"/>
      <c r="HV56" s="91"/>
      <c r="HW56" s="91"/>
      <c r="HX56" s="91"/>
      <c r="HY56" s="91"/>
      <c r="HZ56" s="91"/>
      <c r="IA56" s="91"/>
      <c r="IB56" s="91"/>
      <c r="IC56" s="91"/>
      <c r="ID56" s="91"/>
      <c r="IE56" s="91"/>
      <c r="IF56" s="91"/>
      <c r="IG56" s="91"/>
      <c r="IH56" s="91"/>
      <c r="II56" s="91"/>
      <c r="IJ56" s="91"/>
      <c r="IK56" s="91"/>
      <c r="IL56" s="91"/>
      <c r="IM56" s="91"/>
      <c r="IN56" s="91"/>
      <c r="IO56" s="91"/>
      <c r="IP56" s="91"/>
      <c r="IQ56" s="91"/>
      <c r="IR56" s="91"/>
      <c r="IS56" s="91"/>
      <c r="IT56" s="91"/>
      <c r="IU56" s="91"/>
      <c r="IV56" s="91"/>
      <c r="IW56" s="91"/>
    </row>
    <row r="57" spans="1:16384" ht="30">
      <c r="A57" s="136"/>
      <c r="B57" s="136" t="s">
        <v>120</v>
      </c>
      <c r="C57" s="61" t="s">
        <v>521</v>
      </c>
      <c r="D57" s="161" t="s">
        <v>522</v>
      </c>
      <c r="E57" s="183" t="s">
        <v>523</v>
      </c>
      <c r="F57" s="162">
        <v>13817207116</v>
      </c>
      <c r="G57" s="182">
        <v>43843.416666666701</v>
      </c>
      <c r="H57" s="162" t="s">
        <v>215</v>
      </c>
      <c r="I57" s="162" t="s">
        <v>463</v>
      </c>
      <c r="J57" s="162" t="s">
        <v>524</v>
      </c>
      <c r="K57" s="162" t="s">
        <v>465</v>
      </c>
      <c r="L57" s="162" t="s">
        <v>253</v>
      </c>
      <c r="M57" s="162" t="s">
        <v>254</v>
      </c>
      <c r="N57" s="162" t="s">
        <v>145</v>
      </c>
      <c r="O57" s="162" t="s">
        <v>255</v>
      </c>
      <c r="P57" s="162" t="s">
        <v>220</v>
      </c>
      <c r="Q57" s="162" t="s">
        <v>221</v>
      </c>
      <c r="R57" s="165">
        <v>43824</v>
      </c>
      <c r="S57" s="149">
        <v>2980</v>
      </c>
      <c r="T57" s="136" t="s">
        <v>242</v>
      </c>
      <c r="U57" s="136">
        <v>2980</v>
      </c>
      <c r="V57" s="136">
        <v>0</v>
      </c>
      <c r="W57" s="186" t="s">
        <v>467</v>
      </c>
      <c r="X57" s="164"/>
      <c r="Y57" s="164"/>
      <c r="Z57" s="164"/>
      <c r="AA57" s="164" t="s">
        <v>120</v>
      </c>
      <c r="AB57" s="164" t="s">
        <v>99</v>
      </c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114"/>
      <c r="AR57" s="91"/>
      <c r="AS57" s="114"/>
      <c r="AT57" s="91"/>
      <c r="AU57" s="91"/>
      <c r="AV57" s="91"/>
      <c r="AW57" s="91"/>
      <c r="AX57" s="115"/>
      <c r="AY57" s="101"/>
      <c r="AZ57" s="10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1"/>
      <c r="FA57" s="91"/>
      <c r="FB57" s="91"/>
      <c r="FC57" s="91"/>
      <c r="FD57" s="91"/>
      <c r="FE57" s="91"/>
      <c r="FF57" s="91"/>
      <c r="FG57" s="91"/>
      <c r="FH57" s="91"/>
      <c r="FI57" s="91"/>
      <c r="FJ57" s="91"/>
      <c r="FK57" s="91"/>
      <c r="FL57" s="91"/>
      <c r="FM57" s="91"/>
      <c r="FN57" s="91"/>
      <c r="FO57" s="91"/>
      <c r="FP57" s="91"/>
      <c r="FQ57" s="91"/>
      <c r="FR57" s="91"/>
      <c r="FS57" s="91"/>
      <c r="FT57" s="91"/>
      <c r="FU57" s="91"/>
      <c r="FV57" s="91"/>
      <c r="FW57" s="91"/>
      <c r="FX57" s="91"/>
      <c r="FY57" s="91"/>
      <c r="FZ57" s="91"/>
      <c r="GA57" s="91"/>
      <c r="GB57" s="91"/>
      <c r="GC57" s="91"/>
      <c r="GD57" s="91"/>
      <c r="GE57" s="91"/>
      <c r="GF57" s="91"/>
      <c r="GG57" s="91"/>
      <c r="GH57" s="91"/>
      <c r="GI57" s="91"/>
      <c r="GJ57" s="91"/>
      <c r="GK57" s="91"/>
      <c r="GL57" s="91"/>
      <c r="GM57" s="91"/>
      <c r="GN57" s="91"/>
      <c r="GO57" s="91"/>
      <c r="GP57" s="91"/>
      <c r="GQ57" s="91"/>
      <c r="GR57" s="91"/>
      <c r="GS57" s="91"/>
      <c r="GT57" s="91"/>
      <c r="GU57" s="91"/>
      <c r="GV57" s="91"/>
      <c r="GW57" s="91"/>
      <c r="GX57" s="91"/>
      <c r="GY57" s="91"/>
      <c r="GZ57" s="91"/>
      <c r="HA57" s="91"/>
      <c r="HB57" s="91"/>
      <c r="HC57" s="91"/>
      <c r="HD57" s="91"/>
      <c r="HE57" s="91"/>
      <c r="HF57" s="91"/>
      <c r="HG57" s="91"/>
      <c r="HH57" s="91"/>
      <c r="HI57" s="91"/>
      <c r="HJ57" s="91"/>
      <c r="HK57" s="91"/>
      <c r="HL57" s="91"/>
      <c r="HM57" s="91"/>
      <c r="HN57" s="91"/>
      <c r="HO57" s="91"/>
      <c r="HP57" s="91"/>
      <c r="HQ57" s="91"/>
      <c r="HR57" s="91"/>
      <c r="HS57" s="91"/>
      <c r="HT57" s="91"/>
      <c r="HU57" s="91"/>
      <c r="HV57" s="91"/>
      <c r="HW57" s="91"/>
      <c r="HX57" s="91"/>
      <c r="HY57" s="91"/>
      <c r="HZ57" s="91"/>
      <c r="IA57" s="91"/>
      <c r="IB57" s="91"/>
      <c r="IC57" s="91"/>
      <c r="ID57" s="91"/>
      <c r="IE57" s="91"/>
      <c r="IF57" s="91"/>
      <c r="IG57" s="91"/>
      <c r="IH57" s="91"/>
      <c r="II57" s="91"/>
      <c r="IJ57" s="91"/>
      <c r="IK57" s="91"/>
      <c r="IL57" s="91"/>
      <c r="IM57" s="91"/>
      <c r="IN57" s="91"/>
      <c r="IO57" s="91"/>
      <c r="IP57" s="91"/>
      <c r="IQ57" s="91"/>
      <c r="IR57" s="91"/>
      <c r="IS57" s="91"/>
      <c r="IT57" s="91"/>
      <c r="IU57" s="91"/>
      <c r="IV57" s="91"/>
      <c r="IW57" s="91"/>
    </row>
    <row r="58" spans="1:16384" ht="30">
      <c r="A58" s="136"/>
      <c r="B58" s="136" t="s">
        <v>120</v>
      </c>
      <c r="C58" s="61" t="s">
        <v>525</v>
      </c>
      <c r="D58" s="161" t="s">
        <v>162</v>
      </c>
      <c r="E58" s="183" t="s">
        <v>163</v>
      </c>
      <c r="F58" s="162">
        <v>18930838018</v>
      </c>
      <c r="G58" s="182" t="s">
        <v>526</v>
      </c>
      <c r="H58" s="162" t="s">
        <v>215</v>
      </c>
      <c r="I58" s="162" t="s">
        <v>101</v>
      </c>
      <c r="J58" s="162" t="s">
        <v>527</v>
      </c>
      <c r="K58" s="162" t="s">
        <v>227</v>
      </c>
      <c r="L58" s="162" t="s">
        <v>253</v>
      </c>
      <c r="M58" s="162">
        <v>12</v>
      </c>
      <c r="N58" s="162" t="s">
        <v>145</v>
      </c>
      <c r="O58" s="162" t="s">
        <v>255</v>
      </c>
      <c r="P58" s="162" t="s">
        <v>220</v>
      </c>
      <c r="Q58" s="162" t="s">
        <v>221</v>
      </c>
      <c r="R58" s="165">
        <v>43824</v>
      </c>
      <c r="S58" s="149">
        <v>2880</v>
      </c>
      <c r="T58" s="136" t="s">
        <v>90</v>
      </c>
      <c r="U58" s="136">
        <v>2880</v>
      </c>
      <c r="V58" s="136">
        <v>0</v>
      </c>
      <c r="W58" s="175" t="s">
        <v>528</v>
      </c>
      <c r="X58" s="164" t="s">
        <v>76</v>
      </c>
      <c r="Y58" s="164"/>
      <c r="Z58" s="164"/>
      <c r="AA58" s="164" t="s">
        <v>120</v>
      </c>
      <c r="AB58" s="164" t="s">
        <v>100</v>
      </c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10"/>
      <c r="AO58" s="114"/>
      <c r="AP58" s="114"/>
      <c r="AQ58" s="139"/>
      <c r="AR58" s="114"/>
      <c r="AS58" s="139"/>
      <c r="AT58" s="114"/>
      <c r="AU58" s="110"/>
      <c r="AV58" s="91"/>
      <c r="AW58" s="114"/>
      <c r="AX58" s="188"/>
      <c r="AY58" s="101"/>
      <c r="AZ58" s="101"/>
      <c r="BA58" s="121"/>
      <c r="BB58" s="121"/>
      <c r="BC58" s="137"/>
      <c r="BD58" s="121"/>
      <c r="BE58" s="121"/>
      <c r="BF58" s="141"/>
      <c r="BG58" s="133"/>
      <c r="BH58" s="142"/>
      <c r="BI58" s="142"/>
      <c r="BJ58" s="128"/>
      <c r="BK58" s="234"/>
      <c r="BL58" s="129"/>
      <c r="BM58" s="129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  <c r="FA58" s="142"/>
      <c r="FB58" s="142"/>
      <c r="FC58" s="142"/>
      <c r="FD58" s="142"/>
      <c r="FE58" s="142"/>
      <c r="FF58" s="142"/>
      <c r="FG58" s="142"/>
      <c r="FH58" s="142"/>
      <c r="FI58" s="142"/>
      <c r="FJ58" s="142"/>
      <c r="FK58" s="142"/>
      <c r="FL58" s="142"/>
      <c r="FM58" s="142"/>
      <c r="FN58" s="142"/>
      <c r="FO58" s="142"/>
      <c r="FP58" s="142"/>
      <c r="FQ58" s="142"/>
      <c r="FR58" s="142"/>
      <c r="FS58" s="142"/>
      <c r="FT58" s="142"/>
      <c r="FU58" s="142"/>
      <c r="FV58" s="142"/>
      <c r="FW58" s="142"/>
      <c r="FX58" s="142"/>
      <c r="FY58" s="142"/>
      <c r="FZ58" s="142"/>
      <c r="GA58" s="142"/>
      <c r="GB58" s="142"/>
      <c r="GC58" s="142"/>
      <c r="GD58" s="142"/>
      <c r="GE58" s="142"/>
      <c r="GF58" s="142"/>
      <c r="GG58" s="142"/>
      <c r="GH58" s="142"/>
      <c r="GI58" s="142"/>
      <c r="GJ58" s="142"/>
      <c r="GK58" s="142"/>
      <c r="GL58" s="142"/>
      <c r="GM58" s="142"/>
      <c r="GN58" s="142"/>
      <c r="GO58" s="142"/>
      <c r="GP58" s="142"/>
      <c r="GQ58" s="142"/>
      <c r="GR58" s="142"/>
      <c r="GS58" s="142"/>
      <c r="GT58" s="142"/>
      <c r="GU58" s="142"/>
      <c r="GV58" s="142"/>
      <c r="GW58" s="142"/>
      <c r="GX58" s="142"/>
      <c r="GY58" s="142"/>
      <c r="GZ58" s="142"/>
      <c r="HA58" s="142"/>
      <c r="HB58" s="142"/>
      <c r="HC58" s="142"/>
      <c r="HD58" s="142"/>
      <c r="HE58" s="142"/>
      <c r="HF58" s="142"/>
      <c r="HG58" s="142"/>
      <c r="HH58" s="142"/>
      <c r="HI58" s="142"/>
      <c r="HJ58" s="142"/>
      <c r="HK58" s="142"/>
      <c r="HL58" s="142"/>
      <c r="HM58" s="142"/>
      <c r="HN58" s="142"/>
      <c r="HO58" s="142"/>
      <c r="HP58" s="142"/>
      <c r="HQ58" s="142"/>
      <c r="HR58" s="142"/>
      <c r="HS58" s="142"/>
      <c r="HT58" s="142"/>
      <c r="HU58" s="142"/>
      <c r="HV58" s="142"/>
      <c r="HW58" s="142"/>
      <c r="HX58" s="142"/>
      <c r="HY58" s="142"/>
      <c r="HZ58" s="142"/>
      <c r="IA58" s="142"/>
      <c r="IB58" s="142"/>
      <c r="IC58" s="142"/>
      <c r="ID58" s="142"/>
      <c r="IE58" s="142"/>
      <c r="IF58" s="142"/>
      <c r="IG58" s="142"/>
      <c r="IH58" s="142"/>
      <c r="II58" s="142"/>
      <c r="IJ58" s="142"/>
      <c r="IK58" s="142"/>
      <c r="IL58" s="142"/>
      <c r="IM58" s="142"/>
      <c r="IN58" s="142"/>
      <c r="IO58" s="142"/>
      <c r="IP58" s="142"/>
      <c r="IQ58" s="142"/>
      <c r="IR58" s="142"/>
      <c r="IS58" s="142"/>
      <c r="IT58" s="142"/>
      <c r="IU58" s="142"/>
      <c r="IV58" s="142"/>
      <c r="IW58" s="142"/>
    </row>
    <row r="59" spans="1:16384" ht="30">
      <c r="A59" s="136"/>
      <c r="B59" s="136" t="s">
        <v>120</v>
      </c>
      <c r="C59" s="61" t="s">
        <v>529</v>
      </c>
      <c r="D59" s="161" t="s">
        <v>64</v>
      </c>
      <c r="E59" s="162" t="s">
        <v>234</v>
      </c>
      <c r="F59" s="162">
        <v>13524455895</v>
      </c>
      <c r="G59" s="182" t="s">
        <v>530</v>
      </c>
      <c r="H59" s="162" t="s">
        <v>215</v>
      </c>
      <c r="I59" s="162" t="s">
        <v>122</v>
      </c>
      <c r="J59" s="162" t="s">
        <v>531</v>
      </c>
      <c r="K59" s="162" t="s">
        <v>516</v>
      </c>
      <c r="L59" s="162" t="s">
        <v>253</v>
      </c>
      <c r="M59" s="162">
        <v>16</v>
      </c>
      <c r="N59" s="162" t="s">
        <v>145</v>
      </c>
      <c r="O59" s="162" t="s">
        <v>255</v>
      </c>
      <c r="P59" s="162" t="s">
        <v>220</v>
      </c>
      <c r="Q59" s="162" t="s">
        <v>221</v>
      </c>
      <c r="R59" s="165">
        <v>43825</v>
      </c>
      <c r="S59" s="149">
        <v>1500</v>
      </c>
      <c r="T59" s="136" t="s">
        <v>98</v>
      </c>
      <c r="U59" s="136">
        <v>2980</v>
      </c>
      <c r="V59" s="136">
        <v>1480</v>
      </c>
      <c r="W59" s="186" t="s">
        <v>532</v>
      </c>
      <c r="X59" s="164" t="s">
        <v>76</v>
      </c>
      <c r="Y59" s="164" t="s">
        <v>131</v>
      </c>
      <c r="Z59" s="164"/>
      <c r="AA59" s="164" t="s">
        <v>120</v>
      </c>
      <c r="AB59" s="164" t="s">
        <v>100</v>
      </c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114"/>
      <c r="AR59" s="91"/>
      <c r="AS59" s="114"/>
      <c r="AT59" s="91"/>
      <c r="AU59" s="91"/>
      <c r="AV59" s="91"/>
      <c r="AW59" s="91"/>
      <c r="AX59" s="115"/>
      <c r="AY59" s="101"/>
      <c r="AZ59" s="10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DY59" s="91"/>
      <c r="DZ59" s="91"/>
      <c r="EA59" s="91"/>
      <c r="EB59" s="91"/>
      <c r="EC59" s="91"/>
      <c r="ED59" s="91"/>
      <c r="EE59" s="91"/>
      <c r="EF59" s="91"/>
      <c r="EG59" s="91"/>
      <c r="EH59" s="91"/>
      <c r="EI59" s="91"/>
      <c r="EJ59" s="91"/>
      <c r="EK59" s="91"/>
      <c r="EL59" s="91"/>
      <c r="EM59" s="91"/>
      <c r="EN59" s="91"/>
      <c r="EO59" s="91"/>
      <c r="EP59" s="91"/>
      <c r="EQ59" s="91"/>
      <c r="ER59" s="91"/>
      <c r="ES59" s="91"/>
      <c r="ET59" s="91"/>
      <c r="EU59" s="91"/>
      <c r="EV59" s="91"/>
      <c r="EW59" s="91"/>
      <c r="EX59" s="91"/>
      <c r="EY59" s="91"/>
      <c r="EZ59" s="91"/>
      <c r="FA59" s="91"/>
      <c r="FB59" s="91"/>
      <c r="FC59" s="91"/>
      <c r="FD59" s="91"/>
      <c r="FE59" s="91"/>
      <c r="FF59" s="91"/>
      <c r="FG59" s="91"/>
      <c r="FH59" s="91"/>
      <c r="FI59" s="91"/>
      <c r="FJ59" s="91"/>
      <c r="FK59" s="91"/>
      <c r="FL59" s="91"/>
      <c r="FM59" s="91"/>
      <c r="FN59" s="91"/>
      <c r="FO59" s="91"/>
      <c r="FP59" s="91"/>
      <c r="FQ59" s="91"/>
      <c r="FR59" s="91"/>
      <c r="FS59" s="91"/>
      <c r="FT59" s="91"/>
      <c r="FU59" s="91"/>
      <c r="FV59" s="91"/>
      <c r="FW59" s="91"/>
      <c r="FX59" s="91"/>
      <c r="FY59" s="91"/>
      <c r="FZ59" s="91"/>
      <c r="GA59" s="91"/>
      <c r="GB59" s="91"/>
      <c r="GC59" s="91"/>
      <c r="GD59" s="91"/>
      <c r="GE59" s="91"/>
      <c r="GF59" s="91"/>
      <c r="GG59" s="91"/>
      <c r="GH59" s="91"/>
      <c r="GI59" s="91"/>
      <c r="GJ59" s="91"/>
      <c r="GK59" s="91"/>
      <c r="GL59" s="91"/>
      <c r="GM59" s="91"/>
      <c r="GN59" s="91"/>
      <c r="GO59" s="91"/>
      <c r="GP59" s="91"/>
      <c r="GQ59" s="91"/>
      <c r="GR59" s="91"/>
      <c r="GS59" s="91"/>
      <c r="GT59" s="91"/>
      <c r="GU59" s="91"/>
      <c r="GV59" s="91"/>
      <c r="GW59" s="91"/>
      <c r="GX59" s="91"/>
      <c r="GY59" s="91"/>
      <c r="GZ59" s="91"/>
      <c r="HA59" s="91"/>
      <c r="HB59" s="91"/>
      <c r="HC59" s="91"/>
      <c r="HD59" s="91"/>
      <c r="HE59" s="91"/>
      <c r="HF59" s="91"/>
      <c r="HG59" s="91"/>
      <c r="HH59" s="91"/>
      <c r="HI59" s="91"/>
      <c r="HJ59" s="91"/>
      <c r="HK59" s="91"/>
      <c r="HL59" s="91"/>
      <c r="HM59" s="91"/>
      <c r="HN59" s="91"/>
      <c r="HO59" s="91"/>
      <c r="HP59" s="91"/>
      <c r="HQ59" s="91"/>
      <c r="HR59" s="91"/>
      <c r="HS59" s="91"/>
      <c r="HT59" s="91"/>
      <c r="HU59" s="91"/>
      <c r="HV59" s="91"/>
      <c r="HW59" s="91"/>
      <c r="HX59" s="91"/>
      <c r="HY59" s="91"/>
      <c r="HZ59" s="91"/>
      <c r="IA59" s="91"/>
      <c r="IB59" s="91"/>
      <c r="IC59" s="91"/>
      <c r="ID59" s="91"/>
      <c r="IE59" s="91"/>
      <c r="IF59" s="91"/>
      <c r="IG59" s="91"/>
      <c r="IH59" s="91"/>
      <c r="II59" s="91"/>
      <c r="IJ59" s="91"/>
      <c r="IK59" s="91"/>
      <c r="IL59" s="91"/>
      <c r="IM59" s="91"/>
      <c r="IN59" s="91"/>
      <c r="IO59" s="91"/>
      <c r="IP59" s="91"/>
      <c r="IQ59" s="91"/>
      <c r="IR59" s="91"/>
      <c r="IS59" s="91"/>
      <c r="IT59" s="91"/>
      <c r="IU59" s="91"/>
      <c r="IV59" s="91"/>
      <c r="IW59" s="91"/>
    </row>
    <row r="60" spans="1:16384" ht="45">
      <c r="A60" s="136"/>
      <c r="B60" s="136" t="s">
        <v>120</v>
      </c>
      <c r="C60" s="61" t="s">
        <v>533</v>
      </c>
      <c r="D60" s="161" t="s">
        <v>534</v>
      </c>
      <c r="E60" s="183" t="s">
        <v>535</v>
      </c>
      <c r="F60" s="162">
        <v>13764626195</v>
      </c>
      <c r="G60" s="182">
        <v>43849.416666666701</v>
      </c>
      <c r="H60" s="162" t="s">
        <v>215</v>
      </c>
      <c r="I60" s="162" t="s">
        <v>101</v>
      </c>
      <c r="J60" s="162" t="s">
        <v>536</v>
      </c>
      <c r="K60" s="185" t="s">
        <v>227</v>
      </c>
      <c r="L60" s="162" t="s">
        <v>253</v>
      </c>
      <c r="M60" s="162">
        <v>12</v>
      </c>
      <c r="N60" s="162" t="s">
        <v>145</v>
      </c>
      <c r="O60" s="162" t="s">
        <v>255</v>
      </c>
      <c r="P60" s="162" t="s">
        <v>220</v>
      </c>
      <c r="Q60" s="162" t="s">
        <v>537</v>
      </c>
      <c r="R60" s="165">
        <v>43825</v>
      </c>
      <c r="S60" s="149">
        <v>500</v>
      </c>
      <c r="T60" s="136" t="s">
        <v>90</v>
      </c>
      <c r="U60" s="149">
        <v>2304</v>
      </c>
      <c r="V60" s="136">
        <v>1804</v>
      </c>
      <c r="W60" s="175" t="s">
        <v>538</v>
      </c>
      <c r="X60" s="164" t="s">
        <v>76</v>
      </c>
      <c r="Y60" s="164"/>
      <c r="Z60" s="164"/>
      <c r="AA60" s="164" t="s">
        <v>120</v>
      </c>
      <c r="AB60" s="164" t="s">
        <v>99</v>
      </c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10"/>
      <c r="AO60" s="114"/>
      <c r="AP60" s="114"/>
      <c r="AQ60" s="139"/>
      <c r="AR60" s="114"/>
      <c r="AS60" s="139"/>
      <c r="AT60" s="114"/>
      <c r="AU60" s="110"/>
      <c r="AV60" s="91"/>
      <c r="AW60" s="114"/>
      <c r="AX60" s="188"/>
      <c r="AY60" s="101"/>
      <c r="AZ60" s="101"/>
      <c r="BA60" s="121"/>
      <c r="BB60" s="121"/>
      <c r="BC60" s="137"/>
      <c r="BD60" s="121"/>
      <c r="BE60" s="121"/>
      <c r="BF60" s="141"/>
      <c r="BG60" s="133"/>
      <c r="BH60" s="142"/>
      <c r="BI60" s="142"/>
      <c r="BJ60" s="128"/>
      <c r="BK60" s="234"/>
      <c r="BL60" s="129"/>
      <c r="BM60" s="129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  <c r="FA60" s="142"/>
      <c r="FB60" s="142"/>
      <c r="FC60" s="142"/>
      <c r="FD60" s="142"/>
      <c r="FE60" s="142"/>
      <c r="FF60" s="142"/>
      <c r="FG60" s="142"/>
      <c r="FH60" s="142"/>
      <c r="FI60" s="142"/>
      <c r="FJ60" s="142"/>
      <c r="FK60" s="142"/>
      <c r="FL60" s="142"/>
      <c r="FM60" s="142"/>
      <c r="FN60" s="142"/>
      <c r="FO60" s="142"/>
      <c r="FP60" s="142"/>
      <c r="FQ60" s="142"/>
      <c r="FR60" s="142"/>
      <c r="FS60" s="142"/>
      <c r="FT60" s="142"/>
      <c r="FU60" s="142"/>
      <c r="FV60" s="142"/>
      <c r="FW60" s="142"/>
      <c r="FX60" s="142"/>
      <c r="FY60" s="142"/>
      <c r="FZ60" s="142"/>
      <c r="GA60" s="142"/>
      <c r="GB60" s="142"/>
      <c r="GC60" s="142"/>
      <c r="GD60" s="142"/>
      <c r="GE60" s="142"/>
      <c r="GF60" s="142"/>
      <c r="GG60" s="142"/>
      <c r="GH60" s="142"/>
      <c r="GI60" s="142"/>
      <c r="GJ60" s="142"/>
      <c r="GK60" s="142"/>
      <c r="GL60" s="142"/>
      <c r="GM60" s="142"/>
      <c r="GN60" s="142"/>
      <c r="GO60" s="142"/>
      <c r="GP60" s="142"/>
      <c r="GQ60" s="142"/>
      <c r="GR60" s="142"/>
      <c r="GS60" s="142"/>
      <c r="GT60" s="142"/>
      <c r="GU60" s="142"/>
      <c r="GV60" s="142"/>
      <c r="GW60" s="142"/>
      <c r="GX60" s="142"/>
      <c r="GY60" s="142"/>
      <c r="GZ60" s="142"/>
      <c r="HA60" s="142"/>
      <c r="HB60" s="142"/>
      <c r="HC60" s="142"/>
      <c r="HD60" s="142"/>
      <c r="HE60" s="142"/>
      <c r="HF60" s="142"/>
      <c r="HG60" s="142"/>
      <c r="HH60" s="142"/>
      <c r="HI60" s="142"/>
      <c r="HJ60" s="142"/>
      <c r="HK60" s="142"/>
      <c r="HL60" s="142"/>
      <c r="HM60" s="142"/>
      <c r="HN60" s="142"/>
      <c r="HO60" s="142"/>
      <c r="HP60" s="142"/>
      <c r="HQ60" s="142"/>
      <c r="HR60" s="142"/>
      <c r="HS60" s="142"/>
      <c r="HT60" s="142"/>
      <c r="HU60" s="142"/>
      <c r="HV60" s="142"/>
      <c r="HW60" s="142"/>
      <c r="HX60" s="142"/>
      <c r="HY60" s="142"/>
      <c r="HZ60" s="142"/>
      <c r="IA60" s="142"/>
      <c r="IB60" s="142"/>
      <c r="IC60" s="142"/>
      <c r="ID60" s="142"/>
      <c r="IE60" s="142"/>
      <c r="IF60" s="142"/>
      <c r="IG60" s="142"/>
      <c r="IH60" s="142"/>
      <c r="II60" s="142"/>
      <c r="IJ60" s="142"/>
      <c r="IK60" s="142"/>
      <c r="IL60" s="142"/>
      <c r="IM60" s="142"/>
      <c r="IN60" s="142"/>
      <c r="IO60" s="142"/>
      <c r="IP60" s="142"/>
      <c r="IQ60" s="142"/>
      <c r="IR60" s="142"/>
      <c r="IS60" s="142"/>
      <c r="IT60" s="142"/>
      <c r="IU60" s="142"/>
      <c r="IV60" s="142"/>
      <c r="IW60" s="142"/>
    </row>
    <row r="61" spans="1:16384" ht="45">
      <c r="A61" s="89"/>
      <c r="B61" s="61" t="s">
        <v>62</v>
      </c>
      <c r="C61" s="61" t="s">
        <v>257</v>
      </c>
      <c r="D61" s="67" t="s">
        <v>258</v>
      </c>
      <c r="E61" s="61"/>
      <c r="F61" s="61"/>
      <c r="G61" s="89"/>
      <c r="H61" s="89"/>
      <c r="I61" s="69" t="s">
        <v>259</v>
      </c>
      <c r="J61" s="89"/>
      <c r="K61" s="89"/>
      <c r="L61" s="89"/>
      <c r="M61" s="89"/>
      <c r="N61" s="89"/>
      <c r="O61" s="89"/>
      <c r="P61" s="89"/>
      <c r="Q61" s="89"/>
      <c r="R61" s="89"/>
      <c r="S61" s="61"/>
      <c r="U61" s="89"/>
      <c r="W61" s="61"/>
      <c r="X61" s="61"/>
      <c r="Y61" s="89"/>
      <c r="Z61" s="89"/>
      <c r="AA61" s="61"/>
      <c r="AB61" s="61"/>
      <c r="AG61" s="89"/>
      <c r="AH61" s="89"/>
      <c r="AI61" s="89"/>
      <c r="AJ61" s="89"/>
      <c r="AK61" s="89"/>
      <c r="AM61" s="89"/>
      <c r="AN61" s="76">
        <v>43821</v>
      </c>
      <c r="AO61" s="77" t="s">
        <v>64</v>
      </c>
      <c r="AP61" s="89"/>
      <c r="AQ61" s="114">
        <v>10</v>
      </c>
      <c r="AR61" s="89"/>
      <c r="AS61" s="114" t="s">
        <v>109</v>
      </c>
      <c r="AT61" s="89"/>
      <c r="AU61" s="76" t="s">
        <v>73</v>
      </c>
      <c r="AV61" s="78" t="s">
        <v>73</v>
      </c>
      <c r="AW61" s="77" t="s">
        <v>73</v>
      </c>
      <c r="AX61" s="115" t="s">
        <v>73</v>
      </c>
      <c r="AY61" s="142"/>
      <c r="AZ61" s="142"/>
      <c r="BA61" s="61"/>
      <c r="BB61" s="61"/>
      <c r="BC61" s="61"/>
      <c r="BD61" s="61"/>
      <c r="BE61" s="61"/>
      <c r="BF61" s="89"/>
      <c r="BG61" s="61"/>
      <c r="BH61" s="89"/>
      <c r="BI61" s="89"/>
      <c r="BJ61" s="89"/>
      <c r="BK61" s="61"/>
      <c r="BL61" s="89"/>
      <c r="BM61" s="89"/>
    </row>
    <row r="62" spans="1:16384" ht="30">
      <c r="A62" s="136" t="s">
        <v>213</v>
      </c>
      <c r="B62" s="136" t="s">
        <v>120</v>
      </c>
      <c r="C62" s="61" t="s">
        <v>298</v>
      </c>
      <c r="D62" s="161" t="s">
        <v>299</v>
      </c>
      <c r="E62" s="183" t="s">
        <v>300</v>
      </c>
      <c r="F62" s="162">
        <v>13918852376</v>
      </c>
      <c r="G62" s="182">
        <v>43828.5625</v>
      </c>
      <c r="H62" s="162" t="s">
        <v>215</v>
      </c>
      <c r="I62" s="162" t="s">
        <v>169</v>
      </c>
      <c r="J62" s="162" t="s">
        <v>301</v>
      </c>
      <c r="K62" s="185" t="s">
        <v>227</v>
      </c>
      <c r="L62" s="162" t="s">
        <v>302</v>
      </c>
      <c r="M62" s="162">
        <v>1</v>
      </c>
      <c r="N62" s="162" t="s">
        <v>106</v>
      </c>
      <c r="O62" s="162" t="s">
        <v>106</v>
      </c>
      <c r="P62" s="162" t="s">
        <v>220</v>
      </c>
      <c r="Q62" s="162" t="s">
        <v>221</v>
      </c>
      <c r="R62" s="165">
        <v>43825</v>
      </c>
      <c r="S62" s="149">
        <v>500</v>
      </c>
      <c r="T62" s="136" t="s">
        <v>90</v>
      </c>
      <c r="U62" s="136">
        <v>880</v>
      </c>
      <c r="V62" s="136">
        <v>380</v>
      </c>
      <c r="W62" s="186" t="s">
        <v>303</v>
      </c>
      <c r="X62" s="164" t="s">
        <v>242</v>
      </c>
      <c r="Y62" s="164"/>
      <c r="Z62" s="164"/>
      <c r="AA62" s="164" t="s">
        <v>120</v>
      </c>
      <c r="AB62" s="164" t="s">
        <v>102</v>
      </c>
      <c r="AN62" s="76">
        <v>43828</v>
      </c>
      <c r="AO62" s="77" t="s">
        <v>63</v>
      </c>
      <c r="AP62" s="61"/>
      <c r="AQ62" s="77" t="s">
        <v>185</v>
      </c>
      <c r="AR62" s="61"/>
      <c r="AS62" s="77" t="s">
        <v>304</v>
      </c>
      <c r="AT62" s="61"/>
      <c r="AU62" s="76">
        <v>43828</v>
      </c>
      <c r="AV62" s="78">
        <v>380</v>
      </c>
      <c r="AW62" s="77" t="s">
        <v>98</v>
      </c>
      <c r="AX62" s="115">
        <v>880</v>
      </c>
      <c r="AY62" s="142"/>
      <c r="AZ62" s="142"/>
      <c r="BA62" s="61"/>
      <c r="BB62" s="61"/>
      <c r="BC62" s="61"/>
      <c r="BD62" s="61"/>
      <c r="BE62" s="61"/>
      <c r="BF62" s="61"/>
      <c r="BG62" s="61"/>
      <c r="BJ62" s="61"/>
      <c r="BK62" s="61"/>
      <c r="BL62" s="61"/>
      <c r="BM62" s="61"/>
    </row>
    <row r="63" spans="1:16384" ht="30">
      <c r="A63" s="136" t="s">
        <v>213</v>
      </c>
      <c r="B63" s="136" t="s">
        <v>120</v>
      </c>
      <c r="C63" s="61" t="s">
        <v>294</v>
      </c>
      <c r="D63" s="161" t="s">
        <v>119</v>
      </c>
      <c r="E63" s="183" t="s">
        <v>295</v>
      </c>
      <c r="F63" s="162">
        <v>13791008517</v>
      </c>
      <c r="G63" s="182">
        <v>43827.708333333299</v>
      </c>
      <c r="H63" s="162" t="s">
        <v>215</v>
      </c>
      <c r="I63" s="162" t="s">
        <v>199</v>
      </c>
      <c r="J63" s="162" t="s">
        <v>296</v>
      </c>
      <c r="K63" s="185" t="s">
        <v>227</v>
      </c>
      <c r="L63" s="162" t="s">
        <v>217</v>
      </c>
      <c r="M63" s="162">
        <v>6</v>
      </c>
      <c r="N63" s="162" t="s">
        <v>106</v>
      </c>
      <c r="O63" s="162" t="s">
        <v>219</v>
      </c>
      <c r="P63" s="162" t="s">
        <v>220</v>
      </c>
      <c r="Q63" s="162" t="s">
        <v>297</v>
      </c>
      <c r="R63" s="165">
        <v>43826</v>
      </c>
      <c r="S63" s="149">
        <v>500</v>
      </c>
      <c r="T63" s="136" t="s">
        <v>90</v>
      </c>
      <c r="U63" s="136">
        <v>1400</v>
      </c>
      <c r="V63" s="136">
        <v>900</v>
      </c>
      <c r="W63" s="136" t="s">
        <v>73</v>
      </c>
      <c r="X63" s="164" t="s">
        <v>76</v>
      </c>
      <c r="Y63" s="164"/>
      <c r="Z63" s="164"/>
      <c r="AA63" s="164" t="s">
        <v>120</v>
      </c>
      <c r="AB63" s="164" t="s">
        <v>102</v>
      </c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76">
        <v>43827</v>
      </c>
      <c r="AO63" s="77" t="s">
        <v>97</v>
      </c>
      <c r="AP63" s="89"/>
      <c r="AQ63" s="77" t="s">
        <v>73</v>
      </c>
      <c r="AR63" s="89"/>
      <c r="AS63" s="61" t="s">
        <v>232</v>
      </c>
      <c r="AT63" s="89"/>
      <c r="AU63" s="76">
        <v>43827</v>
      </c>
      <c r="AV63" s="78">
        <v>900</v>
      </c>
      <c r="AW63" s="77" t="s">
        <v>98</v>
      </c>
      <c r="AX63" s="115">
        <v>1400</v>
      </c>
      <c r="AY63" s="142"/>
      <c r="AZ63" s="142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FS63" s="89"/>
      <c r="FT63" s="89"/>
      <c r="FU63" s="89"/>
      <c r="FV63" s="89"/>
      <c r="FW63" s="89"/>
      <c r="FX63" s="89"/>
      <c r="FY63" s="89"/>
      <c r="FZ63" s="89"/>
      <c r="GA63" s="89"/>
      <c r="GB63" s="89"/>
      <c r="GC63" s="89"/>
      <c r="GD63" s="89"/>
      <c r="GE63" s="89"/>
      <c r="GF63" s="89"/>
      <c r="GG63" s="89"/>
      <c r="GH63" s="89"/>
      <c r="GI63" s="89"/>
      <c r="GJ63" s="89"/>
      <c r="GK63" s="89"/>
      <c r="GL63" s="89"/>
      <c r="GM63" s="89"/>
      <c r="GN63" s="89"/>
      <c r="GO63" s="89"/>
      <c r="GP63" s="89"/>
      <c r="GQ63" s="89"/>
      <c r="GR63" s="89"/>
      <c r="GS63" s="89"/>
      <c r="GT63" s="89"/>
      <c r="GU63" s="89"/>
      <c r="GV63" s="89"/>
      <c r="GW63" s="89"/>
      <c r="GX63" s="89"/>
      <c r="GY63" s="89"/>
      <c r="GZ63" s="89"/>
      <c r="HA63" s="89"/>
      <c r="HB63" s="89"/>
      <c r="HC63" s="89"/>
      <c r="HD63" s="89"/>
      <c r="HE63" s="89"/>
      <c r="HF63" s="89"/>
      <c r="HG63" s="89"/>
      <c r="HH63" s="89"/>
      <c r="HI63" s="89"/>
      <c r="HJ63" s="89"/>
      <c r="HK63" s="89"/>
      <c r="HL63" s="89"/>
      <c r="HM63" s="89"/>
      <c r="HN63" s="89"/>
      <c r="HO63" s="89"/>
      <c r="HP63" s="89"/>
      <c r="HQ63" s="89"/>
      <c r="HR63" s="89"/>
      <c r="HS63" s="89"/>
      <c r="HT63" s="89"/>
      <c r="HU63" s="89"/>
      <c r="HV63" s="89"/>
      <c r="HW63" s="89"/>
      <c r="HX63" s="89"/>
      <c r="HY63" s="89"/>
      <c r="HZ63" s="89"/>
      <c r="IA63" s="89"/>
      <c r="IB63" s="89"/>
      <c r="IC63" s="89"/>
      <c r="ID63" s="89"/>
      <c r="IE63" s="89"/>
      <c r="IF63" s="89"/>
      <c r="IG63" s="89"/>
      <c r="IH63" s="89"/>
      <c r="II63" s="89"/>
      <c r="IJ63" s="89"/>
      <c r="IK63" s="89"/>
      <c r="IL63" s="89"/>
      <c r="IM63" s="89"/>
      <c r="IN63" s="89"/>
      <c r="IO63" s="89"/>
      <c r="IP63" s="89"/>
      <c r="IQ63" s="89"/>
      <c r="IR63" s="89"/>
      <c r="IS63" s="89"/>
      <c r="IT63" s="89"/>
      <c r="IU63" s="89"/>
      <c r="IV63" s="89"/>
      <c r="IW63" s="89"/>
    </row>
    <row r="64" spans="1:16384" ht="45">
      <c r="A64" s="136"/>
      <c r="B64" s="136" t="s">
        <v>120</v>
      </c>
      <c r="C64" s="61" t="s">
        <v>539</v>
      </c>
      <c r="D64" s="161" t="s">
        <v>249</v>
      </c>
      <c r="E64" s="162" t="s">
        <v>250</v>
      </c>
      <c r="F64" s="162">
        <v>15618012875</v>
      </c>
      <c r="G64" s="163" t="s">
        <v>356</v>
      </c>
      <c r="H64" s="162" t="s">
        <v>215</v>
      </c>
      <c r="I64" s="162" t="s">
        <v>151</v>
      </c>
      <c r="J64" s="162" t="s">
        <v>251</v>
      </c>
      <c r="K64" s="162" t="s">
        <v>151</v>
      </c>
      <c r="L64" s="162" t="s">
        <v>151</v>
      </c>
      <c r="M64" s="162" t="s">
        <v>151</v>
      </c>
      <c r="N64" s="162" t="s">
        <v>151</v>
      </c>
      <c r="O64" s="162" t="s">
        <v>151</v>
      </c>
      <c r="P64" s="162" t="s">
        <v>220</v>
      </c>
      <c r="Q64" s="162" t="s">
        <v>221</v>
      </c>
      <c r="R64" s="165">
        <v>43826</v>
      </c>
      <c r="S64" s="149">
        <v>500</v>
      </c>
      <c r="T64" s="136" t="s">
        <v>98</v>
      </c>
      <c r="U64" s="136" t="s">
        <v>151</v>
      </c>
      <c r="V64" s="136" t="s">
        <v>151</v>
      </c>
      <c r="W64" s="175" t="s">
        <v>540</v>
      </c>
      <c r="X64" s="164" t="s">
        <v>76</v>
      </c>
      <c r="Y64" s="164"/>
      <c r="Z64" s="164"/>
      <c r="AA64" s="164" t="s">
        <v>120</v>
      </c>
      <c r="AB64" s="164"/>
      <c r="AQ64" s="114"/>
      <c r="AS64" s="114"/>
      <c r="AV64" s="76"/>
      <c r="AX64" s="115"/>
      <c r="AY64" s="101"/>
      <c r="AZ64" s="101"/>
    </row>
    <row r="65" spans="1:257" ht="45">
      <c r="A65" s="136" t="s">
        <v>213</v>
      </c>
      <c r="B65" s="136" t="s">
        <v>120</v>
      </c>
      <c r="C65" s="61" t="s">
        <v>307</v>
      </c>
      <c r="D65" s="161" t="s">
        <v>308</v>
      </c>
      <c r="E65" s="183" t="s">
        <v>309</v>
      </c>
      <c r="F65" s="162">
        <v>13916550947</v>
      </c>
      <c r="G65" s="182">
        <v>43829.583333333299</v>
      </c>
      <c r="H65" s="162" t="s">
        <v>215</v>
      </c>
      <c r="I65" s="162" t="s">
        <v>101</v>
      </c>
      <c r="J65" s="183" t="s">
        <v>310</v>
      </c>
      <c r="K65" s="185" t="s">
        <v>227</v>
      </c>
      <c r="L65" s="162" t="s">
        <v>302</v>
      </c>
      <c r="M65" s="162">
        <v>12</v>
      </c>
      <c r="N65" s="162" t="s">
        <v>106</v>
      </c>
      <c r="O65" s="162" t="s">
        <v>219</v>
      </c>
      <c r="P65" s="162" t="s">
        <v>220</v>
      </c>
      <c r="Q65" s="162" t="s">
        <v>311</v>
      </c>
      <c r="R65" s="165">
        <v>43826</v>
      </c>
      <c r="S65" s="149">
        <v>500</v>
      </c>
      <c r="T65" s="136" t="s">
        <v>90</v>
      </c>
      <c r="U65" s="136">
        <v>2880</v>
      </c>
      <c r="V65" s="136">
        <v>2380</v>
      </c>
      <c r="W65" s="136" t="s">
        <v>312</v>
      </c>
      <c r="X65" s="164" t="s">
        <v>242</v>
      </c>
      <c r="Y65" s="164"/>
      <c r="Z65" s="164"/>
      <c r="AA65" s="164" t="s">
        <v>120</v>
      </c>
      <c r="AB65" s="164" t="s">
        <v>102</v>
      </c>
      <c r="AC65" s="103"/>
      <c r="AD65" s="91"/>
      <c r="AE65" s="91"/>
      <c r="AF65" s="91"/>
      <c r="AG65" s="103"/>
      <c r="AH65" s="142"/>
      <c r="AI65" s="142"/>
      <c r="AJ65" s="142"/>
      <c r="AK65" s="142"/>
      <c r="AL65" s="103"/>
      <c r="AM65" s="103"/>
      <c r="AN65" s="76">
        <v>43829</v>
      </c>
      <c r="AO65" s="77" t="s">
        <v>107</v>
      </c>
      <c r="AP65" s="142"/>
      <c r="AQ65" s="77" t="s">
        <v>67</v>
      </c>
      <c r="AR65" s="142"/>
      <c r="AS65" s="77" t="s">
        <v>109</v>
      </c>
      <c r="AT65" s="142"/>
      <c r="AU65" s="76">
        <v>43829</v>
      </c>
      <c r="AV65" s="76">
        <v>2380</v>
      </c>
      <c r="AW65" s="77" t="s">
        <v>98</v>
      </c>
      <c r="AX65" s="78">
        <v>2880</v>
      </c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  <c r="FA65" s="142"/>
      <c r="FB65" s="142"/>
      <c r="FC65" s="142"/>
      <c r="FD65" s="142"/>
      <c r="FE65" s="142"/>
      <c r="FF65" s="142"/>
      <c r="FG65" s="142"/>
      <c r="FH65" s="142"/>
      <c r="FI65" s="142"/>
      <c r="FJ65" s="142"/>
      <c r="FK65" s="142"/>
      <c r="FL65" s="142"/>
      <c r="FM65" s="142"/>
      <c r="FN65" s="142"/>
      <c r="FO65" s="142"/>
      <c r="FP65" s="142"/>
      <c r="FQ65" s="142"/>
      <c r="FR65" s="142"/>
      <c r="FS65" s="142"/>
      <c r="FT65" s="142"/>
      <c r="FU65" s="142"/>
      <c r="FV65" s="142"/>
      <c r="FW65" s="142"/>
      <c r="FX65" s="142"/>
      <c r="FY65" s="142"/>
      <c r="FZ65" s="142"/>
      <c r="GA65" s="142"/>
      <c r="GB65" s="142"/>
      <c r="GC65" s="142"/>
      <c r="GD65" s="142"/>
      <c r="GE65" s="142"/>
      <c r="GF65" s="142"/>
      <c r="GG65" s="142"/>
      <c r="GH65" s="142"/>
      <c r="GI65" s="142"/>
      <c r="GJ65" s="142"/>
      <c r="GK65" s="142"/>
      <c r="GL65" s="142"/>
      <c r="GM65" s="142"/>
      <c r="GN65" s="142"/>
      <c r="GO65" s="142"/>
      <c r="GP65" s="142"/>
      <c r="GQ65" s="142"/>
      <c r="GR65" s="142"/>
      <c r="GS65" s="142"/>
      <c r="GT65" s="142"/>
      <c r="GU65" s="142"/>
      <c r="GV65" s="142"/>
      <c r="GW65" s="142"/>
      <c r="GX65" s="142"/>
      <c r="GY65" s="142"/>
      <c r="GZ65" s="142"/>
      <c r="HA65" s="142"/>
      <c r="HB65" s="142"/>
      <c r="HC65" s="142"/>
      <c r="HD65" s="142"/>
      <c r="HE65" s="142"/>
      <c r="HF65" s="142"/>
      <c r="HG65" s="142"/>
      <c r="HH65" s="142"/>
      <c r="HI65" s="142"/>
      <c r="HJ65" s="142"/>
      <c r="HK65" s="142"/>
      <c r="HL65" s="142"/>
      <c r="HM65" s="142"/>
      <c r="HN65" s="142"/>
      <c r="HO65" s="142"/>
      <c r="HP65" s="142"/>
      <c r="HQ65" s="142"/>
      <c r="HR65" s="142"/>
      <c r="HS65" s="142"/>
      <c r="HT65" s="142"/>
      <c r="HU65" s="142"/>
      <c r="HV65" s="142"/>
      <c r="HW65" s="142"/>
      <c r="HX65" s="142"/>
      <c r="HY65" s="142"/>
      <c r="HZ65" s="142"/>
      <c r="IA65" s="142"/>
      <c r="IB65" s="142"/>
      <c r="IC65" s="142"/>
      <c r="ID65" s="142"/>
      <c r="IE65" s="142"/>
      <c r="IF65" s="142"/>
      <c r="IG65" s="142"/>
      <c r="IH65" s="142"/>
      <c r="II65" s="142"/>
      <c r="IJ65" s="142"/>
      <c r="IK65" s="142"/>
      <c r="IL65" s="142"/>
      <c r="IM65" s="142"/>
      <c r="IN65" s="142"/>
      <c r="IO65" s="142"/>
      <c r="IP65" s="142"/>
      <c r="IQ65" s="142"/>
      <c r="IR65" s="142"/>
      <c r="IS65" s="142"/>
      <c r="IT65" s="142"/>
      <c r="IU65" s="142"/>
      <c r="IV65" s="142"/>
      <c r="IW65" s="142"/>
    </row>
    <row r="66" spans="1:257" ht="45">
      <c r="A66" s="136"/>
      <c r="B66" s="136" t="s">
        <v>120</v>
      </c>
      <c r="C66" s="61" t="s">
        <v>541</v>
      </c>
      <c r="D66" s="161" t="s">
        <v>244</v>
      </c>
      <c r="E66" s="162" t="s">
        <v>244</v>
      </c>
      <c r="F66" s="162">
        <v>18601702120</v>
      </c>
      <c r="G66" s="163" t="s">
        <v>542</v>
      </c>
      <c r="H66" s="162" t="s">
        <v>215</v>
      </c>
      <c r="I66" s="162" t="s">
        <v>543</v>
      </c>
      <c r="J66" s="162" t="s">
        <v>544</v>
      </c>
      <c r="K66" s="162" t="s">
        <v>545</v>
      </c>
      <c r="L66" s="162" t="s">
        <v>253</v>
      </c>
      <c r="M66" s="162">
        <v>9</v>
      </c>
      <c r="N66" s="162" t="s">
        <v>145</v>
      </c>
      <c r="O66" s="162" t="s">
        <v>546</v>
      </c>
      <c r="P66" s="162" t="s">
        <v>353</v>
      </c>
      <c r="Q66" s="162" t="s">
        <v>221</v>
      </c>
      <c r="R66" s="165">
        <v>43826</v>
      </c>
      <c r="S66" s="149" t="s">
        <v>73</v>
      </c>
      <c r="T66" s="136" t="s">
        <v>73</v>
      </c>
      <c r="U66" s="136" t="s">
        <v>73</v>
      </c>
      <c r="V66" s="136" t="s">
        <v>73</v>
      </c>
      <c r="W66" s="175" t="s">
        <v>547</v>
      </c>
      <c r="X66" s="164" t="s">
        <v>76</v>
      </c>
      <c r="Y66" s="164"/>
      <c r="Z66" s="164"/>
      <c r="AA66" s="164" t="s">
        <v>120</v>
      </c>
      <c r="AB66" s="164" t="s">
        <v>102</v>
      </c>
      <c r="AQ66" s="114"/>
      <c r="AS66" s="114"/>
      <c r="AV66" s="76"/>
      <c r="AX66" s="115"/>
      <c r="AY66" s="101"/>
      <c r="AZ66" s="101"/>
    </row>
    <row r="67" spans="1:257" ht="75">
      <c r="A67" s="136"/>
      <c r="B67" s="136" t="s">
        <v>120</v>
      </c>
      <c r="C67" s="61" t="s">
        <v>548</v>
      </c>
      <c r="D67" s="161" t="s">
        <v>244</v>
      </c>
      <c r="E67" s="162" t="s">
        <v>244</v>
      </c>
      <c r="F67" s="162">
        <v>18601702120</v>
      </c>
      <c r="G67" s="182" t="s">
        <v>526</v>
      </c>
      <c r="H67" s="162" t="s">
        <v>215</v>
      </c>
      <c r="I67" s="162" t="s">
        <v>549</v>
      </c>
      <c r="J67" s="162" t="s">
        <v>550</v>
      </c>
      <c r="K67" s="162" t="s">
        <v>551</v>
      </c>
      <c r="L67" s="162" t="s">
        <v>327</v>
      </c>
      <c r="M67" s="162" t="s">
        <v>552</v>
      </c>
      <c r="N67" s="162" t="s">
        <v>145</v>
      </c>
      <c r="O67" s="162" t="s">
        <v>240</v>
      </c>
      <c r="P67" s="162" t="s">
        <v>220</v>
      </c>
      <c r="Q67" s="162" t="s">
        <v>221</v>
      </c>
      <c r="R67" s="165">
        <v>43826</v>
      </c>
      <c r="S67" s="149">
        <v>3300</v>
      </c>
      <c r="T67" s="136" t="s">
        <v>98</v>
      </c>
      <c r="U67" s="136">
        <v>3300</v>
      </c>
      <c r="V67" s="136">
        <v>0</v>
      </c>
      <c r="W67" s="175" t="s">
        <v>553</v>
      </c>
      <c r="X67" s="164" t="s">
        <v>76</v>
      </c>
      <c r="Y67" s="164" t="s">
        <v>131</v>
      </c>
      <c r="Z67" s="164"/>
      <c r="AA67" s="164" t="s">
        <v>120</v>
      </c>
      <c r="AB67" s="164" t="s">
        <v>100</v>
      </c>
      <c r="AV67" s="76"/>
      <c r="AY67" s="101"/>
      <c r="AZ67" s="101"/>
    </row>
    <row r="68" spans="1:257" ht="60">
      <c r="A68" s="136"/>
      <c r="B68" s="136" t="s">
        <v>120</v>
      </c>
      <c r="C68" s="61" t="s">
        <v>554</v>
      </c>
      <c r="D68" s="161" t="s">
        <v>555</v>
      </c>
      <c r="E68" s="183" t="s">
        <v>556</v>
      </c>
      <c r="F68" s="162">
        <v>18621507331</v>
      </c>
      <c r="G68" s="182">
        <v>43833.5625</v>
      </c>
      <c r="H68" s="162" t="s">
        <v>215</v>
      </c>
      <c r="I68" s="162" t="s">
        <v>557</v>
      </c>
      <c r="J68" s="183" t="s">
        <v>556</v>
      </c>
      <c r="K68" s="185" t="s">
        <v>227</v>
      </c>
      <c r="L68" s="162" t="s">
        <v>302</v>
      </c>
      <c r="M68" s="162">
        <v>3</v>
      </c>
      <c r="N68" s="162" t="s">
        <v>106</v>
      </c>
      <c r="O68" s="162" t="s">
        <v>106</v>
      </c>
      <c r="P68" s="162" t="s">
        <v>220</v>
      </c>
      <c r="Q68" s="162" t="s">
        <v>221</v>
      </c>
      <c r="R68" s="165">
        <v>43826</v>
      </c>
      <c r="S68" s="149" t="s">
        <v>73</v>
      </c>
      <c r="T68" s="136" t="s">
        <v>73</v>
      </c>
      <c r="U68" s="136" t="s">
        <v>73</v>
      </c>
      <c r="V68" s="136" t="s">
        <v>73</v>
      </c>
      <c r="W68" s="186" t="s">
        <v>558</v>
      </c>
      <c r="X68" s="164" t="s">
        <v>115</v>
      </c>
      <c r="Y68" s="164"/>
      <c r="Z68" s="164"/>
      <c r="AA68" s="164" t="s">
        <v>120</v>
      </c>
      <c r="AB68" s="164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76"/>
      <c r="AW68" s="89"/>
      <c r="AX68" s="89"/>
      <c r="AY68" s="101"/>
      <c r="AZ68" s="101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9"/>
      <c r="ED68" s="89"/>
      <c r="EE68" s="89"/>
      <c r="EF68" s="89"/>
      <c r="EG68" s="89"/>
      <c r="EH68" s="89"/>
      <c r="EI68" s="89"/>
      <c r="EJ68" s="89"/>
      <c r="EK68" s="89"/>
      <c r="EL68" s="89"/>
      <c r="EM68" s="89"/>
      <c r="EN68" s="89"/>
      <c r="EO68" s="89"/>
      <c r="EP68" s="89"/>
      <c r="EQ68" s="89"/>
      <c r="ER68" s="89"/>
      <c r="ES68" s="89"/>
      <c r="ET68" s="89"/>
      <c r="EU68" s="89"/>
      <c r="EV68" s="89"/>
      <c r="EW68" s="89"/>
      <c r="EX68" s="89"/>
      <c r="EY68" s="89"/>
      <c r="EZ68" s="89"/>
      <c r="FA68" s="89"/>
      <c r="FB68" s="89"/>
      <c r="FC68" s="89"/>
      <c r="FD68" s="89"/>
      <c r="FE68" s="89"/>
      <c r="FF68" s="89"/>
      <c r="FG68" s="89"/>
      <c r="FH68" s="89"/>
      <c r="FI68" s="89"/>
      <c r="FJ68" s="89"/>
      <c r="FK68" s="89"/>
      <c r="FL68" s="89"/>
      <c r="FM68" s="89"/>
      <c r="FN68" s="89"/>
      <c r="FO68" s="89"/>
      <c r="FP68" s="89"/>
      <c r="FQ68" s="89"/>
      <c r="FR68" s="89"/>
      <c r="FS68" s="89"/>
      <c r="FT68" s="89"/>
      <c r="FU68" s="89"/>
      <c r="FV68" s="89"/>
      <c r="FW68" s="89"/>
      <c r="FX68" s="89"/>
      <c r="FY68" s="89"/>
      <c r="FZ68" s="89"/>
      <c r="GA68" s="89"/>
      <c r="GB68" s="89"/>
      <c r="GC68" s="89"/>
      <c r="GD68" s="89"/>
      <c r="GE68" s="89"/>
      <c r="GF68" s="89"/>
      <c r="GG68" s="89"/>
      <c r="GH68" s="89"/>
      <c r="GI68" s="89"/>
      <c r="GJ68" s="89"/>
      <c r="GK68" s="89"/>
      <c r="GL68" s="89"/>
      <c r="GM68" s="89"/>
      <c r="GN68" s="89"/>
      <c r="GO68" s="89"/>
      <c r="GP68" s="89"/>
      <c r="GQ68" s="89"/>
      <c r="GR68" s="89"/>
      <c r="GS68" s="89"/>
      <c r="GT68" s="89"/>
      <c r="GU68" s="89"/>
      <c r="GV68" s="89"/>
      <c r="GW68" s="89"/>
      <c r="GX68" s="89"/>
      <c r="GY68" s="89"/>
      <c r="GZ68" s="89"/>
      <c r="HA68" s="89"/>
      <c r="HB68" s="89"/>
      <c r="HC68" s="89"/>
      <c r="HD68" s="89"/>
      <c r="HE68" s="89"/>
      <c r="HF68" s="89"/>
      <c r="HG68" s="89"/>
      <c r="HH68" s="89"/>
      <c r="HI68" s="89"/>
      <c r="HJ68" s="89"/>
      <c r="HK68" s="89"/>
      <c r="HL68" s="89"/>
      <c r="HM68" s="89"/>
      <c r="HN68" s="89"/>
      <c r="HO68" s="89"/>
      <c r="HP68" s="89"/>
      <c r="HQ68" s="89"/>
      <c r="HR68" s="89"/>
      <c r="HS68" s="89"/>
      <c r="HT68" s="89"/>
      <c r="HU68" s="89"/>
      <c r="HV68" s="89"/>
      <c r="HW68" s="89"/>
      <c r="HX68" s="89"/>
      <c r="HY68" s="89"/>
      <c r="HZ68" s="89"/>
      <c r="IA68" s="89"/>
      <c r="IB68" s="89"/>
      <c r="IC68" s="89"/>
      <c r="ID68" s="89"/>
      <c r="IE68" s="89"/>
      <c r="IF68" s="89"/>
      <c r="IG68" s="89"/>
      <c r="IH68" s="89"/>
      <c r="II68" s="89"/>
      <c r="IJ68" s="89"/>
      <c r="IK68" s="89"/>
      <c r="IL68" s="89"/>
      <c r="IM68" s="89"/>
      <c r="IN68" s="89"/>
      <c r="IO68" s="89"/>
      <c r="IP68" s="89"/>
      <c r="IQ68" s="89"/>
      <c r="IR68" s="89"/>
      <c r="IS68" s="89"/>
      <c r="IT68" s="89"/>
      <c r="IU68" s="89"/>
      <c r="IV68" s="89"/>
      <c r="IW68" s="89"/>
    </row>
    <row r="69" spans="1:257" ht="75">
      <c r="A69" s="136"/>
      <c r="B69" s="136" t="s">
        <v>120</v>
      </c>
      <c r="C69" s="61" t="s">
        <v>559</v>
      </c>
      <c r="D69" s="161" t="s">
        <v>560</v>
      </c>
      <c r="E69" s="181" t="s">
        <v>561</v>
      </c>
      <c r="F69" s="162">
        <v>15618521998</v>
      </c>
      <c r="G69" s="163">
        <v>43847.645833333299</v>
      </c>
      <c r="H69" s="162" t="s">
        <v>215</v>
      </c>
      <c r="I69" s="162" t="s">
        <v>463</v>
      </c>
      <c r="J69" s="183" t="s">
        <v>562</v>
      </c>
      <c r="K69" s="162" t="s">
        <v>465</v>
      </c>
      <c r="L69" s="162" t="s">
        <v>253</v>
      </c>
      <c r="M69" s="162" t="s">
        <v>254</v>
      </c>
      <c r="N69" s="162" t="s">
        <v>145</v>
      </c>
      <c r="O69" s="162" t="s">
        <v>255</v>
      </c>
      <c r="P69" s="162" t="s">
        <v>220</v>
      </c>
      <c r="Q69" s="162" t="s">
        <v>221</v>
      </c>
      <c r="R69" s="165">
        <v>43826</v>
      </c>
      <c r="S69" s="149">
        <v>2980</v>
      </c>
      <c r="T69" s="136" t="s">
        <v>242</v>
      </c>
      <c r="U69" s="136">
        <v>2980</v>
      </c>
      <c r="V69" s="136">
        <v>0</v>
      </c>
      <c r="W69" s="175" t="s">
        <v>563</v>
      </c>
      <c r="X69" s="164"/>
      <c r="Y69" s="164"/>
      <c r="Z69" s="164"/>
      <c r="AA69" s="164" t="s">
        <v>120</v>
      </c>
      <c r="AB69" s="164"/>
      <c r="AV69" s="76"/>
      <c r="AY69" s="101"/>
      <c r="AZ69" s="101"/>
    </row>
    <row r="70" spans="1:257" ht="30">
      <c r="A70" s="91"/>
      <c r="B70" s="61" t="s">
        <v>62</v>
      </c>
      <c r="C70" s="61" t="s">
        <v>305</v>
      </c>
      <c r="D70" s="67" t="s">
        <v>135</v>
      </c>
      <c r="E70" s="69" t="s">
        <v>91</v>
      </c>
      <c r="F70" s="92">
        <v>17721253209</v>
      </c>
      <c r="G70" s="91"/>
      <c r="H70" s="91"/>
      <c r="I70" s="69" t="s">
        <v>306</v>
      </c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89"/>
      <c r="AD70" s="142" t="s">
        <v>136</v>
      </c>
      <c r="AE70" s="142" t="s">
        <v>68</v>
      </c>
      <c r="AF70" s="107">
        <v>43399</v>
      </c>
      <c r="AG70" s="89"/>
      <c r="AH70" s="89"/>
      <c r="AI70" s="89"/>
      <c r="AJ70" s="89"/>
      <c r="AK70" s="89"/>
      <c r="AL70" s="89"/>
      <c r="AM70" s="89"/>
      <c r="AN70" s="76">
        <v>43828</v>
      </c>
      <c r="AO70" s="77" t="s">
        <v>64</v>
      </c>
      <c r="AP70" s="89"/>
      <c r="AQ70" s="77">
        <v>10</v>
      </c>
      <c r="AR70" s="89"/>
      <c r="AS70" s="77" t="s">
        <v>109</v>
      </c>
      <c r="AT70" s="89"/>
      <c r="AU70" s="76" t="s">
        <v>73</v>
      </c>
      <c r="AV70" s="76" t="s">
        <v>73</v>
      </c>
      <c r="AW70" s="77" t="s">
        <v>73</v>
      </c>
      <c r="AX70" s="78">
        <v>2633</v>
      </c>
      <c r="AY70" s="142"/>
      <c r="AZ70" s="142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9"/>
      <c r="EB70" s="89"/>
      <c r="EC70" s="89"/>
      <c r="ED70" s="89"/>
      <c r="EE70" s="89"/>
      <c r="EF70" s="89"/>
      <c r="EG70" s="89"/>
      <c r="EH70" s="89"/>
      <c r="EI70" s="89"/>
      <c r="EJ70" s="89"/>
      <c r="EK70" s="89"/>
      <c r="EL70" s="89"/>
      <c r="EM70" s="89"/>
      <c r="EN70" s="89"/>
      <c r="EO70" s="89"/>
      <c r="EP70" s="89"/>
      <c r="EQ70" s="89"/>
      <c r="ER70" s="89"/>
      <c r="ES70" s="89"/>
      <c r="ET70" s="89"/>
      <c r="EU70" s="89"/>
      <c r="EV70" s="89"/>
      <c r="EW70" s="89"/>
      <c r="EX70" s="89"/>
      <c r="EY70" s="89"/>
      <c r="EZ70" s="89"/>
      <c r="FA70" s="89"/>
      <c r="FB70" s="89"/>
      <c r="FC70" s="89"/>
      <c r="FD70" s="89"/>
      <c r="FE70" s="89"/>
      <c r="FF70" s="89"/>
      <c r="FG70" s="89"/>
      <c r="FH70" s="89"/>
      <c r="FI70" s="89"/>
      <c r="FJ70" s="89"/>
      <c r="FK70" s="89"/>
      <c r="FL70" s="89"/>
      <c r="FM70" s="89"/>
      <c r="FN70" s="89"/>
      <c r="FO70" s="89"/>
      <c r="FP70" s="89"/>
      <c r="FQ70" s="89"/>
      <c r="FR70" s="89"/>
      <c r="FS70" s="89"/>
      <c r="FT70" s="89"/>
      <c r="FU70" s="89"/>
      <c r="FV70" s="89"/>
      <c r="FW70" s="89"/>
      <c r="FX70" s="89"/>
      <c r="FY70" s="89"/>
      <c r="FZ70" s="89"/>
      <c r="GA70" s="89"/>
      <c r="GB70" s="89"/>
      <c r="GC70" s="89"/>
      <c r="GD70" s="89"/>
      <c r="GE70" s="89"/>
      <c r="GF70" s="89"/>
      <c r="GG70" s="89"/>
      <c r="GH70" s="89"/>
      <c r="GI70" s="89"/>
      <c r="GJ70" s="89"/>
      <c r="GK70" s="89"/>
      <c r="GL70" s="89"/>
      <c r="GM70" s="89"/>
      <c r="GN70" s="89"/>
      <c r="GO70" s="89"/>
      <c r="GP70" s="89"/>
      <c r="GQ70" s="89"/>
      <c r="GR70" s="89"/>
      <c r="GS70" s="89"/>
      <c r="GT70" s="89"/>
      <c r="GU70" s="89"/>
      <c r="GV70" s="89"/>
      <c r="GW70" s="89"/>
      <c r="GX70" s="89"/>
      <c r="GY70" s="89"/>
      <c r="GZ70" s="89"/>
      <c r="HA70" s="89"/>
      <c r="HB70" s="89"/>
      <c r="HC70" s="89"/>
      <c r="HD70" s="89"/>
      <c r="HE70" s="89"/>
      <c r="HF70" s="89"/>
      <c r="HG70" s="89"/>
      <c r="HH70" s="89"/>
      <c r="HI70" s="89"/>
      <c r="HJ70" s="89"/>
      <c r="HK70" s="89"/>
      <c r="HL70" s="89"/>
      <c r="HM70" s="89"/>
      <c r="HN70" s="89"/>
      <c r="HO70" s="89"/>
      <c r="HP70" s="89"/>
      <c r="HQ70" s="89"/>
      <c r="HR70" s="89"/>
      <c r="HS70" s="89"/>
      <c r="HT70" s="89"/>
      <c r="HU70" s="89"/>
      <c r="HV70" s="89"/>
      <c r="HW70" s="89"/>
      <c r="HX70" s="89"/>
      <c r="HY70" s="89"/>
      <c r="HZ70" s="89"/>
      <c r="IA70" s="89"/>
      <c r="IB70" s="89"/>
      <c r="IC70" s="89"/>
      <c r="ID70" s="89"/>
      <c r="IE70" s="89"/>
      <c r="IF70" s="89"/>
      <c r="IG70" s="89"/>
      <c r="IH70" s="89"/>
      <c r="II70" s="89"/>
      <c r="IJ70" s="89"/>
      <c r="IK70" s="89"/>
      <c r="IL70" s="89"/>
      <c r="IM70" s="89"/>
      <c r="IN70" s="89"/>
      <c r="IO70" s="89"/>
      <c r="IP70" s="89"/>
      <c r="IQ70" s="89"/>
      <c r="IR70" s="89"/>
      <c r="IS70" s="89"/>
      <c r="IT70" s="89"/>
      <c r="IU70" s="89"/>
      <c r="IV70" s="89"/>
      <c r="IW70" s="89"/>
    </row>
    <row r="71" spans="1:257" ht="30">
      <c r="A71" s="136" t="s">
        <v>213</v>
      </c>
      <c r="B71" s="136" t="s">
        <v>120</v>
      </c>
      <c r="C71" s="61" t="s">
        <v>564</v>
      </c>
      <c r="D71" s="161" t="s">
        <v>65</v>
      </c>
      <c r="E71" s="183" t="s">
        <v>565</v>
      </c>
      <c r="F71" s="162">
        <v>13564256360</v>
      </c>
      <c r="G71" s="163">
        <v>43835.541666666701</v>
      </c>
      <c r="H71" s="162" t="s">
        <v>215</v>
      </c>
      <c r="I71" s="162" t="s">
        <v>141</v>
      </c>
      <c r="J71" s="162" t="s">
        <v>566</v>
      </c>
      <c r="K71" s="162" t="s">
        <v>567</v>
      </c>
      <c r="L71" s="162" t="s">
        <v>327</v>
      </c>
      <c r="M71" s="162" t="s">
        <v>568</v>
      </c>
      <c r="N71" s="162" t="s">
        <v>145</v>
      </c>
      <c r="O71" s="162" t="s">
        <v>255</v>
      </c>
      <c r="P71" s="162" t="s">
        <v>220</v>
      </c>
      <c r="Q71" s="162" t="s">
        <v>221</v>
      </c>
      <c r="R71" s="165">
        <v>43828</v>
      </c>
      <c r="S71" s="149">
        <v>500</v>
      </c>
      <c r="T71" s="136" t="s">
        <v>90</v>
      </c>
      <c r="U71" s="136">
        <v>4280</v>
      </c>
      <c r="V71" s="136">
        <v>3780</v>
      </c>
      <c r="W71" s="175" t="s">
        <v>569</v>
      </c>
      <c r="X71" s="164" t="s">
        <v>168</v>
      </c>
      <c r="Y71" s="164"/>
      <c r="Z71" s="164"/>
      <c r="AA71" s="164" t="s">
        <v>120</v>
      </c>
      <c r="AB71" s="164" t="s">
        <v>100</v>
      </c>
      <c r="AV71" s="115"/>
      <c r="AY71" s="101"/>
      <c r="AZ71" s="101"/>
    </row>
    <row r="72" spans="1:257" ht="60">
      <c r="A72" s="136"/>
      <c r="B72" s="136" t="s">
        <v>120</v>
      </c>
      <c r="C72" s="61" t="s">
        <v>570</v>
      </c>
      <c r="D72" s="161" t="s">
        <v>205</v>
      </c>
      <c r="E72" s="161" t="s">
        <v>66</v>
      </c>
      <c r="F72" s="162">
        <v>13917983800</v>
      </c>
      <c r="G72" s="163" t="s">
        <v>571</v>
      </c>
      <c r="H72" s="162" t="s">
        <v>215</v>
      </c>
      <c r="I72" s="162" t="s">
        <v>122</v>
      </c>
      <c r="J72" s="162" t="s">
        <v>572</v>
      </c>
      <c r="K72" s="162" t="s">
        <v>516</v>
      </c>
      <c r="L72" s="162" t="s">
        <v>253</v>
      </c>
      <c r="M72" s="162">
        <v>16</v>
      </c>
      <c r="N72" s="162" t="s">
        <v>145</v>
      </c>
      <c r="O72" s="162" t="s">
        <v>255</v>
      </c>
      <c r="P72" s="162" t="s">
        <v>220</v>
      </c>
      <c r="Q72" s="162" t="s">
        <v>221</v>
      </c>
      <c r="R72" s="165">
        <v>43828</v>
      </c>
      <c r="S72" s="149">
        <v>2980</v>
      </c>
      <c r="T72" s="136" t="s">
        <v>98</v>
      </c>
      <c r="U72" s="136">
        <v>2980</v>
      </c>
      <c r="V72" s="136">
        <v>0</v>
      </c>
      <c r="W72" s="175" t="s">
        <v>573</v>
      </c>
      <c r="X72" s="164" t="s">
        <v>76</v>
      </c>
      <c r="Y72" s="164" t="s">
        <v>131</v>
      </c>
      <c r="Z72" s="164"/>
      <c r="AA72" s="164" t="s">
        <v>120</v>
      </c>
      <c r="AB72" s="164" t="s">
        <v>100</v>
      </c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101"/>
      <c r="AZ72" s="101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89"/>
      <c r="EJ72" s="89"/>
      <c r="EK72" s="89"/>
      <c r="EL72" s="89"/>
      <c r="EM72" s="89"/>
      <c r="EN72" s="89"/>
      <c r="EO72" s="89"/>
      <c r="EP72" s="89"/>
      <c r="EQ72" s="89"/>
      <c r="ER72" s="89"/>
      <c r="ES72" s="89"/>
      <c r="ET72" s="89"/>
      <c r="EU72" s="89"/>
      <c r="EV72" s="89"/>
      <c r="EW72" s="89"/>
      <c r="EX72" s="89"/>
      <c r="EY72" s="89"/>
      <c r="EZ72" s="89"/>
      <c r="FA72" s="89"/>
      <c r="FB72" s="89"/>
      <c r="FC72" s="89"/>
      <c r="FD72" s="89"/>
      <c r="FE72" s="89"/>
      <c r="FF72" s="89"/>
      <c r="FG72" s="89"/>
      <c r="FH72" s="89"/>
      <c r="FI72" s="89"/>
      <c r="FJ72" s="89"/>
      <c r="FK72" s="89"/>
      <c r="FL72" s="89"/>
      <c r="FM72" s="89"/>
      <c r="FN72" s="89"/>
      <c r="FO72" s="89"/>
      <c r="FP72" s="89"/>
      <c r="FQ72" s="89"/>
      <c r="FR72" s="89"/>
      <c r="FS72" s="89"/>
      <c r="FT72" s="89"/>
      <c r="FU72" s="89"/>
      <c r="FV72" s="89"/>
      <c r="FW72" s="89"/>
      <c r="FX72" s="89"/>
      <c r="FY72" s="89"/>
      <c r="FZ72" s="89"/>
      <c r="GA72" s="89"/>
      <c r="GB72" s="89"/>
      <c r="GC72" s="89"/>
      <c r="GD72" s="89"/>
      <c r="GE72" s="89"/>
      <c r="GF72" s="89"/>
      <c r="GG72" s="89"/>
      <c r="GH72" s="89"/>
      <c r="GI72" s="89"/>
      <c r="GJ72" s="89"/>
      <c r="GK72" s="89"/>
      <c r="GL72" s="89"/>
      <c r="GM72" s="89"/>
      <c r="GN72" s="89"/>
      <c r="GO72" s="89"/>
      <c r="GP72" s="89"/>
      <c r="GQ72" s="89"/>
      <c r="GR72" s="89"/>
      <c r="GS72" s="89"/>
      <c r="GT72" s="89"/>
      <c r="GU72" s="89"/>
      <c r="GV72" s="89"/>
      <c r="GW72" s="89"/>
      <c r="GX72" s="89"/>
      <c r="GY72" s="89"/>
      <c r="GZ72" s="89"/>
      <c r="HA72" s="89"/>
      <c r="HB72" s="89"/>
      <c r="HC72" s="89"/>
      <c r="HD72" s="89"/>
      <c r="HE72" s="89"/>
      <c r="HF72" s="89"/>
      <c r="HG72" s="89"/>
      <c r="HH72" s="89"/>
      <c r="HI72" s="89"/>
      <c r="HJ72" s="89"/>
      <c r="HK72" s="89"/>
      <c r="HL72" s="89"/>
      <c r="HM72" s="89"/>
      <c r="HN72" s="89"/>
      <c r="HO72" s="89"/>
      <c r="HP72" s="89"/>
      <c r="HQ72" s="89"/>
      <c r="HR72" s="89"/>
      <c r="HS72" s="89"/>
      <c r="HT72" s="89"/>
      <c r="HU72" s="89"/>
      <c r="HV72" s="89"/>
      <c r="HW72" s="89"/>
      <c r="HX72" s="89"/>
      <c r="HY72" s="89"/>
      <c r="HZ72" s="89"/>
      <c r="IA72" s="89"/>
      <c r="IB72" s="89"/>
      <c r="IC72" s="89"/>
      <c r="ID72" s="89"/>
      <c r="IE72" s="89"/>
      <c r="IF72" s="89"/>
      <c r="IG72" s="89"/>
      <c r="IH72" s="89"/>
      <c r="II72" s="89"/>
      <c r="IJ72" s="89"/>
      <c r="IK72" s="89"/>
      <c r="IL72" s="89"/>
      <c r="IM72" s="89"/>
      <c r="IN72" s="89"/>
      <c r="IO72" s="89"/>
      <c r="IP72" s="89"/>
      <c r="IQ72" s="89"/>
      <c r="IR72" s="89"/>
      <c r="IS72" s="89"/>
      <c r="IT72" s="89"/>
      <c r="IU72" s="89"/>
      <c r="IV72" s="89"/>
      <c r="IW72" s="89"/>
    </row>
    <row r="73" spans="1:257" ht="45">
      <c r="A73" s="136" t="s">
        <v>213</v>
      </c>
      <c r="B73" s="136" t="s">
        <v>120</v>
      </c>
      <c r="C73" s="61" t="s">
        <v>313</v>
      </c>
      <c r="D73" s="161" t="s">
        <v>314</v>
      </c>
      <c r="E73" s="183" t="s">
        <v>149</v>
      </c>
      <c r="F73" s="162">
        <v>15001889357</v>
      </c>
      <c r="G73" s="163">
        <v>43829.604166666701</v>
      </c>
      <c r="H73" s="162" t="s">
        <v>215</v>
      </c>
      <c r="I73" s="162" t="s">
        <v>315</v>
      </c>
      <c r="J73" s="162" t="s">
        <v>316</v>
      </c>
      <c r="K73" s="185" t="s">
        <v>227</v>
      </c>
      <c r="L73" s="162" t="s">
        <v>253</v>
      </c>
      <c r="M73" s="162" t="s">
        <v>317</v>
      </c>
      <c r="N73" s="162" t="s">
        <v>106</v>
      </c>
      <c r="O73" s="162" t="s">
        <v>106</v>
      </c>
      <c r="P73" s="162" t="s">
        <v>220</v>
      </c>
      <c r="Q73" s="162" t="s">
        <v>221</v>
      </c>
      <c r="R73" s="165">
        <v>43826</v>
      </c>
      <c r="S73" s="149">
        <v>500</v>
      </c>
      <c r="T73" s="136" t="s">
        <v>90</v>
      </c>
      <c r="U73" s="136">
        <v>1500</v>
      </c>
      <c r="V73" s="136">
        <v>1000</v>
      </c>
      <c r="W73" s="186" t="s">
        <v>318</v>
      </c>
      <c r="X73" s="164" t="s">
        <v>76</v>
      </c>
      <c r="Y73" s="164"/>
      <c r="Z73" s="164"/>
      <c r="AA73" s="164" t="s">
        <v>120</v>
      </c>
      <c r="AB73" s="164"/>
      <c r="AN73" s="76">
        <v>43829</v>
      </c>
      <c r="AO73" s="77" t="s">
        <v>97</v>
      </c>
      <c r="AP73" s="61"/>
      <c r="AQ73" s="77" t="s">
        <v>319</v>
      </c>
      <c r="AR73" s="61"/>
      <c r="AS73" s="77" t="s">
        <v>80</v>
      </c>
      <c r="AT73" s="61"/>
      <c r="AU73" s="76">
        <v>43829</v>
      </c>
      <c r="AV73" s="78">
        <v>1000</v>
      </c>
      <c r="AW73" s="77" t="s">
        <v>90</v>
      </c>
      <c r="AX73" s="78">
        <v>1500</v>
      </c>
      <c r="AY73" s="142"/>
      <c r="AZ73" s="142"/>
      <c r="BA73" s="61" t="s">
        <v>120</v>
      </c>
      <c r="BB73" s="107">
        <v>43829</v>
      </c>
      <c r="BC73" s="61">
        <v>200</v>
      </c>
      <c r="BD73" s="61" t="s">
        <v>98</v>
      </c>
      <c r="BE73" s="61" t="s">
        <v>105</v>
      </c>
      <c r="BF73" s="61"/>
      <c r="BG73" s="61"/>
      <c r="BJ73" s="61"/>
      <c r="BK73" s="61"/>
      <c r="BL73" s="61"/>
      <c r="BM73" s="61"/>
    </row>
    <row r="74" spans="1:257" ht="75">
      <c r="A74" s="136" t="s">
        <v>213</v>
      </c>
      <c r="B74" s="136" t="s">
        <v>120</v>
      </c>
      <c r="C74" s="61" t="s">
        <v>574</v>
      </c>
      <c r="D74" s="161" t="s">
        <v>575</v>
      </c>
      <c r="E74" s="183" t="s">
        <v>576</v>
      </c>
      <c r="F74" s="162">
        <v>15921401613</v>
      </c>
      <c r="G74" s="163">
        <v>43839.5625</v>
      </c>
      <c r="H74" s="162" t="s">
        <v>215</v>
      </c>
      <c r="I74" s="162" t="s">
        <v>577</v>
      </c>
      <c r="J74" s="162" t="s">
        <v>578</v>
      </c>
      <c r="K74" s="162" t="s">
        <v>579</v>
      </c>
      <c r="L74" s="162" t="s">
        <v>327</v>
      </c>
      <c r="M74" s="162" t="s">
        <v>268</v>
      </c>
      <c r="N74" s="162" t="s">
        <v>145</v>
      </c>
      <c r="O74" s="162" t="s">
        <v>240</v>
      </c>
      <c r="P74" s="162" t="s">
        <v>220</v>
      </c>
      <c r="Q74" s="162" t="s">
        <v>221</v>
      </c>
      <c r="R74" s="165">
        <v>43829</v>
      </c>
      <c r="S74" s="149">
        <v>3680</v>
      </c>
      <c r="T74" s="136" t="s">
        <v>98</v>
      </c>
      <c r="U74" s="136">
        <v>3680</v>
      </c>
      <c r="V74" s="136">
        <v>0</v>
      </c>
      <c r="W74" s="186" t="s">
        <v>580</v>
      </c>
      <c r="X74" s="164" t="s">
        <v>242</v>
      </c>
      <c r="Y74" s="164"/>
      <c r="Z74" s="164"/>
      <c r="AA74" s="164" t="s">
        <v>120</v>
      </c>
      <c r="AB74" s="164" t="s">
        <v>99</v>
      </c>
      <c r="AY74" s="66"/>
      <c r="AZ74" s="66"/>
    </row>
    <row r="75" spans="1:257" ht="90">
      <c r="A75" s="136" t="s">
        <v>213</v>
      </c>
      <c r="B75" s="136" t="s">
        <v>120</v>
      </c>
      <c r="C75" s="61" t="s">
        <v>581</v>
      </c>
      <c r="D75" s="161" t="s">
        <v>582</v>
      </c>
      <c r="E75" s="183" t="s">
        <v>583</v>
      </c>
      <c r="F75" s="162">
        <v>13040626829</v>
      </c>
      <c r="G75" s="163">
        <v>43834.395833333299</v>
      </c>
      <c r="H75" s="162" t="s">
        <v>215</v>
      </c>
      <c r="I75" s="162" t="s">
        <v>584</v>
      </c>
      <c r="J75" s="162" t="s">
        <v>585</v>
      </c>
      <c r="K75" s="162" t="s">
        <v>516</v>
      </c>
      <c r="L75" s="162" t="s">
        <v>586</v>
      </c>
      <c r="M75" s="162">
        <v>38</v>
      </c>
      <c r="N75" s="162" t="s">
        <v>145</v>
      </c>
      <c r="O75" s="162" t="s">
        <v>587</v>
      </c>
      <c r="P75" s="162" t="s">
        <v>220</v>
      </c>
      <c r="Q75" s="162" t="s">
        <v>221</v>
      </c>
      <c r="R75" s="165">
        <v>43829</v>
      </c>
      <c r="S75" s="149">
        <v>500</v>
      </c>
      <c r="T75" s="136" t="s">
        <v>90</v>
      </c>
      <c r="U75" s="136">
        <v>6980</v>
      </c>
      <c r="V75" s="136">
        <v>6480</v>
      </c>
      <c r="W75" s="186" t="s">
        <v>588</v>
      </c>
      <c r="X75" s="164" t="s">
        <v>184</v>
      </c>
      <c r="Y75" s="164"/>
      <c r="Z75" s="164"/>
      <c r="AA75" s="164" t="s">
        <v>120</v>
      </c>
      <c r="AB75" s="164" t="s">
        <v>99</v>
      </c>
      <c r="AY75" s="66"/>
      <c r="AZ75" s="66"/>
    </row>
    <row r="76" spans="1:257" ht="30">
      <c r="A76" s="136"/>
      <c r="B76" s="136" t="s">
        <v>120</v>
      </c>
      <c r="C76" s="61" t="s">
        <v>589</v>
      </c>
      <c r="D76" s="161" t="s">
        <v>159</v>
      </c>
      <c r="E76" s="183" t="s">
        <v>590</v>
      </c>
      <c r="F76" s="162">
        <v>18516652770</v>
      </c>
      <c r="G76" s="163" t="s">
        <v>151</v>
      </c>
      <c r="H76" s="162" t="s">
        <v>215</v>
      </c>
      <c r="I76" s="162" t="s">
        <v>151</v>
      </c>
      <c r="J76" s="162" t="s">
        <v>591</v>
      </c>
      <c r="K76" s="162" t="s">
        <v>151</v>
      </c>
      <c r="L76" s="162" t="s">
        <v>151</v>
      </c>
      <c r="M76" s="162" t="s">
        <v>151</v>
      </c>
      <c r="N76" s="162" t="s">
        <v>151</v>
      </c>
      <c r="O76" s="162" t="s">
        <v>151</v>
      </c>
      <c r="P76" s="162" t="s">
        <v>220</v>
      </c>
      <c r="Q76" s="162" t="s">
        <v>221</v>
      </c>
      <c r="R76" s="165">
        <v>43828</v>
      </c>
      <c r="S76" s="149">
        <v>500</v>
      </c>
      <c r="T76" s="136" t="s">
        <v>90</v>
      </c>
      <c r="U76" s="136">
        <v>0</v>
      </c>
      <c r="V76" s="136">
        <v>0</v>
      </c>
      <c r="W76" s="186"/>
      <c r="X76" s="164"/>
      <c r="Y76" s="164"/>
      <c r="Z76" s="164"/>
      <c r="AA76" s="164" t="s">
        <v>120</v>
      </c>
      <c r="AB76" s="164"/>
      <c r="AY76" s="66"/>
      <c r="AZ76" s="66"/>
    </row>
    <row r="77" spans="1:257" ht="75">
      <c r="A77" s="136"/>
      <c r="B77" s="136" t="s">
        <v>120</v>
      </c>
      <c r="C77" s="61" t="s">
        <v>592</v>
      </c>
      <c r="D77" s="161" t="s">
        <v>119</v>
      </c>
      <c r="E77" s="183" t="s">
        <v>295</v>
      </c>
      <c r="F77" s="162">
        <v>13791008517</v>
      </c>
      <c r="G77" s="163" t="s">
        <v>593</v>
      </c>
      <c r="H77" s="162" t="s">
        <v>215</v>
      </c>
      <c r="I77" s="162" t="s">
        <v>151</v>
      </c>
      <c r="J77" s="162" t="s">
        <v>296</v>
      </c>
      <c r="K77" s="185" t="s">
        <v>227</v>
      </c>
      <c r="L77" s="162" t="s">
        <v>217</v>
      </c>
      <c r="M77" s="162" t="s">
        <v>151</v>
      </c>
      <c r="N77" s="162" t="s">
        <v>151</v>
      </c>
      <c r="O77" s="162" t="s">
        <v>151</v>
      </c>
      <c r="P77" s="162" t="s">
        <v>220</v>
      </c>
      <c r="Q77" s="162" t="s">
        <v>297</v>
      </c>
      <c r="R77" s="165">
        <v>43829</v>
      </c>
      <c r="S77" s="149">
        <v>500</v>
      </c>
      <c r="T77" s="136" t="s">
        <v>98</v>
      </c>
      <c r="U77" s="136" t="s">
        <v>151</v>
      </c>
      <c r="V77" s="136" t="s">
        <v>151</v>
      </c>
      <c r="W77" s="186" t="s">
        <v>594</v>
      </c>
      <c r="X77" s="164"/>
      <c r="Y77" s="164"/>
      <c r="Z77" s="164"/>
      <c r="AA77" s="164" t="s">
        <v>120</v>
      </c>
      <c r="AB77" s="164"/>
      <c r="AY77" s="66"/>
      <c r="AZ77" s="66"/>
    </row>
    <row r="78" spans="1:257" ht="30">
      <c r="A78" s="136" t="s">
        <v>213</v>
      </c>
      <c r="B78" s="136" t="s">
        <v>120</v>
      </c>
      <c r="C78" s="61" t="s">
        <v>595</v>
      </c>
      <c r="D78" s="161" t="s">
        <v>596</v>
      </c>
      <c r="E78" s="183" t="s">
        <v>88</v>
      </c>
      <c r="F78" s="162">
        <v>18101882551</v>
      </c>
      <c r="G78" s="163">
        <v>43863.666666666701</v>
      </c>
      <c r="H78" s="162" t="s">
        <v>215</v>
      </c>
      <c r="I78" s="162" t="s">
        <v>101</v>
      </c>
      <c r="J78" s="162" t="s">
        <v>597</v>
      </c>
      <c r="K78" s="162" t="s">
        <v>598</v>
      </c>
      <c r="L78" s="162" t="s">
        <v>253</v>
      </c>
      <c r="M78" s="162">
        <v>12</v>
      </c>
      <c r="N78" s="162" t="s">
        <v>145</v>
      </c>
      <c r="O78" s="162" t="s">
        <v>255</v>
      </c>
      <c r="P78" s="162" t="s">
        <v>220</v>
      </c>
      <c r="Q78" s="162" t="s">
        <v>221</v>
      </c>
      <c r="R78" s="165">
        <v>43830</v>
      </c>
      <c r="S78" s="149">
        <v>500</v>
      </c>
      <c r="T78" s="136" t="s">
        <v>90</v>
      </c>
      <c r="U78" s="136">
        <v>2880</v>
      </c>
      <c r="V78" s="136">
        <v>2380</v>
      </c>
      <c r="W78" s="186" t="s">
        <v>73</v>
      </c>
      <c r="X78" s="164"/>
      <c r="Y78" s="164"/>
      <c r="Z78" s="164"/>
      <c r="AA78" s="164" t="s">
        <v>120</v>
      </c>
      <c r="AB78" s="164" t="s">
        <v>100</v>
      </c>
      <c r="AY78" s="66"/>
      <c r="AZ78" s="66"/>
    </row>
    <row r="79" spans="1:257" ht="60">
      <c r="A79" s="136" t="s">
        <v>213</v>
      </c>
      <c r="B79" s="136" t="s">
        <v>120</v>
      </c>
      <c r="C79" s="61" t="s">
        <v>599</v>
      </c>
      <c r="D79" s="161" t="s">
        <v>600</v>
      </c>
      <c r="E79" s="183" t="s">
        <v>601</v>
      </c>
      <c r="F79" s="162">
        <v>13801831534</v>
      </c>
      <c r="G79" s="163">
        <v>43843.6875</v>
      </c>
      <c r="H79" s="162" t="s">
        <v>215</v>
      </c>
      <c r="I79" s="162" t="s">
        <v>122</v>
      </c>
      <c r="J79" s="162" t="s">
        <v>602</v>
      </c>
      <c r="K79" s="162" t="s">
        <v>516</v>
      </c>
      <c r="L79" s="162" t="s">
        <v>253</v>
      </c>
      <c r="M79" s="162" t="s">
        <v>603</v>
      </c>
      <c r="N79" s="162" t="s">
        <v>145</v>
      </c>
      <c r="O79" s="162" t="s">
        <v>106</v>
      </c>
      <c r="P79" s="162" t="s">
        <v>220</v>
      </c>
      <c r="Q79" s="162" t="s">
        <v>604</v>
      </c>
      <c r="R79" s="165">
        <v>43830</v>
      </c>
      <c r="S79" s="149">
        <v>2480</v>
      </c>
      <c r="T79" s="136" t="s">
        <v>242</v>
      </c>
      <c r="U79" s="136">
        <v>2480</v>
      </c>
      <c r="V79" s="136">
        <v>0</v>
      </c>
      <c r="W79" s="186" t="s">
        <v>605</v>
      </c>
      <c r="X79" s="164" t="s">
        <v>80</v>
      </c>
      <c r="Y79" s="164"/>
      <c r="Z79" s="164"/>
      <c r="AA79" s="164" t="s">
        <v>120</v>
      </c>
      <c r="AB79" s="164" t="s">
        <v>99</v>
      </c>
      <c r="AY79" s="66"/>
      <c r="AZ79" s="66"/>
    </row>
    <row r="80" spans="1:257" ht="75">
      <c r="A80" s="136" t="s">
        <v>213</v>
      </c>
      <c r="B80" s="136" t="s">
        <v>120</v>
      </c>
      <c r="C80" s="184" t="s">
        <v>606</v>
      </c>
      <c r="D80" s="161" t="s">
        <v>607</v>
      </c>
      <c r="E80" s="183" t="s">
        <v>608</v>
      </c>
      <c r="F80" s="162">
        <v>13661627362</v>
      </c>
      <c r="G80" s="163">
        <v>43876.416666666701</v>
      </c>
      <c r="H80" s="162" t="s">
        <v>215</v>
      </c>
      <c r="I80" s="162" t="s">
        <v>187</v>
      </c>
      <c r="J80" s="162" t="s">
        <v>609</v>
      </c>
      <c r="K80" s="162" t="s">
        <v>516</v>
      </c>
      <c r="L80" s="162" t="s">
        <v>238</v>
      </c>
      <c r="M80" s="162">
        <v>18</v>
      </c>
      <c r="N80" s="162" t="s">
        <v>145</v>
      </c>
      <c r="O80" s="162" t="s">
        <v>240</v>
      </c>
      <c r="P80" s="162" t="s">
        <v>220</v>
      </c>
      <c r="Q80" s="162" t="s">
        <v>221</v>
      </c>
      <c r="R80" s="165">
        <v>43831</v>
      </c>
      <c r="S80" s="149">
        <v>500</v>
      </c>
      <c r="T80" s="136" t="s">
        <v>90</v>
      </c>
      <c r="U80" s="136">
        <v>4180</v>
      </c>
      <c r="V80" s="136">
        <v>3680</v>
      </c>
      <c r="W80" s="186" t="s">
        <v>610</v>
      </c>
      <c r="X80" s="164"/>
      <c r="Y80" s="164"/>
      <c r="Z80" s="164"/>
      <c r="AA80" s="164" t="s">
        <v>120</v>
      </c>
      <c r="AB80" s="164" t="s">
        <v>100</v>
      </c>
      <c r="AY80" s="66"/>
      <c r="AZ80" s="66"/>
    </row>
    <row r="81" spans="51:52">
      <c r="AY81" s="66"/>
      <c r="AZ81" s="66"/>
    </row>
    <row r="82" spans="51:52">
      <c r="AY82" s="66"/>
      <c r="AZ82" s="66"/>
    </row>
    <row r="83" spans="51:52">
      <c r="AY83" s="66"/>
      <c r="AZ83" s="66"/>
    </row>
    <row r="84" spans="51:52">
      <c r="AY84" s="66"/>
      <c r="AZ84" s="66"/>
    </row>
    <row r="85" spans="51:52">
      <c r="AY85" s="66"/>
      <c r="AZ85" s="66"/>
    </row>
    <row r="86" spans="51:52">
      <c r="AY86" s="66"/>
      <c r="AZ86" s="66"/>
    </row>
    <row r="87" spans="51:52">
      <c r="AY87" s="66"/>
      <c r="AZ87" s="66"/>
    </row>
    <row r="88" spans="51:52">
      <c r="AY88" s="66"/>
      <c r="AZ88" s="66"/>
    </row>
    <row r="89" spans="51:52">
      <c r="AY89" s="66"/>
      <c r="AZ89" s="66"/>
    </row>
    <row r="90" spans="51:52">
      <c r="AY90" s="66"/>
      <c r="AZ90" s="66"/>
    </row>
    <row r="91" spans="51:52">
      <c r="AY91" s="66"/>
      <c r="AZ91" s="66"/>
    </row>
    <row r="92" spans="51:52">
      <c r="AY92" s="66"/>
      <c r="AZ92" s="66"/>
    </row>
    <row r="93" spans="51:52">
      <c r="AY93" s="66"/>
      <c r="AZ93" s="66"/>
    </row>
    <row r="94" spans="51:52">
      <c r="AY94" s="66"/>
      <c r="AZ94" s="66"/>
    </row>
    <row r="95" spans="51:52">
      <c r="AY95" s="66"/>
      <c r="AZ95" s="66"/>
    </row>
    <row r="96" spans="51:52">
      <c r="AY96" s="66"/>
      <c r="AZ96" s="66"/>
    </row>
    <row r="97" spans="51:52">
      <c r="AY97" s="66"/>
      <c r="AZ97" s="66"/>
    </row>
    <row r="98" spans="51:52">
      <c r="AY98" s="66"/>
      <c r="AZ98" s="66"/>
    </row>
    <row r="99" spans="51:52">
      <c r="AY99" s="66"/>
      <c r="AZ99" s="66"/>
    </row>
    <row r="100" spans="51:52">
      <c r="AY100" s="66"/>
      <c r="AZ100" s="66"/>
    </row>
    <row r="101" spans="51:52">
      <c r="AY101" s="66"/>
      <c r="AZ101" s="66"/>
    </row>
    <row r="102" spans="51:52">
      <c r="AY102" s="66"/>
      <c r="AZ102" s="66"/>
    </row>
    <row r="103" spans="51:52">
      <c r="AY103" s="66"/>
      <c r="AZ103" s="66"/>
    </row>
    <row r="104" spans="51:52">
      <c r="AY104" s="66"/>
      <c r="AZ104" s="66"/>
    </row>
    <row r="105" spans="51:52">
      <c r="AY105" s="66"/>
      <c r="AZ105" s="66"/>
    </row>
    <row r="106" spans="51:52">
      <c r="AY106" s="66"/>
      <c r="AZ106" s="66"/>
    </row>
    <row r="107" spans="51:52">
      <c r="AY107" s="66"/>
      <c r="AZ107" s="66"/>
    </row>
    <row r="108" spans="51:52">
      <c r="AY108" s="66"/>
      <c r="AZ108" s="66"/>
    </row>
    <row r="109" spans="51:52">
      <c r="AY109" s="66"/>
      <c r="AZ109" s="66"/>
    </row>
    <row r="110" spans="51:52">
      <c r="AY110" s="66"/>
      <c r="AZ110" s="66"/>
    </row>
    <row r="111" spans="51:52">
      <c r="AY111" s="66"/>
      <c r="AZ111" s="66"/>
    </row>
    <row r="112" spans="51:52">
      <c r="AY112" s="66"/>
      <c r="AZ112" s="66"/>
    </row>
    <row r="113" spans="51:52">
      <c r="AY113" s="66"/>
      <c r="AZ113" s="66"/>
    </row>
    <row r="114" spans="51:52">
      <c r="AY114" s="66"/>
      <c r="AZ114" s="66"/>
    </row>
    <row r="115" spans="51:52">
      <c r="AY115" s="66"/>
      <c r="AZ115" s="66"/>
    </row>
    <row r="116" spans="51:52">
      <c r="AY116" s="66"/>
      <c r="AZ116" s="66"/>
    </row>
    <row r="117" spans="51:52">
      <c r="AY117" s="66"/>
      <c r="AZ117" s="66"/>
    </row>
    <row r="118" spans="51:52">
      <c r="AY118" s="66"/>
      <c r="AZ118" s="66"/>
    </row>
    <row r="119" spans="51:52">
      <c r="AY119" s="66"/>
      <c r="AZ119" s="66"/>
    </row>
    <row r="120" spans="51:52">
      <c r="AY120" s="66"/>
      <c r="AZ120" s="66"/>
    </row>
    <row r="121" spans="51:52">
      <c r="AY121" s="66"/>
      <c r="AZ121" s="66"/>
    </row>
    <row r="122" spans="51:52">
      <c r="AY122" s="66"/>
      <c r="AZ122" s="66"/>
    </row>
    <row r="123" spans="51:52">
      <c r="AY123" s="66"/>
      <c r="AZ123" s="66"/>
    </row>
    <row r="124" spans="51:52">
      <c r="AY124" s="66"/>
      <c r="AZ124" s="66"/>
    </row>
    <row r="125" spans="51:52">
      <c r="AY125" s="66"/>
      <c r="AZ125" s="66"/>
    </row>
    <row r="126" spans="51:52">
      <c r="AY126" s="66"/>
      <c r="AZ126" s="66"/>
    </row>
    <row r="127" spans="51:52">
      <c r="AY127" s="66"/>
      <c r="AZ127" s="66"/>
    </row>
    <row r="128" spans="51:52">
      <c r="AY128" s="66"/>
      <c r="AZ128" s="66"/>
    </row>
    <row r="129" spans="51:52">
      <c r="AY129" s="66"/>
      <c r="AZ129" s="66"/>
    </row>
    <row r="130" spans="51:52">
      <c r="AY130" s="66"/>
      <c r="AZ130" s="66"/>
    </row>
    <row r="131" spans="51:52">
      <c r="AY131" s="66"/>
      <c r="AZ131" s="66"/>
    </row>
    <row r="132" spans="51:52">
      <c r="AY132" s="66"/>
      <c r="AZ132" s="66"/>
    </row>
    <row r="133" spans="51:52">
      <c r="AY133" s="66"/>
      <c r="AZ133" s="66"/>
    </row>
    <row r="134" spans="51:52">
      <c r="AY134" s="66"/>
      <c r="AZ134" s="66"/>
    </row>
    <row r="135" spans="51:52">
      <c r="AY135" s="66"/>
      <c r="AZ135" s="66"/>
    </row>
    <row r="136" spans="51:52">
      <c r="AY136" s="66"/>
      <c r="AZ136" s="66"/>
    </row>
    <row r="137" spans="51:52">
      <c r="AY137" s="66"/>
      <c r="AZ137" s="66"/>
    </row>
    <row r="138" spans="51:52">
      <c r="AY138" s="66"/>
      <c r="AZ138" s="66"/>
    </row>
    <row r="139" spans="51:52">
      <c r="AY139" s="66"/>
      <c r="AZ139" s="66"/>
    </row>
    <row r="140" spans="51:52">
      <c r="AY140" s="66"/>
      <c r="AZ140" s="66"/>
    </row>
    <row r="141" spans="51:52">
      <c r="AY141" s="66"/>
      <c r="AZ141" s="66"/>
    </row>
    <row r="142" spans="51:52">
      <c r="AY142" s="66"/>
      <c r="AZ142" s="66"/>
    </row>
    <row r="143" spans="51:52">
      <c r="AY143" s="66"/>
      <c r="AZ143" s="66"/>
    </row>
    <row r="144" spans="51:52">
      <c r="AY144" s="66"/>
      <c r="AZ144" s="66"/>
    </row>
    <row r="145" spans="51:52">
      <c r="AY145" s="66"/>
      <c r="AZ145" s="66"/>
    </row>
    <row r="146" spans="51:52">
      <c r="AY146" s="66"/>
      <c r="AZ146" s="66"/>
    </row>
    <row r="147" spans="51:52">
      <c r="AY147" s="66"/>
      <c r="AZ147" s="66"/>
    </row>
    <row r="148" spans="51:52">
      <c r="AY148" s="66"/>
      <c r="AZ148" s="66"/>
    </row>
    <row r="149" spans="51:52">
      <c r="AY149" s="66"/>
      <c r="AZ149" s="66"/>
    </row>
    <row r="150" spans="51:52">
      <c r="AY150" s="66"/>
      <c r="AZ150" s="66"/>
    </row>
    <row r="151" spans="51:52">
      <c r="AY151" s="66"/>
      <c r="AZ151" s="66"/>
    </row>
    <row r="152" spans="51:52">
      <c r="AY152" s="66"/>
      <c r="AZ152" s="66"/>
    </row>
    <row r="153" spans="51:52">
      <c r="AY153" s="66"/>
      <c r="AZ153" s="66"/>
    </row>
    <row r="154" spans="51:52">
      <c r="AY154" s="66"/>
      <c r="AZ154" s="66"/>
    </row>
    <row r="155" spans="51:52">
      <c r="AY155" s="66"/>
      <c r="AZ155" s="66"/>
    </row>
    <row r="156" spans="51:52">
      <c r="AY156" s="66"/>
      <c r="AZ156" s="66"/>
    </row>
    <row r="157" spans="51:52">
      <c r="AY157" s="66"/>
      <c r="AZ157" s="66"/>
    </row>
    <row r="158" spans="51:52">
      <c r="AY158" s="66"/>
      <c r="AZ158" s="66"/>
    </row>
    <row r="159" spans="51:52">
      <c r="AY159" s="66"/>
      <c r="AZ159" s="66"/>
    </row>
    <row r="160" spans="51:52">
      <c r="AY160" s="66"/>
      <c r="AZ160" s="66"/>
    </row>
    <row r="161" spans="51:52">
      <c r="AY161" s="66"/>
      <c r="AZ161" s="66"/>
    </row>
    <row r="162" spans="51:52">
      <c r="AY162" s="66"/>
      <c r="AZ162" s="66"/>
    </row>
    <row r="163" spans="51:52">
      <c r="AY163" s="66"/>
      <c r="AZ163" s="66"/>
    </row>
    <row r="164" spans="51:52">
      <c r="AY164" s="66"/>
      <c r="AZ164" s="66"/>
    </row>
    <row r="165" spans="51:52">
      <c r="AY165" s="66"/>
      <c r="AZ165" s="66"/>
    </row>
    <row r="166" spans="51:52">
      <c r="AY166" s="66"/>
      <c r="AZ166" s="66"/>
    </row>
    <row r="167" spans="51:52">
      <c r="AY167" s="66"/>
      <c r="AZ167" s="66"/>
    </row>
    <row r="168" spans="51:52">
      <c r="AY168" s="66"/>
      <c r="AZ168" s="66"/>
    </row>
    <row r="169" spans="51:52">
      <c r="AY169" s="66"/>
      <c r="AZ169" s="66"/>
    </row>
    <row r="170" spans="51:52">
      <c r="AY170" s="66"/>
      <c r="AZ170" s="66"/>
    </row>
    <row r="171" spans="51:52">
      <c r="AY171" s="66"/>
      <c r="AZ171" s="66"/>
    </row>
    <row r="172" spans="51:52">
      <c r="AY172" s="66"/>
      <c r="AZ172" s="66"/>
    </row>
    <row r="173" spans="51:52">
      <c r="AY173" s="66"/>
      <c r="AZ173" s="66"/>
    </row>
    <row r="174" spans="51:52">
      <c r="AY174" s="66"/>
      <c r="AZ174" s="66"/>
    </row>
    <row r="175" spans="51:52">
      <c r="AY175" s="66"/>
      <c r="AZ175" s="66"/>
    </row>
    <row r="176" spans="51:52">
      <c r="AY176" s="66"/>
      <c r="AZ176" s="66"/>
    </row>
    <row r="177" spans="51:52">
      <c r="AY177" s="66"/>
      <c r="AZ177" s="66"/>
    </row>
    <row r="178" spans="51:52">
      <c r="AY178" s="66"/>
      <c r="AZ178" s="66"/>
    </row>
    <row r="179" spans="51:52">
      <c r="AY179" s="66"/>
      <c r="AZ179" s="66"/>
    </row>
    <row r="180" spans="51:52">
      <c r="AY180" s="66"/>
      <c r="AZ180" s="66"/>
    </row>
    <row r="181" spans="51:52">
      <c r="AY181" s="66"/>
      <c r="AZ181" s="66"/>
    </row>
    <row r="182" spans="51:52">
      <c r="AY182" s="66"/>
      <c r="AZ182" s="66"/>
    </row>
    <row r="183" spans="51:52">
      <c r="AY183" s="66"/>
      <c r="AZ183" s="66"/>
    </row>
    <row r="184" spans="51:52">
      <c r="AY184" s="66"/>
      <c r="AZ184" s="66"/>
    </row>
    <row r="185" spans="51:52">
      <c r="AY185" s="66"/>
      <c r="AZ185" s="66"/>
    </row>
    <row r="186" spans="51:52">
      <c r="AY186" s="66"/>
      <c r="AZ186" s="66"/>
    </row>
    <row r="187" spans="51:52">
      <c r="AY187" s="66"/>
      <c r="AZ187" s="66"/>
    </row>
    <row r="188" spans="51:52">
      <c r="AY188" s="66"/>
      <c r="AZ188" s="66"/>
    </row>
    <row r="189" spans="51:52">
      <c r="AY189" s="66"/>
      <c r="AZ189" s="66"/>
    </row>
    <row r="190" spans="51:52">
      <c r="AY190" s="66"/>
      <c r="AZ190" s="66"/>
    </row>
    <row r="191" spans="51:52">
      <c r="AY191" s="66"/>
      <c r="AZ191" s="66"/>
    </row>
    <row r="192" spans="51:52">
      <c r="AY192" s="66"/>
      <c r="AZ192" s="66"/>
    </row>
    <row r="193" spans="51:52">
      <c r="AY193" s="66"/>
      <c r="AZ193" s="66"/>
    </row>
    <row r="194" spans="51:52">
      <c r="AY194" s="66"/>
      <c r="AZ194" s="66"/>
    </row>
    <row r="195" spans="51:52">
      <c r="AY195" s="66"/>
      <c r="AZ195" s="66"/>
    </row>
    <row r="196" spans="51:52">
      <c r="AY196" s="66"/>
      <c r="AZ196" s="66"/>
    </row>
    <row r="197" spans="51:52">
      <c r="AY197" s="66"/>
      <c r="AZ197" s="66"/>
    </row>
    <row r="198" spans="51:52">
      <c r="AY198" s="66"/>
      <c r="AZ198" s="66"/>
    </row>
    <row r="199" spans="51:52">
      <c r="AY199" s="66"/>
      <c r="AZ199" s="66"/>
    </row>
    <row r="200" spans="51:52">
      <c r="AY200" s="66"/>
      <c r="AZ200" s="66"/>
    </row>
    <row r="201" spans="51:52">
      <c r="AY201" s="66"/>
      <c r="AZ201" s="66"/>
    </row>
    <row r="202" spans="51:52">
      <c r="AY202" s="66"/>
      <c r="AZ202" s="66"/>
    </row>
    <row r="203" spans="51:52">
      <c r="AY203" s="66"/>
      <c r="AZ203" s="66"/>
    </row>
    <row r="204" spans="51:52">
      <c r="AY204" s="66"/>
      <c r="AZ204" s="66"/>
    </row>
    <row r="205" spans="51:52">
      <c r="AY205" s="66"/>
      <c r="AZ205" s="66"/>
    </row>
    <row r="206" spans="51:52">
      <c r="AY206" s="66"/>
      <c r="AZ206" s="66"/>
    </row>
    <row r="207" spans="51:52">
      <c r="AY207" s="66"/>
      <c r="AZ207" s="66"/>
    </row>
    <row r="208" spans="51:52">
      <c r="AY208" s="66"/>
      <c r="AZ208" s="66"/>
    </row>
    <row r="209" spans="51:52">
      <c r="AY209" s="66"/>
      <c r="AZ209" s="66"/>
    </row>
    <row r="210" spans="51:52">
      <c r="AY210" s="66"/>
      <c r="AZ210" s="66"/>
    </row>
    <row r="211" spans="51:52">
      <c r="AY211" s="66"/>
      <c r="AZ211" s="66"/>
    </row>
    <row r="212" spans="51:52">
      <c r="AY212" s="66"/>
      <c r="AZ212" s="66"/>
    </row>
    <row r="213" spans="51:52">
      <c r="AY213" s="66"/>
      <c r="AZ213" s="66"/>
    </row>
    <row r="214" spans="51:52">
      <c r="AY214" s="66"/>
      <c r="AZ214" s="66"/>
    </row>
    <row r="215" spans="51:52">
      <c r="AY215" s="66"/>
      <c r="AZ215" s="66"/>
    </row>
    <row r="216" spans="51:52">
      <c r="AY216" s="66"/>
      <c r="AZ216" s="66"/>
    </row>
    <row r="217" spans="51:52">
      <c r="AY217" s="66"/>
      <c r="AZ217" s="66"/>
    </row>
    <row r="218" spans="51:52">
      <c r="AY218" s="66"/>
      <c r="AZ218" s="66"/>
    </row>
    <row r="219" spans="51:52">
      <c r="AY219" s="66"/>
      <c r="AZ219" s="66"/>
    </row>
    <row r="220" spans="51:52">
      <c r="AY220" s="66"/>
      <c r="AZ220" s="66"/>
    </row>
    <row r="221" spans="51:52">
      <c r="AY221" s="66"/>
      <c r="AZ221" s="66"/>
    </row>
    <row r="222" spans="51:52">
      <c r="AY222" s="66"/>
      <c r="AZ222" s="66"/>
    </row>
    <row r="223" spans="51:52">
      <c r="AY223" s="66"/>
      <c r="AZ223" s="66"/>
    </row>
    <row r="224" spans="51:52">
      <c r="AY224" s="66"/>
      <c r="AZ224" s="66"/>
    </row>
    <row r="225" spans="51:52">
      <c r="AY225" s="66"/>
      <c r="AZ225" s="66"/>
    </row>
    <row r="226" spans="51:52">
      <c r="AY226" s="66"/>
      <c r="AZ226" s="66"/>
    </row>
    <row r="227" spans="51:52">
      <c r="AY227" s="66"/>
      <c r="AZ227" s="66"/>
    </row>
    <row r="228" spans="51:52">
      <c r="AY228" s="66"/>
      <c r="AZ228" s="66"/>
    </row>
    <row r="229" spans="51:52">
      <c r="AY229" s="66"/>
      <c r="AZ229" s="66"/>
    </row>
    <row r="230" spans="51:52">
      <c r="AY230" s="66"/>
      <c r="AZ230" s="66"/>
    </row>
    <row r="231" spans="51:52">
      <c r="AY231" s="66"/>
      <c r="AZ231" s="66"/>
    </row>
    <row r="232" spans="51:52">
      <c r="AY232" s="66"/>
      <c r="AZ232" s="66"/>
    </row>
    <row r="233" spans="51:52">
      <c r="AY233" s="66"/>
      <c r="AZ233" s="66"/>
    </row>
    <row r="234" spans="51:52">
      <c r="AY234" s="66"/>
      <c r="AZ234" s="66"/>
    </row>
    <row r="235" spans="51:52">
      <c r="AY235" s="66"/>
      <c r="AZ235" s="66"/>
    </row>
    <row r="236" spans="51:52">
      <c r="AY236" s="66"/>
      <c r="AZ236" s="66"/>
    </row>
    <row r="237" spans="51:52">
      <c r="AY237" s="66"/>
      <c r="AZ237" s="66"/>
    </row>
    <row r="238" spans="51:52">
      <c r="AY238" s="66"/>
      <c r="AZ238" s="66"/>
    </row>
    <row r="239" spans="51:52">
      <c r="AY239" s="66"/>
      <c r="AZ239" s="66"/>
    </row>
    <row r="240" spans="51:52">
      <c r="AY240" s="66"/>
      <c r="AZ240" s="66"/>
    </row>
    <row r="241" spans="51:52">
      <c r="AY241" s="66"/>
      <c r="AZ241" s="66"/>
    </row>
    <row r="242" spans="51:52">
      <c r="AY242" s="66"/>
      <c r="AZ242" s="66"/>
    </row>
    <row r="243" spans="51:52">
      <c r="AY243" s="66"/>
      <c r="AZ243" s="66"/>
    </row>
    <row r="244" spans="51:52">
      <c r="AY244" s="66"/>
      <c r="AZ244" s="66"/>
    </row>
    <row r="245" spans="51:52">
      <c r="AY245" s="66"/>
      <c r="AZ245" s="66"/>
    </row>
    <row r="246" spans="51:52">
      <c r="AY246" s="66"/>
      <c r="AZ246" s="66"/>
    </row>
    <row r="247" spans="51:52">
      <c r="AY247" s="66"/>
      <c r="AZ247" s="66"/>
    </row>
    <row r="248" spans="51:52">
      <c r="AY248" s="66"/>
      <c r="AZ248" s="66"/>
    </row>
    <row r="249" spans="51:52">
      <c r="AY249" s="66"/>
      <c r="AZ249" s="66"/>
    </row>
    <row r="250" spans="51:52">
      <c r="AY250" s="66"/>
      <c r="AZ250" s="66"/>
    </row>
    <row r="251" spans="51:52">
      <c r="AY251" s="66"/>
      <c r="AZ251" s="66"/>
    </row>
    <row r="252" spans="51:52">
      <c r="AY252" s="66"/>
      <c r="AZ252" s="66"/>
    </row>
    <row r="253" spans="51:52">
      <c r="AY253" s="66"/>
      <c r="AZ253" s="66"/>
    </row>
    <row r="254" spans="51:52">
      <c r="AY254" s="66"/>
      <c r="AZ254" s="66"/>
    </row>
    <row r="255" spans="51:52">
      <c r="AY255" s="66"/>
      <c r="AZ255" s="66"/>
    </row>
    <row r="256" spans="51:52">
      <c r="AY256" s="66"/>
      <c r="AZ256" s="66"/>
    </row>
    <row r="257" spans="51:52">
      <c r="AY257" s="66"/>
      <c r="AZ257" s="66"/>
    </row>
    <row r="258" spans="51:52">
      <c r="AY258" s="66"/>
      <c r="AZ258" s="66"/>
    </row>
    <row r="259" spans="51:52">
      <c r="AY259" s="66"/>
      <c r="AZ259" s="66"/>
    </row>
    <row r="260" spans="51:52">
      <c r="AY260" s="66"/>
      <c r="AZ260" s="66"/>
    </row>
    <row r="261" spans="51:52">
      <c r="AY261" s="66"/>
      <c r="AZ261" s="66"/>
    </row>
    <row r="262" spans="51:52">
      <c r="AY262" s="66"/>
      <c r="AZ262" s="66"/>
    </row>
    <row r="263" spans="51:52">
      <c r="AY263" s="66"/>
      <c r="AZ263" s="66"/>
    </row>
    <row r="264" spans="51:52">
      <c r="AY264" s="66"/>
      <c r="AZ264" s="66"/>
    </row>
    <row r="265" spans="51:52">
      <c r="AY265" s="66"/>
      <c r="AZ265" s="66"/>
    </row>
    <row r="266" spans="51:52">
      <c r="AY266" s="66"/>
      <c r="AZ266" s="66"/>
    </row>
    <row r="267" spans="51:52">
      <c r="AY267" s="66"/>
      <c r="AZ267" s="66"/>
    </row>
    <row r="268" spans="51:52">
      <c r="AY268" s="66"/>
      <c r="AZ268" s="66"/>
    </row>
    <row r="269" spans="51:52">
      <c r="AY269" s="66"/>
      <c r="AZ269" s="66"/>
    </row>
    <row r="270" spans="51:52">
      <c r="AY270" s="66"/>
      <c r="AZ270" s="66"/>
    </row>
    <row r="271" spans="51:52">
      <c r="AY271" s="66"/>
      <c r="AZ271" s="66"/>
    </row>
    <row r="272" spans="51:52">
      <c r="AY272" s="66"/>
      <c r="AZ272" s="66"/>
    </row>
    <row r="273" spans="51:52">
      <c r="AY273" s="66"/>
      <c r="AZ273" s="66"/>
    </row>
    <row r="274" spans="51:52">
      <c r="AY274" s="66"/>
      <c r="AZ274" s="66"/>
    </row>
    <row r="275" spans="51:52">
      <c r="AY275" s="66"/>
      <c r="AZ275" s="66"/>
    </row>
    <row r="276" spans="51:52">
      <c r="AY276" s="66"/>
      <c r="AZ276" s="66"/>
    </row>
    <row r="277" spans="51:52">
      <c r="AY277" s="66"/>
      <c r="AZ277" s="66"/>
    </row>
    <row r="278" spans="51:52">
      <c r="AY278" s="66"/>
      <c r="AZ278" s="66"/>
    </row>
    <row r="279" spans="51:52">
      <c r="AY279" s="66"/>
      <c r="AZ279" s="66"/>
    </row>
    <row r="280" spans="51:52">
      <c r="AY280" s="66"/>
      <c r="AZ280" s="66"/>
    </row>
    <row r="281" spans="51:52">
      <c r="AY281" s="66"/>
      <c r="AZ281" s="66"/>
    </row>
    <row r="282" spans="51:52">
      <c r="AY282" s="66"/>
      <c r="AZ282" s="66"/>
    </row>
    <row r="283" spans="51:52">
      <c r="AY283" s="66"/>
      <c r="AZ283" s="66"/>
    </row>
    <row r="284" spans="51:52">
      <c r="AY284" s="66"/>
      <c r="AZ284" s="66"/>
    </row>
    <row r="285" spans="51:52">
      <c r="AY285" s="66"/>
      <c r="AZ285" s="66"/>
    </row>
    <row r="286" spans="51:52">
      <c r="AY286" s="66"/>
      <c r="AZ286" s="66"/>
    </row>
    <row r="287" spans="51:52">
      <c r="AY287" s="66"/>
      <c r="AZ287" s="66"/>
    </row>
    <row r="288" spans="51:52">
      <c r="AY288" s="66"/>
      <c r="AZ288" s="66"/>
    </row>
    <row r="289" spans="51:52">
      <c r="AY289" s="66"/>
      <c r="AZ289" s="66"/>
    </row>
    <row r="290" spans="51:52">
      <c r="AY290" s="66"/>
      <c r="AZ290" s="66"/>
    </row>
    <row r="291" spans="51:52">
      <c r="AY291" s="66"/>
      <c r="AZ291" s="66"/>
    </row>
    <row r="292" spans="51:52">
      <c r="AY292" s="66"/>
      <c r="AZ292" s="66"/>
    </row>
    <row r="293" spans="51:52">
      <c r="AY293" s="66"/>
      <c r="AZ293" s="66"/>
    </row>
    <row r="294" spans="51:52">
      <c r="AY294" s="66"/>
      <c r="AZ294" s="66"/>
    </row>
    <row r="295" spans="51:52">
      <c r="AY295" s="66"/>
      <c r="AZ295" s="66"/>
    </row>
    <row r="296" spans="51:52">
      <c r="AY296" s="66"/>
      <c r="AZ296" s="66"/>
    </row>
    <row r="297" spans="51:52">
      <c r="AY297" s="66"/>
      <c r="AZ297" s="66"/>
    </row>
    <row r="298" spans="51:52">
      <c r="AY298" s="66"/>
      <c r="AZ298" s="66"/>
    </row>
    <row r="299" spans="51:52">
      <c r="AY299" s="66"/>
      <c r="AZ299" s="66"/>
    </row>
    <row r="300" spans="51:52">
      <c r="AY300" s="66"/>
      <c r="AZ300" s="66"/>
    </row>
    <row r="301" spans="51:52">
      <c r="AY301" s="66"/>
      <c r="AZ301" s="66"/>
    </row>
    <row r="302" spans="51:52">
      <c r="AY302" s="66"/>
      <c r="AZ302" s="66"/>
    </row>
    <row r="303" spans="51:52">
      <c r="AY303" s="66"/>
      <c r="AZ303" s="66"/>
    </row>
    <row r="304" spans="51:52">
      <c r="AY304" s="66"/>
      <c r="AZ304" s="66"/>
    </row>
    <row r="305" spans="51:52">
      <c r="AY305" s="66"/>
      <c r="AZ305" s="66"/>
    </row>
    <row r="306" spans="51:52">
      <c r="AY306" s="66"/>
      <c r="AZ306" s="66"/>
    </row>
    <row r="307" spans="51:52">
      <c r="AY307" s="66"/>
      <c r="AZ307" s="66"/>
    </row>
    <row r="308" spans="51:52">
      <c r="AY308" s="66"/>
      <c r="AZ308" s="66"/>
    </row>
    <row r="309" spans="51:52">
      <c r="AY309" s="66"/>
      <c r="AZ309" s="66"/>
    </row>
    <row r="310" spans="51:52">
      <c r="AY310" s="66"/>
      <c r="AZ310" s="66"/>
    </row>
    <row r="311" spans="51:52">
      <c r="AY311" s="66"/>
      <c r="AZ311" s="66"/>
    </row>
    <row r="312" spans="51:52">
      <c r="AY312" s="66"/>
      <c r="AZ312" s="66"/>
    </row>
    <row r="313" spans="51:52">
      <c r="AY313" s="66"/>
      <c r="AZ313" s="66"/>
    </row>
    <row r="314" spans="51:52">
      <c r="AY314" s="66"/>
      <c r="AZ314" s="66"/>
    </row>
    <row r="315" spans="51:52">
      <c r="AY315" s="66"/>
      <c r="AZ315" s="66"/>
    </row>
    <row r="316" spans="51:52">
      <c r="AY316" s="66"/>
      <c r="AZ316" s="66"/>
    </row>
    <row r="317" spans="51:52">
      <c r="AY317" s="66"/>
      <c r="AZ317" s="66"/>
    </row>
    <row r="318" spans="51:52">
      <c r="AY318" s="66"/>
      <c r="AZ318" s="66"/>
    </row>
    <row r="319" spans="51:52">
      <c r="AY319" s="66"/>
      <c r="AZ319" s="66"/>
    </row>
    <row r="320" spans="51:52">
      <c r="AY320" s="66"/>
      <c r="AZ320" s="66"/>
    </row>
    <row r="321" spans="51:52">
      <c r="AY321" s="66"/>
      <c r="AZ321" s="66"/>
    </row>
    <row r="322" spans="51:52">
      <c r="AY322" s="66"/>
      <c r="AZ322" s="66"/>
    </row>
    <row r="323" spans="51:52">
      <c r="AY323" s="66"/>
      <c r="AZ323" s="66"/>
    </row>
    <row r="324" spans="51:52">
      <c r="AY324" s="66"/>
      <c r="AZ324" s="66"/>
    </row>
    <row r="325" spans="51:52">
      <c r="AY325" s="66"/>
      <c r="AZ325" s="66"/>
    </row>
    <row r="326" spans="51:52">
      <c r="AY326" s="66"/>
      <c r="AZ326" s="66"/>
    </row>
    <row r="327" spans="51:52">
      <c r="AY327" s="66"/>
      <c r="AZ327" s="66"/>
    </row>
    <row r="328" spans="51:52">
      <c r="AY328" s="66"/>
      <c r="AZ328" s="66"/>
    </row>
    <row r="329" spans="51:52">
      <c r="AY329" s="66"/>
      <c r="AZ329" s="66"/>
    </row>
    <row r="330" spans="51:52">
      <c r="AY330" s="66"/>
      <c r="AZ330" s="66"/>
    </row>
    <row r="331" spans="51:52">
      <c r="AY331" s="66"/>
      <c r="AZ331" s="66"/>
    </row>
    <row r="332" spans="51:52">
      <c r="AY332" s="66"/>
      <c r="AZ332" s="66"/>
    </row>
    <row r="333" spans="51:52">
      <c r="AY333" s="66"/>
      <c r="AZ333" s="66"/>
    </row>
    <row r="334" spans="51:52">
      <c r="AY334" s="66"/>
      <c r="AZ334" s="66"/>
    </row>
    <row r="335" spans="51:52">
      <c r="AY335" s="66"/>
      <c r="AZ335" s="66"/>
    </row>
    <row r="336" spans="51:52">
      <c r="AY336" s="66"/>
      <c r="AZ336" s="66"/>
    </row>
    <row r="337" spans="51:52">
      <c r="AY337" s="66"/>
      <c r="AZ337" s="66"/>
    </row>
    <row r="338" spans="51:52">
      <c r="AY338" s="66"/>
      <c r="AZ338" s="66"/>
    </row>
    <row r="339" spans="51:52">
      <c r="AY339" s="66"/>
      <c r="AZ339" s="66"/>
    </row>
    <row r="340" spans="51:52">
      <c r="AY340" s="66"/>
      <c r="AZ340" s="66"/>
    </row>
    <row r="341" spans="51:52">
      <c r="AY341" s="66"/>
      <c r="AZ341" s="66"/>
    </row>
    <row r="342" spans="51:52">
      <c r="AY342" s="66"/>
      <c r="AZ342" s="66"/>
    </row>
    <row r="343" spans="51:52">
      <c r="AY343" s="66"/>
      <c r="AZ343" s="66"/>
    </row>
    <row r="344" spans="51:52">
      <c r="AY344" s="66"/>
      <c r="AZ344" s="66"/>
    </row>
    <row r="345" spans="51:52">
      <c r="AY345" s="66"/>
      <c r="AZ345" s="66"/>
    </row>
    <row r="346" spans="51:52">
      <c r="AY346" s="66"/>
      <c r="AZ346" s="66"/>
    </row>
    <row r="347" spans="51:52">
      <c r="AY347" s="66"/>
      <c r="AZ347" s="66"/>
    </row>
    <row r="348" spans="51:52">
      <c r="AY348" s="66"/>
      <c r="AZ348" s="66"/>
    </row>
    <row r="349" spans="51:52">
      <c r="AY349" s="66"/>
      <c r="AZ349" s="66"/>
    </row>
    <row r="350" spans="51:52">
      <c r="AY350" s="66"/>
      <c r="AZ350" s="66"/>
    </row>
    <row r="351" spans="51:52">
      <c r="AY351" s="66"/>
      <c r="AZ351" s="66"/>
    </row>
    <row r="352" spans="51:52">
      <c r="AY352" s="66"/>
      <c r="AZ352" s="66"/>
    </row>
    <row r="353" spans="51:52">
      <c r="AY353" s="66"/>
      <c r="AZ353" s="66"/>
    </row>
    <row r="354" spans="51:52">
      <c r="AY354" s="66"/>
      <c r="AZ354" s="66"/>
    </row>
    <row r="355" spans="51:52">
      <c r="AY355" s="66"/>
      <c r="AZ355" s="66"/>
    </row>
    <row r="356" spans="51:52">
      <c r="AY356" s="66"/>
      <c r="AZ356" s="66"/>
    </row>
    <row r="357" spans="51:52">
      <c r="AY357" s="66"/>
      <c r="AZ357" s="66"/>
    </row>
    <row r="358" spans="51:52">
      <c r="AY358" s="66"/>
      <c r="AZ358" s="66"/>
    </row>
    <row r="359" spans="51:52">
      <c r="AY359" s="66"/>
      <c r="AZ359" s="66"/>
    </row>
    <row r="360" spans="51:52">
      <c r="AY360" s="66"/>
      <c r="AZ360" s="66"/>
    </row>
    <row r="361" spans="51:52">
      <c r="AY361" s="66"/>
      <c r="AZ361" s="66"/>
    </row>
    <row r="362" spans="51:52">
      <c r="AY362" s="66"/>
      <c r="AZ362" s="66"/>
    </row>
    <row r="363" spans="51:52">
      <c r="AY363" s="66"/>
      <c r="AZ363" s="66"/>
    </row>
    <row r="364" spans="51:52">
      <c r="AY364" s="66"/>
      <c r="AZ364" s="66"/>
    </row>
    <row r="365" spans="51:52">
      <c r="AY365" s="66"/>
      <c r="AZ365" s="66"/>
    </row>
    <row r="366" spans="51:52">
      <c r="AY366" s="66"/>
      <c r="AZ366" s="66"/>
    </row>
    <row r="367" spans="51:52">
      <c r="AY367" s="66"/>
      <c r="AZ367" s="66"/>
    </row>
    <row r="368" spans="51:52">
      <c r="AY368" s="66"/>
      <c r="AZ368" s="66"/>
    </row>
    <row r="369" spans="51:52">
      <c r="AY369" s="66"/>
      <c r="AZ369" s="66"/>
    </row>
    <row r="370" spans="51:52">
      <c r="AY370" s="66"/>
      <c r="AZ370" s="66"/>
    </row>
    <row r="371" spans="51:52">
      <c r="AY371" s="66"/>
      <c r="AZ371" s="66"/>
    </row>
  </sheetData>
  <autoFilter ref="A2:IW80">
    <sortState ref="A3:IW2080">
      <sortCondition ref="C2:C2080"/>
    </sortState>
  </autoFilter>
  <mergeCells count="9">
    <mergeCell ref="AY1:AZ1"/>
    <mergeCell ref="BA1:BE1"/>
    <mergeCell ref="BF1:BI1"/>
    <mergeCell ref="BJ1:BM1"/>
    <mergeCell ref="D1:Q1"/>
    <mergeCell ref="R1:W1"/>
    <mergeCell ref="X1:AB1"/>
    <mergeCell ref="AC1:AM1"/>
    <mergeCell ref="AN1:AX1"/>
  </mergeCells>
  <phoneticPr fontId="46" type="noConversion"/>
  <dataValidations count="2">
    <dataValidation type="list" allowBlank="1" showInputMessage="1" showErrorMessage="1" sqref="Y42 Y36:Y41">
      <formula1>"大众点评,朋友圈,微信群,微博,小红书,广告牌"</formula1>
    </dataValidation>
    <dataValidation type="list" allowBlank="1" showInputMessage="1" showErrorMessage="1" sqref="AY3:AZ371">
      <formula1>"是,否"</formula1>
    </dataValidation>
  </dataValidations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-0.249977111117893"/>
    <pageSetUpPr fitToPage="1"/>
  </sheetPr>
  <dimension ref="A1:AN55"/>
  <sheetViews>
    <sheetView showGridLines="0" zoomScale="70" zoomScaleNormal="70" zoomScalePageLayoutView="70" workbookViewId="0">
      <selection activeCell="K2" sqref="K2"/>
    </sheetView>
  </sheetViews>
  <sheetFormatPr baseColWidth="10" defaultColWidth="11" defaultRowHeight="17" x14ac:dyDescent="0"/>
  <cols>
    <col min="1" max="1" width="13" style="5" customWidth="1"/>
    <col min="2" max="2" width="17.85546875" style="5" customWidth="1"/>
    <col min="3" max="3" width="1.28515625" style="5" customWidth="1"/>
    <col min="4" max="4" width="23.5703125" style="5" customWidth="1"/>
    <col min="5" max="5" width="19.28515625" style="5" customWidth="1"/>
    <col min="6" max="6" width="13.42578125" style="5" customWidth="1"/>
    <col min="7" max="7" width="10.140625" style="5" customWidth="1"/>
    <col min="8" max="8" width="31.5703125" style="5" customWidth="1"/>
    <col min="9" max="9" width="11.85546875" style="5" customWidth="1"/>
    <col min="10" max="10" width="13.140625" style="5" customWidth="1"/>
    <col min="11" max="11" width="24.85546875" style="5" customWidth="1"/>
    <col min="12" max="12" width="6.42578125" style="5" customWidth="1"/>
    <col min="13" max="16384" width="11" style="5"/>
  </cols>
  <sheetData>
    <row r="1" spans="1:40" ht="53.25" customHeight="1"/>
    <row r="2" spans="1:40" ht="70" customHeight="1">
      <c r="A2" s="6"/>
      <c r="B2" s="205" t="s">
        <v>611</v>
      </c>
      <c r="C2" s="205"/>
      <c r="D2" s="205"/>
      <c r="E2" s="205"/>
      <c r="F2" s="205"/>
      <c r="G2" s="205"/>
      <c r="H2" s="205"/>
      <c r="I2" s="35"/>
      <c r="J2" s="36" t="s">
        <v>11</v>
      </c>
      <c r="K2" s="61" t="s">
        <v>581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45"/>
      <c r="AM2" s="6"/>
      <c r="AN2" s="6"/>
    </row>
    <row r="3" spans="1:40" ht="11" customHeight="1">
      <c r="A3" s="6"/>
      <c r="B3" s="7"/>
      <c r="C3" s="7"/>
      <c r="D3" s="7"/>
      <c r="E3" s="7"/>
      <c r="F3" s="7"/>
      <c r="G3" s="7"/>
      <c r="H3" s="7"/>
      <c r="I3" s="35"/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45"/>
      <c r="AM3" s="6"/>
      <c r="AN3" s="6"/>
    </row>
    <row r="4" spans="1:40" s="2" customFormat="1" ht="39" customHeight="1">
      <c r="A4" s="8"/>
      <c r="B4" s="9" t="s">
        <v>12</v>
      </c>
      <c r="C4" s="9"/>
      <c r="D4" s="30" t="str">
        <f>VLOOKUP(K2,拍摄总表!C:Q,2,0)</f>
        <v>惠慧Amy（DG）</v>
      </c>
      <c r="E4" s="10" t="str">
        <f>VLOOKUP(K2,拍摄总表!C:Q,3,0)</f>
        <v>惠慧</v>
      </c>
      <c r="F4" s="9" t="s">
        <v>612</v>
      </c>
      <c r="G4" s="206">
        <f>VLOOKUP(K2,拍摄总表!C:Q,4,0)</f>
        <v>13040626829</v>
      </c>
      <c r="H4" s="206"/>
      <c r="I4" s="8"/>
      <c r="J4" s="22" t="s">
        <v>31</v>
      </c>
      <c r="K4" s="22" t="str">
        <f>VLOOKUP(K2,拍摄总表!C:AB,22,0)</f>
        <v>Carrie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46"/>
      <c r="AM4" s="8"/>
      <c r="AN4" s="8"/>
    </row>
    <row r="5" spans="1:40" s="2" customFormat="1" ht="23" customHeight="1">
      <c r="A5" s="8"/>
      <c r="B5" s="9" t="s">
        <v>15</v>
      </c>
      <c r="C5" s="9"/>
      <c r="D5" s="11">
        <f>VLOOKUP(K2,拍摄总表!C:Q,5,0)</f>
        <v>43834.395833333299</v>
      </c>
      <c r="E5" s="12"/>
      <c r="F5" s="9" t="s">
        <v>16</v>
      </c>
      <c r="G5" s="207" t="str">
        <f>VLOOKUP(K2,拍摄总表!C:Q,6,0)</f>
        <v>Steps四袋拍摄影棚内</v>
      </c>
      <c r="H5" s="207"/>
      <c r="I5" s="8"/>
      <c r="J5" s="22" t="s">
        <v>33</v>
      </c>
      <c r="K5" s="22">
        <f>VLOOKUP(K2,拍摄总表!C:AB,24,0)</f>
        <v>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46"/>
      <c r="AM5" s="8"/>
      <c r="AN5" s="8"/>
    </row>
    <row r="6" spans="1:40" s="2" customFormat="1" ht="17" customHeight="1">
      <c r="A6" s="8"/>
      <c r="B6" s="14"/>
      <c r="C6" s="14"/>
      <c r="D6" s="15"/>
      <c r="E6" s="15"/>
      <c r="F6" s="14"/>
      <c r="G6" s="15"/>
      <c r="H6" s="15"/>
      <c r="I6" s="8"/>
      <c r="J6" s="3"/>
      <c r="K6" s="38"/>
      <c r="L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46"/>
      <c r="AM6" s="8"/>
      <c r="AN6" s="8"/>
    </row>
    <row r="7" spans="1:40" s="2" customFormat="1" ht="34" customHeight="1">
      <c r="B7" s="16" t="s">
        <v>17</v>
      </c>
      <c r="C7" s="17"/>
      <c r="D7" s="208" t="str">
        <f>VLOOKUP(K2,拍摄总表!C:Q,7,0)</f>
        <v>6980平日大全家福</v>
      </c>
      <c r="E7" s="208"/>
      <c r="F7" s="209"/>
      <c r="G7" s="209"/>
      <c r="H7" s="209"/>
      <c r="J7" s="3" t="s">
        <v>45</v>
      </c>
      <c r="K7" s="25"/>
    </row>
    <row r="8" spans="1:40" s="2" customFormat="1" ht="34" customHeight="1">
      <c r="B8" s="16" t="s">
        <v>18</v>
      </c>
      <c r="C8" s="17"/>
      <c r="D8" s="208" t="str">
        <f>VLOOKUP(K2,拍摄总表!C:Q,8,0)</f>
        <v>俞嘉浩（2004.08.26男生）+Yu Kawo（2010，9.25男生）+爸爸妈妈_x000D_孙文琦（2003.1.22女生）+孙可可（2014.08.26女生）+爸爸妈妈+两位长辈</v>
      </c>
      <c r="E8" s="208"/>
      <c r="F8" s="209"/>
      <c r="G8" s="209"/>
      <c r="H8" s="209"/>
      <c r="J8" s="3" t="s">
        <v>613</v>
      </c>
      <c r="K8" s="25"/>
    </row>
    <row r="9" spans="1:40" s="2" customFormat="1" ht="34" customHeight="1">
      <c r="B9" s="16" t="s">
        <v>19</v>
      </c>
      <c r="C9" s="17"/>
      <c r="D9" s="208" t="str">
        <f>VLOOKUP(K2,拍摄总表!C:Q,9,0)</f>
        <v>棚内2组</v>
      </c>
      <c r="E9" s="208"/>
      <c r="F9" s="209"/>
      <c r="G9" s="209"/>
      <c r="H9" s="209"/>
      <c r="J9" s="3" t="s">
        <v>47</v>
      </c>
      <c r="K9" s="25"/>
    </row>
    <row r="10" spans="1:40" s="2" customFormat="1" ht="34" customHeight="1">
      <c r="B10" s="16" t="s">
        <v>20</v>
      </c>
      <c r="C10" s="17"/>
      <c r="D10" s="208" t="str">
        <f>VLOOKUP(K2,拍摄总表!C:Q,10,0)</f>
        <v>3-4小时</v>
      </c>
      <c r="E10" s="208"/>
      <c r="F10" s="209"/>
      <c r="G10" s="209"/>
      <c r="H10" s="209"/>
      <c r="J10" s="3"/>
      <c r="K10" s="3"/>
    </row>
    <row r="11" spans="1:40" s="2" customFormat="1" ht="34" customHeight="1">
      <c r="B11" s="16" t="s">
        <v>21</v>
      </c>
      <c r="C11" s="17"/>
      <c r="D11" s="208">
        <f>VLOOKUP(K2,拍摄总表!C:Q,11,0)</f>
        <v>38</v>
      </c>
      <c r="E11" s="208"/>
      <c r="F11" s="209"/>
      <c r="G11" s="209"/>
      <c r="H11" s="209"/>
      <c r="J11" s="3"/>
      <c r="K11" s="3"/>
    </row>
    <row r="12" spans="1:40" s="2" customFormat="1" ht="34" customHeight="1">
      <c r="B12" s="16" t="s">
        <v>22</v>
      </c>
      <c r="C12" s="17"/>
      <c r="D12" s="208" t="str">
        <f>VLOOKUP(K2,拍摄总表!C:Q,12,0)</f>
        <v>全送</v>
      </c>
      <c r="E12" s="208"/>
      <c r="F12" s="209"/>
      <c r="G12" s="209"/>
      <c r="H12" s="209"/>
      <c r="J12" s="3"/>
      <c r="K12" s="3"/>
    </row>
    <row r="13" spans="1:40" s="2" customFormat="1" ht="34" customHeight="1">
      <c r="B13" s="16" t="s">
        <v>23</v>
      </c>
      <c r="C13" s="17"/>
      <c r="D13" s="208" t="str">
        <f>VLOOKUP(K2,拍摄总表!C:Q,13,0)</f>
        <v>10寸轻相册  一本 _x000D_24寸油画框 一个_x000D_10寸精致摆台 一个</v>
      </c>
      <c r="E13" s="208"/>
      <c r="F13" s="209"/>
      <c r="G13" s="209"/>
      <c r="H13" s="209"/>
      <c r="J13" s="3"/>
      <c r="K13" s="3"/>
    </row>
    <row r="14" spans="1:40" s="2" customFormat="1" ht="34" customHeight="1">
      <c r="B14" s="16" t="s">
        <v>24</v>
      </c>
      <c r="C14" s="17"/>
      <c r="D14" s="208" t="str">
        <f>VLOOKUP(K2,拍摄总表!C:Q,14,0)</f>
        <v>提供</v>
      </c>
      <c r="E14" s="208"/>
      <c r="F14" s="209"/>
      <c r="G14" s="209"/>
      <c r="H14" s="209"/>
      <c r="J14" s="3"/>
      <c r="K14" s="3"/>
    </row>
    <row r="15" spans="1:40" s="2" customFormat="1" ht="34" customHeight="1">
      <c r="B15" s="16" t="s">
        <v>25</v>
      </c>
      <c r="C15" s="17"/>
      <c r="D15" s="210" t="str">
        <f>VLOOKUP(K2,拍摄总表!C:Q,15,0)</f>
        <v>待沟通</v>
      </c>
      <c r="E15" s="210"/>
      <c r="F15" s="210"/>
      <c r="G15" s="210"/>
      <c r="H15" s="211"/>
      <c r="J15" s="3"/>
      <c r="K15" s="3"/>
    </row>
    <row r="16" spans="1:40" s="2" customFormat="1" ht="30" customHeight="1">
      <c r="B16" s="18"/>
      <c r="C16" s="19"/>
      <c r="D16" s="20"/>
      <c r="E16" s="20"/>
      <c r="F16" s="20"/>
      <c r="G16" s="20"/>
      <c r="H16" s="20"/>
      <c r="J16" s="3"/>
      <c r="K16" s="3"/>
    </row>
    <row r="17" spans="2:11" s="2" customFormat="1" ht="34" customHeight="1">
      <c r="B17" s="3" t="s">
        <v>614</v>
      </c>
      <c r="C17" s="3"/>
      <c r="D17" s="21">
        <f>VLOOKUP(K2,拍摄总表!C:AB,19,0)</f>
        <v>6980</v>
      </c>
      <c r="E17" s="21"/>
      <c r="F17" s="3" t="s">
        <v>615</v>
      </c>
      <c r="G17" s="21">
        <f>VLOOKUP(K2,拍摄总表!C:AB,20,0)</f>
        <v>6480</v>
      </c>
      <c r="H17" s="22" t="s">
        <v>616</v>
      </c>
      <c r="J17" s="39" t="s">
        <v>617</v>
      </c>
      <c r="K17" s="25"/>
    </row>
    <row r="18" spans="2:11" s="2" customFormat="1" ht="34" customHeight="1">
      <c r="B18" s="3" t="s">
        <v>9</v>
      </c>
      <c r="C18" s="3"/>
      <c r="D18" s="212" t="str">
        <f>VLOOKUP(K2,拍摄总表!C:AB,21,0)</f>
        <v>点评活动平日特惠6980</v>
      </c>
      <c r="E18" s="212"/>
      <c r="F18" s="212"/>
      <c r="G18" s="212"/>
      <c r="H18" s="212"/>
      <c r="J18" s="40"/>
      <c r="K18" s="41"/>
    </row>
    <row r="19" spans="2:11" s="2" customFormat="1" ht="18.75" customHeight="1">
      <c r="J19" s="40"/>
      <c r="K19" s="3"/>
    </row>
    <row r="20" spans="2:11" s="2" customFormat="1" ht="34" customHeight="1">
      <c r="B20" s="47" t="s">
        <v>618</v>
      </c>
      <c r="C20" s="48"/>
      <c r="D20" s="213" t="s">
        <v>619</v>
      </c>
      <c r="E20" s="213"/>
      <c r="F20" s="213"/>
      <c r="G20" s="213"/>
      <c r="H20" s="214"/>
      <c r="J20" s="39" t="s">
        <v>620</v>
      </c>
      <c r="K20" s="25"/>
    </row>
    <row r="21" spans="2:11" s="2" customFormat="1" ht="34" customHeight="1">
      <c r="B21" s="49" t="s">
        <v>621</v>
      </c>
      <c r="C21" s="50"/>
      <c r="D21" s="51" t="s">
        <v>622</v>
      </c>
      <c r="E21" s="51"/>
      <c r="F21" s="51"/>
      <c r="G21" s="51"/>
      <c r="H21" s="52"/>
      <c r="J21" s="40"/>
      <c r="K21" s="3"/>
    </row>
    <row r="22" spans="2:11" s="2" customFormat="1" ht="34" customHeight="1">
      <c r="B22" s="49" t="s">
        <v>623</v>
      </c>
      <c r="C22" s="50"/>
      <c r="D22" s="51" t="s">
        <v>624</v>
      </c>
      <c r="E22" s="51"/>
      <c r="F22" s="51"/>
      <c r="G22" s="51"/>
      <c r="H22" s="52"/>
      <c r="J22" s="39" t="s">
        <v>625</v>
      </c>
      <c r="K22" s="25"/>
    </row>
    <row r="23" spans="2:11" s="2" customFormat="1" ht="34" customHeight="1">
      <c r="B23" s="49" t="s">
        <v>626</v>
      </c>
      <c r="C23" s="50"/>
      <c r="D23" s="53" t="s">
        <v>627</v>
      </c>
      <c r="E23" s="53"/>
      <c r="F23" s="51"/>
      <c r="G23" s="51"/>
      <c r="H23" s="52"/>
      <c r="J23" s="42"/>
      <c r="K23" s="3"/>
    </row>
    <row r="24" spans="2:11" s="2" customFormat="1" ht="34" customHeight="1">
      <c r="B24" s="49" t="s">
        <v>628</v>
      </c>
      <c r="C24" s="50"/>
      <c r="D24" s="53" t="s">
        <v>629</v>
      </c>
      <c r="E24" s="53"/>
      <c r="F24" s="51"/>
      <c r="G24" s="51"/>
      <c r="H24" s="52"/>
      <c r="J24" s="39" t="s">
        <v>28</v>
      </c>
      <c r="K24" s="25"/>
    </row>
    <row r="25" spans="2:11" s="2" customFormat="1" ht="36.75" customHeight="1">
      <c r="B25" s="55" t="s">
        <v>630</v>
      </c>
      <c r="C25" s="62"/>
      <c r="D25" s="58" t="s">
        <v>631</v>
      </c>
      <c r="E25" s="62"/>
      <c r="F25" s="62"/>
      <c r="G25" s="62"/>
      <c r="H25" s="63"/>
    </row>
    <row r="26" spans="2:11" s="2" customFormat="1" ht="162.75" customHeight="1">
      <c r="F26" s="34" t="s">
        <v>632</v>
      </c>
      <c r="H26" s="25"/>
    </row>
    <row r="27" spans="2:11" s="2" customFormat="1"/>
    <row r="28" spans="2:11" s="2" customFormat="1" ht="14" customHeight="1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2:11" s="2" customFormat="1" ht="36" customHeight="1"/>
    <row r="30" spans="2:11" s="3" customFormat="1" ht="28" customHeight="1">
      <c r="B30" s="27" t="s">
        <v>633</v>
      </c>
      <c r="D30" s="25"/>
      <c r="F30" s="215" t="s">
        <v>634</v>
      </c>
      <c r="G30" s="215"/>
      <c r="H30" s="25"/>
      <c r="J30" s="43" t="s">
        <v>635</v>
      </c>
      <c r="K30" s="25"/>
    </row>
    <row r="31" spans="2:11" s="3" customFormat="1" ht="28" customHeight="1">
      <c r="B31" s="29"/>
    </row>
    <row r="32" spans="2:11" s="3" customFormat="1" ht="28" customHeight="1">
      <c r="B32" s="30" t="s">
        <v>21</v>
      </c>
      <c r="D32" s="216" t="s">
        <v>636</v>
      </c>
      <c r="E32" s="216"/>
      <c r="F32" s="215" t="s">
        <v>637</v>
      </c>
      <c r="G32" s="215"/>
      <c r="H32" s="31" t="s">
        <v>638</v>
      </c>
      <c r="K32" s="25"/>
    </row>
    <row r="33" spans="2:15" s="4" customFormat="1" ht="28" customHeight="1">
      <c r="B33" s="30"/>
      <c r="C33" s="32"/>
      <c r="K33" s="3"/>
      <c r="O33" s="4" t="s">
        <v>639</v>
      </c>
    </row>
    <row r="34" spans="2:15" s="4" customFormat="1" ht="28" customHeight="1">
      <c r="B34" s="30" t="s">
        <v>23</v>
      </c>
      <c r="D34" s="217" t="s">
        <v>640</v>
      </c>
      <c r="E34" s="217"/>
      <c r="F34" s="217"/>
      <c r="G34" s="217"/>
      <c r="H34" s="217"/>
      <c r="K34" s="25"/>
    </row>
    <row r="35" spans="2:15" s="4" customFormat="1" ht="28" customHeight="1">
      <c r="B35" s="27"/>
      <c r="J35" s="44"/>
    </row>
    <row r="36" spans="2:15" s="4" customFormat="1" ht="28" customHeight="1">
      <c r="B36" s="30" t="s">
        <v>641</v>
      </c>
      <c r="D36" s="216"/>
      <c r="E36" s="216"/>
      <c r="F36" s="216"/>
      <c r="G36" s="216"/>
      <c r="H36" s="216"/>
      <c r="J36" s="44" t="s">
        <v>625</v>
      </c>
      <c r="K36" s="25"/>
    </row>
    <row r="37" spans="2:15" s="4" customFormat="1" ht="28" customHeight="1">
      <c r="J37" s="44"/>
    </row>
    <row r="38" spans="2:15" s="4" customFormat="1" ht="28" customHeight="1">
      <c r="D38" s="216"/>
      <c r="E38" s="216"/>
      <c r="F38" s="216"/>
      <c r="G38" s="216"/>
      <c r="H38" s="216"/>
      <c r="J38" s="44" t="s">
        <v>28</v>
      </c>
      <c r="K38" s="25"/>
    </row>
    <row r="39" spans="2:15" s="4" customFormat="1" ht="28" customHeight="1">
      <c r="B39" s="33" t="s">
        <v>642</v>
      </c>
      <c r="D39" s="33" t="s">
        <v>643</v>
      </c>
      <c r="E39" s="33"/>
    </row>
    <row r="40" spans="2:15" s="2" customFormat="1" ht="128" customHeight="1">
      <c r="F40" s="34" t="s">
        <v>632</v>
      </c>
      <c r="H40" s="25"/>
    </row>
    <row r="41" spans="2:15" s="4" customFormat="1" ht="28" customHeight="1"/>
    <row r="42" spans="2:15" s="4" customFormat="1" ht="28" customHeight="1"/>
    <row r="43" spans="2:15" s="4" customFormat="1" ht="28" customHeight="1"/>
    <row r="44" spans="2:15" s="4" customFormat="1" ht="28" customHeight="1"/>
    <row r="45" spans="2:15" s="4" customFormat="1" ht="28" customHeight="1"/>
    <row r="46" spans="2:15" s="4" customFormat="1" ht="28" customHeight="1"/>
    <row r="47" spans="2:15" s="4" customFormat="1" ht="28" customHeight="1"/>
    <row r="48" spans="2:15" s="4" customFormat="1" ht="28" customHeight="1"/>
    <row r="49" s="4" customFormat="1" ht="28" customHeight="1"/>
    <row r="50" s="4" customFormat="1" ht="28" customHeight="1"/>
    <row r="51" s="4" customFormat="1" ht="28" customHeight="1"/>
    <row r="52" s="4" customFormat="1" ht="28" customHeight="1"/>
    <row r="53" s="4" customFormat="1" ht="28" customHeight="1"/>
    <row r="54" s="4" customFormat="1" ht="28" customHeight="1"/>
    <row r="55" s="4" customFormat="1" ht="28" customHeight="1"/>
  </sheetData>
  <mergeCells count="20">
    <mergeCell ref="D32:E32"/>
    <mergeCell ref="F32:G32"/>
    <mergeCell ref="D34:H34"/>
    <mergeCell ref="D36:H36"/>
    <mergeCell ref="D38:H38"/>
    <mergeCell ref="D14:H14"/>
    <mergeCell ref="D15:H15"/>
    <mergeCell ref="D18:H18"/>
    <mergeCell ref="D20:H20"/>
    <mergeCell ref="F30:G30"/>
    <mergeCell ref="D9:H9"/>
    <mergeCell ref="D10:H10"/>
    <mergeCell ref="D11:H11"/>
    <mergeCell ref="D12:H12"/>
    <mergeCell ref="D13:H13"/>
    <mergeCell ref="B2:H2"/>
    <mergeCell ref="G4:H4"/>
    <mergeCell ref="G5:H5"/>
    <mergeCell ref="D7:H7"/>
    <mergeCell ref="D8:H8"/>
  </mergeCells>
  <phoneticPr fontId="46" type="noConversion"/>
  <pageMargins left="0.24791666666666701" right="0.24791666666666701" top="0.35763888888888901" bottom="0.75138888888888899" header="0.297916666666667" footer="0.297916666666667"/>
  <pageSetup paperSize="9" scale="49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88402966399123"/>
  </sheetPr>
  <dimension ref="A1:AN56"/>
  <sheetViews>
    <sheetView showGridLines="0" workbookViewId="0">
      <selection activeCell="K2" sqref="K2"/>
    </sheetView>
  </sheetViews>
  <sheetFormatPr baseColWidth="10" defaultColWidth="11" defaultRowHeight="17" x14ac:dyDescent="0"/>
  <cols>
    <col min="1" max="1" width="12.85546875" style="5" customWidth="1"/>
    <col min="2" max="2" width="17.42578125" style="5" customWidth="1"/>
    <col min="3" max="3" width="1.28515625" style="5" customWidth="1"/>
    <col min="4" max="4" width="25.28515625" style="5" customWidth="1"/>
    <col min="5" max="5" width="23" style="5" customWidth="1"/>
    <col min="6" max="6" width="12.5703125" style="5" customWidth="1"/>
    <col min="7" max="7" width="9.42578125" style="5" customWidth="1"/>
    <col min="8" max="8" width="31.5703125" style="5" customWidth="1"/>
    <col min="9" max="9" width="16.7109375" style="5" customWidth="1"/>
    <col min="10" max="10" width="13.140625" style="5" customWidth="1"/>
    <col min="11" max="11" width="24.85546875" style="5" customWidth="1"/>
    <col min="12" max="12" width="6.42578125" style="5" customWidth="1"/>
    <col min="13" max="16384" width="11" style="5"/>
  </cols>
  <sheetData>
    <row r="1" spans="1:40" ht="87" customHeight="1"/>
    <row r="2" spans="1:40" ht="70" customHeight="1">
      <c r="A2" s="6"/>
      <c r="B2" s="205" t="s">
        <v>611</v>
      </c>
      <c r="C2" s="205"/>
      <c r="D2" s="205"/>
      <c r="E2" s="205"/>
      <c r="F2" s="205"/>
      <c r="G2" s="205"/>
      <c r="H2" s="205"/>
      <c r="I2" s="35"/>
      <c r="J2" s="36" t="s">
        <v>11</v>
      </c>
      <c r="K2" s="61" t="s">
        <v>298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45"/>
      <c r="AM2" s="6"/>
      <c r="AN2" s="6"/>
    </row>
    <row r="3" spans="1:40" ht="11" customHeight="1">
      <c r="A3" s="6"/>
      <c r="B3" s="7"/>
      <c r="C3" s="7"/>
      <c r="D3" s="7"/>
      <c r="E3" s="7"/>
      <c r="F3" s="7"/>
      <c r="G3" s="7"/>
      <c r="H3" s="7"/>
      <c r="I3" s="35"/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45"/>
      <c r="AM3" s="6"/>
      <c r="AN3" s="6"/>
    </row>
    <row r="4" spans="1:40" s="2" customFormat="1" ht="39" customHeight="1">
      <c r="A4" s="8"/>
      <c r="B4" s="9" t="s">
        <v>12</v>
      </c>
      <c r="C4" s="9"/>
      <c r="D4" s="10" t="str">
        <f>VLOOKUP(K2,拍摄总表!C:Q,2,0)</f>
        <v>nicongai</v>
      </c>
      <c r="E4" s="10" t="str">
        <f>VLOOKUP(K2,拍摄总表!C:Q,3,0)</f>
        <v>倪雯娇</v>
      </c>
      <c r="F4" s="9" t="s">
        <v>612</v>
      </c>
      <c r="G4" s="206">
        <f>VLOOKUP(K2,拍摄总表!C:Q,4,0)</f>
        <v>13918852376</v>
      </c>
      <c r="H4" s="206"/>
      <c r="I4" s="8"/>
      <c r="J4" s="22" t="s">
        <v>31</v>
      </c>
      <c r="K4" s="22" t="str">
        <f>VLOOKUP(K2,拍摄总表!C:AB,22,0)</f>
        <v>点评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46"/>
      <c r="AM4" s="8"/>
      <c r="AN4" s="8"/>
    </row>
    <row r="5" spans="1:40" s="2" customFormat="1" ht="23" customHeight="1">
      <c r="A5" s="8"/>
      <c r="B5" s="9" t="s">
        <v>15</v>
      </c>
      <c r="C5" s="9"/>
      <c r="D5" s="11">
        <f>VLOOKUP(K2,拍摄总表!C:Q,5,0)</f>
        <v>43828.5625</v>
      </c>
      <c r="E5" s="12"/>
      <c r="F5" s="9" t="s">
        <v>16</v>
      </c>
      <c r="G5" s="207" t="str">
        <f>VLOOKUP(K2,拍摄总表!C:Q,6,0)</f>
        <v>Steps四袋拍摄影棚内</v>
      </c>
      <c r="H5" s="207"/>
      <c r="I5" s="8"/>
      <c r="J5" s="22" t="s">
        <v>33</v>
      </c>
      <c r="K5" s="22">
        <f>VLOOKUP(K2,拍摄总表!C:AB,24,0)</f>
        <v>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46"/>
      <c r="AM5" s="8"/>
      <c r="AN5" s="8"/>
    </row>
    <row r="6" spans="1:40" s="2" customFormat="1" ht="17" customHeight="1">
      <c r="A6" s="8"/>
      <c r="B6" s="14"/>
      <c r="C6" s="14"/>
      <c r="D6" s="15"/>
      <c r="E6" s="15"/>
      <c r="F6" s="14"/>
      <c r="G6" s="15"/>
      <c r="H6" s="15"/>
      <c r="I6" s="8"/>
      <c r="J6" s="3"/>
      <c r="K6" s="38"/>
      <c r="L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46"/>
      <c r="AM6" s="8"/>
      <c r="AN6" s="8"/>
    </row>
    <row r="7" spans="1:40" s="2" customFormat="1" ht="34" customHeight="1">
      <c r="B7" s="16" t="s">
        <v>17</v>
      </c>
      <c r="C7" s="17"/>
      <c r="D7" s="208" t="str">
        <f>VLOOKUP(K2,拍摄总表!C:Q,7,0)</f>
        <v>880哺乳照</v>
      </c>
      <c r="E7" s="208"/>
      <c r="F7" s="209"/>
      <c r="G7" s="209"/>
      <c r="H7" s="209"/>
      <c r="J7" s="3" t="s">
        <v>45</v>
      </c>
      <c r="K7" s="25"/>
    </row>
    <row r="8" spans="1:40" s="2" customFormat="1" ht="34" customHeight="1">
      <c r="B8" s="16" t="s">
        <v>18</v>
      </c>
      <c r="C8" s="17"/>
      <c r="D8" s="208" t="str">
        <f>VLOOKUP(K2,拍摄总表!C:Q,8,0)</f>
        <v>一克拉（2019.4月女孩）+妈妈</v>
      </c>
      <c r="E8" s="208"/>
      <c r="F8" s="209"/>
      <c r="G8" s="209"/>
      <c r="H8" s="209"/>
      <c r="J8" s="3" t="s">
        <v>613</v>
      </c>
      <c r="K8" s="25"/>
    </row>
    <row r="9" spans="1:40" s="2" customFormat="1" ht="34" customHeight="1">
      <c r="B9" s="16" t="s">
        <v>19</v>
      </c>
      <c r="C9" s="17"/>
      <c r="D9" s="208" t="str">
        <f>VLOOKUP(K2,拍摄总表!C:Q,9,0)</f>
        <v>棚内1套</v>
      </c>
      <c r="E9" s="208"/>
      <c r="F9" s="209"/>
      <c r="G9" s="209"/>
      <c r="H9" s="209"/>
      <c r="J9" s="3" t="s">
        <v>47</v>
      </c>
      <c r="K9" s="25"/>
    </row>
    <row r="10" spans="1:40" s="2" customFormat="1" ht="34" customHeight="1">
      <c r="B10" s="16" t="s">
        <v>20</v>
      </c>
      <c r="C10" s="17"/>
      <c r="D10" s="208" t="str">
        <f>VLOOKUP(K2,拍摄总表!C:Q,10,0)</f>
        <v>1-2小时左右</v>
      </c>
      <c r="E10" s="208"/>
      <c r="F10" s="209"/>
      <c r="G10" s="209"/>
      <c r="H10" s="209"/>
      <c r="J10" s="3"/>
      <c r="K10" s="3"/>
    </row>
    <row r="11" spans="1:40" s="2" customFormat="1" ht="34" customHeight="1">
      <c r="B11" s="16" t="s">
        <v>21</v>
      </c>
      <c r="C11" s="17"/>
      <c r="D11" s="208">
        <f>VLOOKUP(K2,拍摄总表!C:Q,11,0)</f>
        <v>1</v>
      </c>
      <c r="E11" s="208"/>
      <c r="F11" s="209"/>
      <c r="G11" s="209"/>
      <c r="H11" s="209"/>
      <c r="J11" s="3"/>
      <c r="K11" s="3"/>
    </row>
    <row r="12" spans="1:40" s="2" customFormat="1" ht="34" customHeight="1">
      <c r="B12" s="16" t="s">
        <v>22</v>
      </c>
      <c r="C12" s="17"/>
      <c r="D12" s="208" t="str">
        <f>VLOOKUP(K2,拍摄总表!C:Q,12,0)</f>
        <v>无</v>
      </c>
      <c r="E12" s="208"/>
      <c r="F12" s="209"/>
      <c r="G12" s="209"/>
      <c r="H12" s="209"/>
      <c r="J12" s="3"/>
      <c r="K12" s="3"/>
    </row>
    <row r="13" spans="1:40" s="2" customFormat="1" ht="34" customHeight="1">
      <c r="B13" s="16" t="s">
        <v>23</v>
      </c>
      <c r="C13" s="17"/>
      <c r="D13" s="208" t="str">
        <f>VLOOKUP(K2,拍摄总表!C:Q,13,0)</f>
        <v>无</v>
      </c>
      <c r="E13" s="208"/>
      <c r="F13" s="209"/>
      <c r="G13" s="209"/>
      <c r="H13" s="209"/>
      <c r="J13" s="3"/>
      <c r="K13" s="3"/>
    </row>
    <row r="14" spans="1:40" s="2" customFormat="1" ht="34" customHeight="1">
      <c r="B14" s="16" t="s">
        <v>24</v>
      </c>
      <c r="C14" s="17"/>
      <c r="D14" s="208" t="str">
        <f>VLOOKUP(K2,拍摄总表!C:Q,14,0)</f>
        <v>提供</v>
      </c>
      <c r="E14" s="208"/>
      <c r="F14" s="209"/>
      <c r="G14" s="209"/>
      <c r="H14" s="209"/>
      <c r="J14" s="3"/>
      <c r="K14" s="3"/>
    </row>
    <row r="15" spans="1:40" s="2" customFormat="1" ht="34" customHeight="1">
      <c r="B15" s="16" t="s">
        <v>25</v>
      </c>
      <c r="C15" s="17"/>
      <c r="D15" s="210" t="str">
        <f>VLOOKUP(K2,拍摄总表!C:Q,15,0)</f>
        <v>待沟通</v>
      </c>
      <c r="E15" s="210"/>
      <c r="F15" s="210"/>
      <c r="G15" s="210"/>
      <c r="H15" s="211"/>
      <c r="J15" s="3"/>
      <c r="K15" s="3"/>
    </row>
    <row r="16" spans="1:40" s="2" customFormat="1" ht="18" customHeight="1">
      <c r="B16" s="18"/>
      <c r="C16" s="19"/>
      <c r="D16" s="20"/>
      <c r="E16" s="20"/>
      <c r="F16" s="20"/>
      <c r="G16" s="20"/>
      <c r="H16" s="20"/>
      <c r="J16" s="3"/>
      <c r="K16" s="3"/>
    </row>
    <row r="17" spans="2:11" s="2" customFormat="1" ht="34" customHeight="1">
      <c r="B17" s="3" t="s">
        <v>614</v>
      </c>
      <c r="C17" s="3"/>
      <c r="D17" s="21">
        <f>VLOOKUP(K2,拍摄总表!C:AB,19,0)</f>
        <v>880</v>
      </c>
      <c r="E17" s="21"/>
      <c r="F17" s="3" t="s">
        <v>615</v>
      </c>
      <c r="G17" s="21">
        <f>VLOOKUP(K2,拍摄总表!C:AB,20,0)</f>
        <v>380</v>
      </c>
      <c r="H17" s="22" t="s">
        <v>616</v>
      </c>
      <c r="J17" s="39" t="s">
        <v>617</v>
      </c>
      <c r="K17" s="25"/>
    </row>
    <row r="18" spans="2:11" s="2" customFormat="1" ht="34" customHeight="1">
      <c r="B18" s="3" t="s">
        <v>9</v>
      </c>
      <c r="C18" s="3"/>
      <c r="D18" s="212" t="str">
        <f>VLOOKUP(K2,拍摄总表!C:AB,21,0)</f>
        <v>先约880，拍摄完确定要不要更换套餐。</v>
      </c>
      <c r="E18" s="212"/>
      <c r="F18" s="212"/>
      <c r="G18" s="212"/>
      <c r="H18" s="212"/>
      <c r="J18" s="40"/>
      <c r="K18" s="41"/>
    </row>
    <row r="19" spans="2:11" s="2" customFormat="1" ht="18" customHeight="1">
      <c r="J19" s="40"/>
      <c r="K19" s="3"/>
    </row>
    <row r="20" spans="2:11" s="2" customFormat="1" ht="34" customHeight="1">
      <c r="B20" s="47" t="s">
        <v>618</v>
      </c>
      <c r="C20" s="48"/>
      <c r="D20" s="213" t="s">
        <v>644</v>
      </c>
      <c r="E20" s="213"/>
      <c r="F20" s="213"/>
      <c r="G20" s="213"/>
      <c r="H20" s="214"/>
      <c r="J20" s="39" t="s">
        <v>620</v>
      </c>
      <c r="K20" s="25"/>
    </row>
    <row r="21" spans="2:11" s="2" customFormat="1" ht="34" customHeight="1">
      <c r="B21" s="49" t="s">
        <v>621</v>
      </c>
      <c r="C21" s="50"/>
      <c r="D21" s="51" t="s">
        <v>645</v>
      </c>
      <c r="E21" s="51"/>
      <c r="F21" s="51"/>
      <c r="G21" s="51"/>
      <c r="H21" s="52"/>
      <c r="J21" s="40"/>
      <c r="K21" s="3"/>
    </row>
    <row r="22" spans="2:11" s="2" customFormat="1" ht="34" customHeight="1">
      <c r="B22" s="49" t="s">
        <v>623</v>
      </c>
      <c r="C22" s="50"/>
      <c r="D22" s="51" t="s">
        <v>646</v>
      </c>
      <c r="E22" s="51"/>
      <c r="F22" s="51"/>
      <c r="G22" s="51"/>
      <c r="H22" s="52"/>
      <c r="J22" s="39" t="s">
        <v>625</v>
      </c>
      <c r="K22" s="25"/>
    </row>
    <row r="23" spans="2:11" s="2" customFormat="1" ht="34" customHeight="1">
      <c r="B23" s="49" t="s">
        <v>626</v>
      </c>
      <c r="C23" s="50"/>
      <c r="D23" s="53" t="s">
        <v>647</v>
      </c>
      <c r="E23" s="53"/>
      <c r="F23" s="51"/>
      <c r="G23" s="51"/>
      <c r="H23" s="52"/>
      <c r="J23" s="42"/>
      <c r="K23" s="3"/>
    </row>
    <row r="24" spans="2:11" s="2" customFormat="1" ht="34" customHeight="1">
      <c r="B24" s="49" t="s">
        <v>628</v>
      </c>
      <c r="C24" s="50"/>
      <c r="D24" s="53" t="s">
        <v>629</v>
      </c>
      <c r="E24" s="53"/>
      <c r="F24" s="51"/>
      <c r="G24" s="51"/>
      <c r="H24" s="52"/>
      <c r="J24" s="39" t="s">
        <v>28</v>
      </c>
      <c r="K24" s="25"/>
    </row>
    <row r="25" spans="2:11" s="2" customFormat="1" ht="34" customHeight="1">
      <c r="B25" s="55" t="s">
        <v>630</v>
      </c>
      <c r="C25" s="56"/>
      <c r="D25" s="58" t="s">
        <v>648</v>
      </c>
      <c r="E25" s="58"/>
      <c r="F25" s="59"/>
      <c r="G25" s="59"/>
      <c r="H25" s="60"/>
      <c r="J25" s="39"/>
      <c r="K25" s="3"/>
    </row>
    <row r="26" spans="2:11" s="2" customFormat="1" ht="85" customHeight="1"/>
    <row r="27" spans="2:11" s="2" customFormat="1" ht="85" customHeight="1">
      <c r="F27" s="34" t="s">
        <v>632</v>
      </c>
      <c r="H27" s="25"/>
    </row>
    <row r="28" spans="2:11" s="2" customFormat="1"/>
    <row r="29" spans="2:11" s="2" customFormat="1" ht="9" customHeight="1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2:11" s="2" customFormat="1" ht="25" customHeight="1"/>
    <row r="31" spans="2:11" s="3" customFormat="1" ht="28" customHeight="1">
      <c r="B31" s="27" t="s">
        <v>633</v>
      </c>
      <c r="D31" s="25"/>
      <c r="F31" s="215" t="s">
        <v>634</v>
      </c>
      <c r="G31" s="215"/>
      <c r="H31" s="25"/>
      <c r="J31" s="43" t="s">
        <v>635</v>
      </c>
      <c r="K31" s="25"/>
    </row>
    <row r="32" spans="2:11" s="3" customFormat="1" ht="28" customHeight="1">
      <c r="B32" s="29"/>
      <c r="F32" s="28"/>
      <c r="G32" s="28"/>
    </row>
    <row r="33" spans="2:15" s="3" customFormat="1" ht="28" customHeight="1">
      <c r="B33" s="30" t="s">
        <v>21</v>
      </c>
      <c r="D33" s="216" t="s">
        <v>636</v>
      </c>
      <c r="E33" s="216"/>
      <c r="F33" s="215" t="s">
        <v>637</v>
      </c>
      <c r="G33" s="215"/>
      <c r="H33" s="31" t="s">
        <v>638</v>
      </c>
      <c r="K33" s="25"/>
    </row>
    <row r="34" spans="2:15" s="4" customFormat="1" ht="28" customHeight="1">
      <c r="B34" s="30"/>
      <c r="C34" s="32"/>
      <c r="K34" s="3"/>
      <c r="O34" s="4" t="s">
        <v>639</v>
      </c>
    </row>
    <row r="35" spans="2:15" s="4" customFormat="1" ht="28" customHeight="1">
      <c r="B35" s="30" t="s">
        <v>23</v>
      </c>
      <c r="D35" s="217" t="s">
        <v>640</v>
      </c>
      <c r="E35" s="217"/>
      <c r="F35" s="217"/>
      <c r="G35" s="217"/>
      <c r="H35" s="217"/>
      <c r="K35" s="25"/>
    </row>
    <row r="36" spans="2:15" s="4" customFormat="1" ht="28" customHeight="1">
      <c r="B36" s="27"/>
      <c r="J36" s="44"/>
    </row>
    <row r="37" spans="2:15" s="4" customFormat="1" ht="28" customHeight="1">
      <c r="B37" s="30" t="s">
        <v>641</v>
      </c>
      <c r="D37" s="216"/>
      <c r="E37" s="216"/>
      <c r="F37" s="216"/>
      <c r="G37" s="216"/>
      <c r="H37" s="216"/>
      <c r="J37" s="44" t="s">
        <v>625</v>
      </c>
      <c r="K37" s="25"/>
    </row>
    <row r="38" spans="2:15" s="4" customFormat="1" ht="28" customHeight="1">
      <c r="J38" s="44"/>
    </row>
    <row r="39" spans="2:15" s="4" customFormat="1" ht="28" customHeight="1">
      <c r="D39" s="216"/>
      <c r="E39" s="216"/>
      <c r="F39" s="216"/>
      <c r="G39" s="216"/>
      <c r="H39" s="216"/>
      <c r="J39" s="44" t="s">
        <v>28</v>
      </c>
      <c r="K39" s="25"/>
    </row>
    <row r="40" spans="2:15" s="4" customFormat="1" ht="28" customHeight="1">
      <c r="B40" s="33" t="s">
        <v>642</v>
      </c>
      <c r="D40" s="33" t="s">
        <v>643</v>
      </c>
      <c r="E40" s="33"/>
    </row>
    <row r="41" spans="2:15" s="2" customFormat="1" ht="128" customHeight="1">
      <c r="F41" s="34" t="s">
        <v>632</v>
      </c>
      <c r="H41" s="25"/>
    </row>
    <row r="42" spans="2:15" s="4" customFormat="1" ht="28" customHeight="1"/>
    <row r="43" spans="2:15" s="4" customFormat="1" ht="28" customHeight="1"/>
    <row r="44" spans="2:15" s="4" customFormat="1" ht="28" customHeight="1"/>
    <row r="45" spans="2:15" s="4" customFormat="1" ht="28" customHeight="1"/>
    <row r="46" spans="2:15" s="4" customFormat="1" ht="28" customHeight="1"/>
    <row r="47" spans="2:15" s="4" customFormat="1" ht="28" customHeight="1"/>
    <row r="48" spans="2:15" s="4" customFormat="1" ht="28" customHeight="1"/>
    <row r="49" s="4" customFormat="1" ht="28" customHeight="1"/>
    <row r="50" s="4" customFormat="1" ht="28" customHeight="1"/>
    <row r="51" s="4" customFormat="1" ht="28" customHeight="1"/>
    <row r="52" s="4" customFormat="1" ht="28" customHeight="1"/>
    <row r="53" s="4" customFormat="1" ht="28" customHeight="1"/>
    <row r="54" s="4" customFormat="1" ht="28" customHeight="1"/>
    <row r="55" s="4" customFormat="1" ht="28" customHeight="1"/>
    <row r="56" s="4" customFormat="1" ht="28" customHeight="1"/>
  </sheetData>
  <mergeCells count="20">
    <mergeCell ref="D33:E33"/>
    <mergeCell ref="F33:G33"/>
    <mergeCell ref="D35:H35"/>
    <mergeCell ref="D37:H37"/>
    <mergeCell ref="D39:H39"/>
    <mergeCell ref="D14:H14"/>
    <mergeCell ref="D15:H15"/>
    <mergeCell ref="D18:H18"/>
    <mergeCell ref="D20:H20"/>
    <mergeCell ref="F31:G31"/>
    <mergeCell ref="D9:H9"/>
    <mergeCell ref="D10:H10"/>
    <mergeCell ref="D11:H11"/>
    <mergeCell ref="D12:H12"/>
    <mergeCell ref="D13:H13"/>
    <mergeCell ref="B2:H2"/>
    <mergeCell ref="G4:H4"/>
    <mergeCell ref="G5:H5"/>
    <mergeCell ref="D7:H7"/>
    <mergeCell ref="D8:H8"/>
  </mergeCells>
  <phoneticPr fontId="46" type="noConversion"/>
  <pageMargins left="0.25" right="0.25" top="0.75" bottom="0.75" header="0.3" footer="0.3"/>
  <pageSetup paperSize="9" scale="47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-0.249977111117893"/>
  </sheetPr>
  <dimension ref="A1:AN56"/>
  <sheetViews>
    <sheetView showGridLines="0" workbookViewId="0">
      <selection activeCell="K2" sqref="K2"/>
    </sheetView>
  </sheetViews>
  <sheetFormatPr baseColWidth="10" defaultColWidth="11" defaultRowHeight="17" x14ac:dyDescent="0"/>
  <cols>
    <col min="1" max="1" width="11.5703125" style="5" customWidth="1"/>
    <col min="2" max="2" width="18.7109375" style="5" customWidth="1"/>
    <col min="3" max="3" width="1.28515625" style="5" customWidth="1"/>
    <col min="4" max="4" width="25.28515625" style="5" customWidth="1"/>
    <col min="5" max="5" width="20.85546875" style="5" customWidth="1"/>
    <col min="6" max="6" width="12.5703125" style="5" customWidth="1"/>
    <col min="7" max="7" width="10.7109375" style="5" customWidth="1"/>
    <col min="8" max="8" width="31.5703125" style="5" customWidth="1"/>
    <col min="9" max="9" width="14" style="5" customWidth="1"/>
    <col min="10" max="10" width="13.140625" style="5" customWidth="1"/>
    <col min="11" max="11" width="24.85546875" style="5" customWidth="1"/>
    <col min="12" max="12" width="6.42578125" style="5" customWidth="1"/>
    <col min="13" max="16384" width="11" style="5"/>
  </cols>
  <sheetData>
    <row r="1" spans="1:40" ht="116.25" customHeight="1"/>
    <row r="2" spans="1:40" ht="70" customHeight="1">
      <c r="A2" s="6"/>
      <c r="B2" s="218" t="s">
        <v>611</v>
      </c>
      <c r="C2" s="218"/>
      <c r="D2" s="218"/>
      <c r="E2" s="218"/>
      <c r="F2" s="218"/>
      <c r="G2" s="218"/>
      <c r="H2" s="218"/>
      <c r="I2" s="35"/>
      <c r="J2" s="36" t="s">
        <v>11</v>
      </c>
      <c r="K2" s="61" t="s">
        <v>554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45"/>
      <c r="AM2" s="6"/>
      <c r="AN2" s="6"/>
    </row>
    <row r="3" spans="1:40" ht="11" customHeight="1">
      <c r="A3" s="6"/>
      <c r="B3" s="7"/>
      <c r="C3" s="7"/>
      <c r="D3" s="7"/>
      <c r="E3" s="7"/>
      <c r="F3" s="7"/>
      <c r="G3" s="7"/>
      <c r="H3" s="7"/>
      <c r="I3" s="35"/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45"/>
      <c r="AM3" s="6"/>
      <c r="AN3" s="6"/>
    </row>
    <row r="4" spans="1:40" s="2" customFormat="1" ht="39" customHeight="1">
      <c r="A4" s="8"/>
      <c r="B4" s="9" t="s">
        <v>12</v>
      </c>
      <c r="C4" s="9"/>
      <c r="D4" s="10" t="str">
        <f>VLOOKUP(K2,拍摄总表!C:Q,2,0)</f>
        <v>雷蒙德</v>
      </c>
      <c r="E4" s="10" t="str">
        <f>VLOOKUP(K2,拍摄总表!C:Q,3,0)</f>
        <v>李衡</v>
      </c>
      <c r="F4" s="9" t="s">
        <v>612</v>
      </c>
      <c r="G4" s="206">
        <f>VLOOKUP(K2,拍摄总表!C:Q,4,0)</f>
        <v>18621507331</v>
      </c>
      <c r="H4" s="206"/>
      <c r="I4" s="8"/>
      <c r="J4" s="22" t="s">
        <v>31</v>
      </c>
      <c r="K4" s="22" t="str">
        <f>VLOOKUP(K2,拍摄总表!C:AB,22,0)</f>
        <v>保时捷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46"/>
      <c r="AM4" s="8"/>
      <c r="AN4" s="8"/>
    </row>
    <row r="5" spans="1:40" s="2" customFormat="1" ht="23" customHeight="1">
      <c r="A5" s="8"/>
      <c r="B5" s="9" t="s">
        <v>15</v>
      </c>
      <c r="C5" s="9"/>
      <c r="D5" s="11">
        <f>VLOOKUP(K2,拍摄总表!C:Q,5,0)</f>
        <v>43833.5625</v>
      </c>
      <c r="E5" s="12"/>
      <c r="F5" s="9" t="s">
        <v>16</v>
      </c>
      <c r="G5" s="207" t="str">
        <f>VLOOKUP(K2,拍摄总表!C:Q,6,0)</f>
        <v>Steps四袋拍摄影棚内</v>
      </c>
      <c r="H5" s="207"/>
      <c r="I5" s="8"/>
      <c r="J5" s="22" t="s">
        <v>33</v>
      </c>
      <c r="K5" s="22">
        <f>VLOOKUP(K2,拍摄总表!C:AB,24,0)</f>
        <v>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46"/>
      <c r="AM5" s="8"/>
      <c r="AN5" s="8"/>
    </row>
    <row r="6" spans="1:40" s="2" customFormat="1" ht="17" customHeight="1">
      <c r="A6" s="8"/>
      <c r="B6" s="14"/>
      <c r="C6" s="14"/>
      <c r="D6" s="15"/>
      <c r="E6" s="15"/>
      <c r="F6" s="14"/>
      <c r="G6" s="15"/>
      <c r="H6" s="15"/>
      <c r="I6" s="8"/>
      <c r="J6" s="3"/>
      <c r="K6" s="38"/>
      <c r="L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46"/>
      <c r="AM6" s="8"/>
      <c r="AN6" s="8"/>
    </row>
    <row r="7" spans="1:40" s="2" customFormat="1" ht="34" customHeight="1">
      <c r="B7" s="16" t="s">
        <v>17</v>
      </c>
      <c r="C7" s="17"/>
      <c r="D7" s="208" t="str">
        <f>VLOOKUP(K2,拍摄总表!C:Q,7,0)</f>
        <v>1000元职业照</v>
      </c>
      <c r="E7" s="208"/>
      <c r="F7" s="209"/>
      <c r="G7" s="209"/>
      <c r="H7" s="209"/>
      <c r="J7" s="3" t="s">
        <v>45</v>
      </c>
      <c r="K7" s="25"/>
    </row>
    <row r="8" spans="1:40" s="2" customFormat="1" ht="34" customHeight="1">
      <c r="B8" s="16" t="s">
        <v>18</v>
      </c>
      <c r="C8" s="17"/>
      <c r="D8" s="208" t="str">
        <f>VLOOKUP(K2,拍摄总表!C:Q,8,0)</f>
        <v>李衡</v>
      </c>
      <c r="E8" s="208"/>
      <c r="F8" s="209"/>
      <c r="G8" s="209"/>
      <c r="H8" s="209"/>
      <c r="J8" s="3" t="s">
        <v>613</v>
      </c>
      <c r="K8" s="25"/>
    </row>
    <row r="9" spans="1:40" s="2" customFormat="1" ht="34" customHeight="1">
      <c r="B9" s="16" t="s">
        <v>19</v>
      </c>
      <c r="C9" s="17"/>
      <c r="D9" s="208" t="str">
        <f>VLOOKUP(K2,拍摄总表!C:Q,9,0)</f>
        <v>棚内1套</v>
      </c>
      <c r="E9" s="208"/>
      <c r="F9" s="209"/>
      <c r="G9" s="209"/>
      <c r="H9" s="209"/>
      <c r="J9" s="3" t="s">
        <v>47</v>
      </c>
      <c r="K9" s="25"/>
    </row>
    <row r="10" spans="1:40" s="2" customFormat="1" ht="34" customHeight="1">
      <c r="B10" s="16" t="s">
        <v>20</v>
      </c>
      <c r="C10" s="17"/>
      <c r="D10" s="208" t="str">
        <f>VLOOKUP(K2,拍摄总表!C:Q,10,0)</f>
        <v>1-2小时左右</v>
      </c>
      <c r="E10" s="208"/>
      <c r="F10" s="209"/>
      <c r="G10" s="209"/>
      <c r="H10" s="209"/>
      <c r="J10" s="3"/>
      <c r="K10" s="3"/>
    </row>
    <row r="11" spans="1:40" s="2" customFormat="1" ht="34" customHeight="1">
      <c r="B11" s="16" t="s">
        <v>21</v>
      </c>
      <c r="C11" s="17"/>
      <c r="D11" s="208">
        <f>VLOOKUP(K2,拍摄总表!C:Q,11,0)</f>
        <v>3</v>
      </c>
      <c r="E11" s="208"/>
      <c r="F11" s="209"/>
      <c r="G11" s="209"/>
      <c r="H11" s="209"/>
      <c r="J11" s="3"/>
      <c r="K11" s="3"/>
    </row>
    <row r="12" spans="1:40" s="2" customFormat="1" ht="34" customHeight="1">
      <c r="B12" s="16" t="s">
        <v>22</v>
      </c>
      <c r="C12" s="17"/>
      <c r="D12" s="208" t="str">
        <f>VLOOKUP(K2,拍摄总表!C:Q,12,0)</f>
        <v>无</v>
      </c>
      <c r="E12" s="208"/>
      <c r="F12" s="209"/>
      <c r="G12" s="209"/>
      <c r="H12" s="209"/>
      <c r="J12" s="3"/>
      <c r="K12" s="3"/>
    </row>
    <row r="13" spans="1:40" s="2" customFormat="1" ht="34" customHeight="1">
      <c r="B13" s="16" t="s">
        <v>23</v>
      </c>
      <c r="C13" s="17"/>
      <c r="D13" s="208" t="str">
        <f>VLOOKUP(K2,拍摄总表!C:Q,13,0)</f>
        <v>无</v>
      </c>
      <c r="E13" s="208"/>
      <c r="F13" s="209"/>
      <c r="G13" s="209"/>
      <c r="H13" s="209"/>
      <c r="J13" s="3"/>
      <c r="K13" s="3"/>
    </row>
    <row r="14" spans="1:40" s="2" customFormat="1" ht="34" customHeight="1">
      <c r="B14" s="16" t="s">
        <v>24</v>
      </c>
      <c r="C14" s="17"/>
      <c r="D14" s="208" t="str">
        <f>VLOOKUP(K2,拍摄总表!C:Q,14,0)</f>
        <v>提供</v>
      </c>
      <c r="E14" s="208"/>
      <c r="F14" s="209"/>
      <c r="G14" s="209"/>
      <c r="H14" s="209"/>
      <c r="J14" s="3"/>
      <c r="K14" s="3"/>
    </row>
    <row r="15" spans="1:40" s="2" customFormat="1" ht="34" customHeight="1">
      <c r="B15" s="16" t="s">
        <v>25</v>
      </c>
      <c r="C15" s="17"/>
      <c r="D15" s="210" t="str">
        <f>VLOOKUP(K2,拍摄总表!C:Q,15,0)</f>
        <v>待沟通</v>
      </c>
      <c r="E15" s="210"/>
      <c r="F15" s="210"/>
      <c r="G15" s="210"/>
      <c r="H15" s="211"/>
      <c r="J15" s="3"/>
      <c r="K15" s="3"/>
    </row>
    <row r="16" spans="1:40" s="2" customFormat="1" ht="18" customHeight="1">
      <c r="B16" s="18"/>
      <c r="C16" s="19"/>
      <c r="D16" s="20"/>
      <c r="E16" s="20"/>
      <c r="F16" s="20"/>
      <c r="G16" s="20"/>
      <c r="H16" s="20"/>
      <c r="J16" s="3"/>
      <c r="K16" s="3"/>
    </row>
    <row r="17" spans="2:11" s="2" customFormat="1" ht="34" customHeight="1">
      <c r="B17" s="3" t="s">
        <v>614</v>
      </c>
      <c r="C17" s="3"/>
      <c r="D17" s="21" t="str">
        <f>VLOOKUP(K2,拍摄总表!C:AB,19,0)</f>
        <v>/</v>
      </c>
      <c r="E17" s="21"/>
      <c r="F17" s="3" t="s">
        <v>615</v>
      </c>
      <c r="G17" s="21" t="str">
        <f>VLOOKUP(K2,拍摄总表!C:AB,20,0)</f>
        <v>/</v>
      </c>
      <c r="H17" s="22" t="s">
        <v>616</v>
      </c>
      <c r="J17" s="39" t="s">
        <v>617</v>
      </c>
      <c r="K17" s="25"/>
    </row>
    <row r="18" spans="2:11" s="2" customFormat="1" ht="34" customHeight="1">
      <c r="B18" s="3" t="s">
        <v>9</v>
      </c>
      <c r="C18" s="3"/>
      <c r="D18" s="212" t="str">
        <f>VLOOKUP(K2,拍摄总表!C:AB,21,0)</f>
        <v>保时捷员工拍摄券，费用已付。</v>
      </c>
      <c r="E18" s="212"/>
      <c r="F18" s="212"/>
      <c r="G18" s="212"/>
      <c r="H18" s="212"/>
      <c r="J18" s="40"/>
      <c r="K18" s="41"/>
    </row>
    <row r="19" spans="2:11" s="2" customFormat="1" ht="18" customHeight="1">
      <c r="J19" s="40"/>
      <c r="K19" s="3"/>
    </row>
    <row r="20" spans="2:11" s="2" customFormat="1" ht="34" customHeight="1">
      <c r="B20" s="47" t="s">
        <v>618</v>
      </c>
      <c r="C20" s="48"/>
      <c r="D20" s="213" t="s">
        <v>619</v>
      </c>
      <c r="E20" s="213"/>
      <c r="F20" s="213"/>
      <c r="G20" s="213"/>
      <c r="H20" s="214"/>
      <c r="J20" s="39" t="s">
        <v>620</v>
      </c>
      <c r="K20" s="25"/>
    </row>
    <row r="21" spans="2:11" s="2" customFormat="1" ht="34" customHeight="1">
      <c r="B21" s="49" t="s">
        <v>649</v>
      </c>
      <c r="C21" s="50"/>
      <c r="D21" s="51" t="s">
        <v>650</v>
      </c>
      <c r="E21" s="51"/>
      <c r="F21" s="51"/>
      <c r="G21" s="51"/>
      <c r="H21" s="52"/>
      <c r="J21" s="40"/>
      <c r="K21" s="3"/>
    </row>
    <row r="22" spans="2:11" s="2" customFormat="1" ht="34" customHeight="1">
      <c r="B22" s="49" t="s">
        <v>623</v>
      </c>
      <c r="C22" s="50"/>
      <c r="D22" s="51" t="s">
        <v>651</v>
      </c>
      <c r="E22" s="51"/>
      <c r="F22" s="51"/>
      <c r="G22" s="51"/>
      <c r="H22" s="52"/>
      <c r="J22" s="39" t="s">
        <v>625</v>
      </c>
      <c r="K22" s="25"/>
    </row>
    <row r="23" spans="2:11" s="2" customFormat="1" ht="34" customHeight="1">
      <c r="B23" s="49" t="s">
        <v>626</v>
      </c>
      <c r="C23" s="50"/>
      <c r="D23" s="53" t="s">
        <v>652</v>
      </c>
      <c r="E23" s="53"/>
      <c r="F23" s="51"/>
      <c r="G23" s="51"/>
      <c r="H23" s="52"/>
      <c r="J23" s="42"/>
      <c r="K23" s="3"/>
    </row>
    <row r="24" spans="2:11" s="2" customFormat="1" ht="34" customHeight="1">
      <c r="B24" s="49" t="s">
        <v>628</v>
      </c>
      <c r="C24" s="50"/>
      <c r="D24" s="54" t="s">
        <v>653</v>
      </c>
      <c r="E24" s="53"/>
      <c r="F24" s="51"/>
      <c r="G24" s="51"/>
      <c r="H24" s="52"/>
      <c r="J24" s="39" t="s">
        <v>28</v>
      </c>
      <c r="K24" s="25"/>
    </row>
    <row r="25" spans="2:11" s="2" customFormat="1" ht="34" customHeight="1">
      <c r="B25" s="55" t="s">
        <v>654</v>
      </c>
      <c r="C25" s="56"/>
      <c r="D25" s="57" t="s">
        <v>655</v>
      </c>
      <c r="E25" s="58"/>
      <c r="F25" s="59"/>
      <c r="G25" s="59"/>
      <c r="H25" s="60"/>
      <c r="J25" s="39"/>
      <c r="K25" s="3"/>
    </row>
    <row r="26" spans="2:11" s="2" customFormat="1" ht="73" customHeight="1"/>
    <row r="27" spans="2:11" s="2" customFormat="1" ht="20">
      <c r="F27" s="13" t="s">
        <v>632</v>
      </c>
      <c r="H27" s="25"/>
    </row>
    <row r="28" spans="2:11" s="2" customFormat="1"/>
    <row r="29" spans="2:11" s="2" customFormat="1" ht="9" customHeight="1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2:11" s="2" customFormat="1" ht="25" customHeight="1"/>
    <row r="31" spans="2:11" s="3" customFormat="1" ht="28" customHeight="1">
      <c r="B31" s="27" t="s">
        <v>633</v>
      </c>
      <c r="D31" s="25"/>
      <c r="F31" s="215" t="s">
        <v>634</v>
      </c>
      <c r="G31" s="215"/>
      <c r="H31" s="25"/>
      <c r="J31" s="43" t="s">
        <v>635</v>
      </c>
      <c r="K31" s="25"/>
    </row>
    <row r="32" spans="2:11" s="3" customFormat="1" ht="28" customHeight="1">
      <c r="B32" s="29"/>
    </row>
    <row r="33" spans="2:15" s="3" customFormat="1" ht="28" customHeight="1">
      <c r="B33" s="30" t="s">
        <v>21</v>
      </c>
      <c r="D33" s="31" t="s">
        <v>638</v>
      </c>
      <c r="F33" s="215" t="s">
        <v>637</v>
      </c>
      <c r="G33" s="215"/>
      <c r="H33" s="31" t="s">
        <v>638</v>
      </c>
      <c r="K33" s="25"/>
    </row>
    <row r="34" spans="2:15" s="4" customFormat="1" ht="28" customHeight="1">
      <c r="B34" s="30"/>
      <c r="C34" s="32"/>
      <c r="K34" s="3"/>
      <c r="O34" s="4" t="s">
        <v>639</v>
      </c>
    </row>
    <row r="35" spans="2:15" s="4" customFormat="1" ht="28" customHeight="1">
      <c r="B35" s="30" t="s">
        <v>23</v>
      </c>
      <c r="D35" s="217" t="s">
        <v>640</v>
      </c>
      <c r="E35" s="217"/>
      <c r="F35" s="217"/>
      <c r="G35" s="217"/>
      <c r="H35" s="217"/>
      <c r="K35" s="25"/>
    </row>
    <row r="36" spans="2:15" s="4" customFormat="1" ht="28" customHeight="1">
      <c r="B36" s="27"/>
      <c r="J36" s="44"/>
    </row>
    <row r="37" spans="2:15" s="4" customFormat="1" ht="28" customHeight="1">
      <c r="B37" s="30" t="s">
        <v>641</v>
      </c>
      <c r="D37" s="216"/>
      <c r="E37" s="216"/>
      <c r="F37" s="216"/>
      <c r="G37" s="216"/>
      <c r="H37" s="216"/>
      <c r="J37" s="44" t="s">
        <v>625</v>
      </c>
      <c r="K37" s="25"/>
    </row>
    <row r="38" spans="2:15" s="4" customFormat="1" ht="28" customHeight="1">
      <c r="J38" s="44"/>
    </row>
    <row r="39" spans="2:15" s="4" customFormat="1" ht="28" customHeight="1">
      <c r="D39" s="216"/>
      <c r="E39" s="216"/>
      <c r="F39" s="216"/>
      <c r="G39" s="216"/>
      <c r="H39" s="216"/>
      <c r="J39" s="44" t="s">
        <v>28</v>
      </c>
      <c r="K39" s="25"/>
    </row>
    <row r="40" spans="2:15" s="4" customFormat="1" ht="28" customHeight="1">
      <c r="B40" s="33" t="s">
        <v>642</v>
      </c>
      <c r="D40" s="33" t="s">
        <v>643</v>
      </c>
      <c r="E40" s="33"/>
    </row>
    <row r="41" spans="2:15" s="2" customFormat="1" ht="128" customHeight="1">
      <c r="F41" s="34" t="s">
        <v>632</v>
      </c>
      <c r="H41" s="25"/>
    </row>
    <row r="42" spans="2:15" s="4" customFormat="1" ht="28" customHeight="1"/>
    <row r="43" spans="2:15" s="4" customFormat="1" ht="28" customHeight="1"/>
    <row r="44" spans="2:15" s="4" customFormat="1" ht="28" customHeight="1"/>
    <row r="45" spans="2:15" s="4" customFormat="1" ht="28" customHeight="1"/>
    <row r="46" spans="2:15" s="4" customFormat="1" ht="28" customHeight="1"/>
    <row r="47" spans="2:15" s="4" customFormat="1" ht="28" customHeight="1"/>
    <row r="48" spans="2:15" s="4" customFormat="1" ht="28" customHeight="1"/>
    <row r="49" s="4" customFormat="1" ht="28" customHeight="1"/>
    <row r="50" s="4" customFormat="1" ht="28" customHeight="1"/>
    <row r="51" s="4" customFormat="1" ht="28" customHeight="1"/>
    <row r="52" s="4" customFormat="1" ht="28" customHeight="1"/>
    <row r="53" s="4" customFormat="1" ht="28" customHeight="1"/>
    <row r="54" s="4" customFormat="1" ht="28" customHeight="1"/>
    <row r="55" s="4" customFormat="1" ht="28" customHeight="1"/>
    <row r="56" s="4" customFormat="1" ht="28" customHeight="1"/>
  </sheetData>
  <mergeCells count="19">
    <mergeCell ref="F33:G33"/>
    <mergeCell ref="D35:H35"/>
    <mergeCell ref="D37:H37"/>
    <mergeCell ref="D39:H39"/>
    <mergeCell ref="D14:H14"/>
    <mergeCell ref="D15:H15"/>
    <mergeCell ref="D18:H18"/>
    <mergeCell ref="D20:H20"/>
    <mergeCell ref="F31:G31"/>
    <mergeCell ref="D9:H9"/>
    <mergeCell ref="D10:H10"/>
    <mergeCell ref="D11:H11"/>
    <mergeCell ref="D12:H12"/>
    <mergeCell ref="D13:H13"/>
    <mergeCell ref="B2:H2"/>
    <mergeCell ref="G4:H4"/>
    <mergeCell ref="G5:H5"/>
    <mergeCell ref="D7:H7"/>
    <mergeCell ref="D8:H8"/>
  </mergeCells>
  <phoneticPr fontId="46" type="noConversion"/>
  <pageMargins left="0.25" right="0.25" top="0.75" bottom="0.75" header="0.3" footer="0.3"/>
  <pageSetup paperSize="9" scale="47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6" tint="-0.249977111117893"/>
  </sheetPr>
  <dimension ref="A1:AN55"/>
  <sheetViews>
    <sheetView showGridLines="0" topLeftCell="A22" workbookViewId="0">
      <selection activeCell="E37" sqref="E37"/>
    </sheetView>
  </sheetViews>
  <sheetFormatPr baseColWidth="10" defaultColWidth="11" defaultRowHeight="17" x14ac:dyDescent="0"/>
  <cols>
    <col min="1" max="1" width="9.85546875" style="5" customWidth="1"/>
    <col min="2" max="2" width="14.140625" style="5" customWidth="1"/>
    <col min="3" max="3" width="1.28515625" style="5" customWidth="1"/>
    <col min="4" max="4" width="25.28515625" style="5" customWidth="1"/>
    <col min="5" max="5" width="24.85546875" style="5" customWidth="1"/>
    <col min="6" max="6" width="13.85546875" style="5" customWidth="1"/>
    <col min="7" max="7" width="10.7109375" style="5" customWidth="1"/>
    <col min="8" max="8" width="31.5703125" style="5" customWidth="1"/>
    <col min="9" max="9" width="13.7109375" style="5" customWidth="1"/>
    <col min="10" max="10" width="13.140625" style="5" customWidth="1"/>
    <col min="11" max="11" width="24.85546875" style="5" customWidth="1"/>
    <col min="12" max="12" width="6.42578125" style="5" customWidth="1"/>
    <col min="13" max="16384" width="11" style="5"/>
  </cols>
  <sheetData>
    <row r="1" spans="1:40" ht="87.75" customHeight="1"/>
    <row r="2" spans="1:40" ht="70" customHeight="1">
      <c r="A2" s="6"/>
      <c r="B2" s="219" t="s">
        <v>656</v>
      </c>
      <c r="C2" s="219"/>
      <c r="D2" s="219"/>
      <c r="E2" s="219"/>
      <c r="F2" s="219"/>
      <c r="G2" s="219"/>
      <c r="H2" s="219"/>
      <c r="I2" s="35"/>
      <c r="J2" s="36" t="s">
        <v>11</v>
      </c>
      <c r="K2" s="3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45"/>
      <c r="AM2" s="6"/>
      <c r="AN2" s="6"/>
    </row>
    <row r="3" spans="1:40" ht="11" customHeight="1">
      <c r="A3" s="6"/>
      <c r="B3" s="7"/>
      <c r="C3" s="7"/>
      <c r="D3" s="7"/>
      <c r="E3" s="7"/>
      <c r="F3" s="7"/>
      <c r="G3" s="7"/>
      <c r="H3" s="7"/>
      <c r="I3" s="35"/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45"/>
      <c r="AM3" s="6"/>
      <c r="AN3" s="6"/>
    </row>
    <row r="4" spans="1:40" s="2" customFormat="1" ht="39" customHeight="1">
      <c r="A4" s="8"/>
      <c r="B4" s="9" t="s">
        <v>12</v>
      </c>
      <c r="C4" s="9"/>
      <c r="D4" s="10" t="e">
        <f>VLOOKUP(K2,拍摄总表!C:Q,2,0)</f>
        <v>#N/A</v>
      </c>
      <c r="E4" s="10" t="e">
        <f>VLOOKUP(K2,拍摄总表!C:Q,3,0)</f>
        <v>#N/A</v>
      </c>
      <c r="F4" s="9" t="s">
        <v>612</v>
      </c>
      <c r="G4" s="206" t="e">
        <f>VLOOKUP(K2,拍摄总表!C:Q,4,0)</f>
        <v>#N/A</v>
      </c>
      <c r="H4" s="206"/>
      <c r="I4" s="8"/>
      <c r="J4" s="22" t="s">
        <v>31</v>
      </c>
      <c r="K4" s="22" t="e">
        <f>VLOOKUP(K2,拍摄总表!C:AB,22,0)</f>
        <v>#N/A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46"/>
      <c r="AM4" s="8"/>
      <c r="AN4" s="8"/>
    </row>
    <row r="5" spans="1:40" s="2" customFormat="1" ht="23" customHeight="1">
      <c r="A5" s="8"/>
      <c r="B5" s="9" t="s">
        <v>15</v>
      </c>
      <c r="C5" s="9"/>
      <c r="D5" s="11" t="e">
        <f>VLOOKUP(K2,拍摄总表!C:Q,5,0)</f>
        <v>#N/A</v>
      </c>
      <c r="E5" s="12"/>
      <c r="F5" s="9" t="s">
        <v>16</v>
      </c>
      <c r="G5" s="207" t="e">
        <f>VLOOKUP(K2,拍摄总表!C:Q,6,0)</f>
        <v>#N/A</v>
      </c>
      <c r="H5" s="207"/>
      <c r="I5" s="8"/>
      <c r="J5" s="22" t="s">
        <v>33</v>
      </c>
      <c r="K5" s="22" t="e">
        <f>VLOOKUP(K2,拍摄总表!C:AB,24,0)</f>
        <v>#N/A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46"/>
      <c r="AM5" s="8"/>
      <c r="AN5" s="8"/>
    </row>
    <row r="6" spans="1:40" s="2" customFormat="1" ht="17" customHeight="1">
      <c r="A6" s="8"/>
      <c r="B6" s="14"/>
      <c r="C6" s="14"/>
      <c r="D6" s="15"/>
      <c r="E6" s="15"/>
      <c r="F6" s="14"/>
      <c r="G6" s="15"/>
      <c r="H6" s="15"/>
      <c r="I6" s="8"/>
      <c r="J6" s="3"/>
      <c r="K6" s="38"/>
      <c r="L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46"/>
      <c r="AM6" s="8"/>
      <c r="AN6" s="8"/>
    </row>
    <row r="7" spans="1:40" s="2" customFormat="1" ht="34" customHeight="1">
      <c r="B7" s="16" t="s">
        <v>17</v>
      </c>
      <c r="C7" s="17"/>
      <c r="D7" s="208" t="e">
        <f>VLOOKUP(K2,拍摄总表!C:Q,7,0)</f>
        <v>#N/A</v>
      </c>
      <c r="E7" s="208"/>
      <c r="F7" s="209"/>
      <c r="G7" s="209"/>
      <c r="H7" s="209"/>
      <c r="J7" s="3" t="s">
        <v>45</v>
      </c>
      <c r="K7" s="25"/>
    </row>
    <row r="8" spans="1:40" s="2" customFormat="1" ht="34" customHeight="1">
      <c r="B8" s="16" t="s">
        <v>18</v>
      </c>
      <c r="C8" s="17"/>
      <c r="D8" s="208" t="e">
        <f>VLOOKUP(K2,拍摄总表!C:Q,8,0)</f>
        <v>#N/A</v>
      </c>
      <c r="E8" s="208"/>
      <c r="F8" s="209"/>
      <c r="G8" s="209"/>
      <c r="H8" s="209"/>
      <c r="J8" s="3" t="s">
        <v>613</v>
      </c>
      <c r="K8" s="25"/>
    </row>
    <row r="9" spans="1:40" s="2" customFormat="1" ht="34" customHeight="1">
      <c r="B9" s="16" t="s">
        <v>19</v>
      </c>
      <c r="C9" s="17"/>
      <c r="D9" s="208" t="e">
        <f>VLOOKUP(K2,拍摄总表!C:Q,9,0)</f>
        <v>#N/A</v>
      </c>
      <c r="E9" s="208"/>
      <c r="F9" s="209"/>
      <c r="G9" s="209"/>
      <c r="H9" s="209"/>
      <c r="J9" s="3" t="s">
        <v>47</v>
      </c>
      <c r="K9" s="25"/>
    </row>
    <row r="10" spans="1:40" s="2" customFormat="1" ht="34" customHeight="1">
      <c r="B10" s="16" t="s">
        <v>20</v>
      </c>
      <c r="C10" s="17"/>
      <c r="D10" s="208" t="e">
        <f>VLOOKUP(K2,拍摄总表!C:Q,10,0)</f>
        <v>#N/A</v>
      </c>
      <c r="E10" s="208"/>
      <c r="F10" s="209"/>
      <c r="G10" s="209"/>
      <c r="H10" s="209"/>
      <c r="J10" s="3"/>
      <c r="K10" s="3"/>
    </row>
    <row r="11" spans="1:40" s="2" customFormat="1" ht="34" customHeight="1">
      <c r="B11" s="16" t="s">
        <v>21</v>
      </c>
      <c r="C11" s="17"/>
      <c r="D11" s="208" t="e">
        <f>VLOOKUP(K2,拍摄总表!C:Q,11,0)</f>
        <v>#N/A</v>
      </c>
      <c r="E11" s="208"/>
      <c r="F11" s="209"/>
      <c r="G11" s="209"/>
      <c r="H11" s="209"/>
      <c r="J11" s="3"/>
      <c r="K11" s="3"/>
    </row>
    <row r="12" spans="1:40" s="2" customFormat="1" ht="34" customHeight="1">
      <c r="B12" s="16" t="s">
        <v>22</v>
      </c>
      <c r="C12" s="17"/>
      <c r="D12" s="208" t="e">
        <f>VLOOKUP(K2,拍摄总表!C:Q,12,0)</f>
        <v>#N/A</v>
      </c>
      <c r="E12" s="208"/>
      <c r="F12" s="209"/>
      <c r="G12" s="209"/>
      <c r="H12" s="209"/>
      <c r="J12" s="3"/>
      <c r="K12" s="3"/>
    </row>
    <row r="13" spans="1:40" s="2" customFormat="1" ht="34" customHeight="1">
      <c r="B13" s="16" t="s">
        <v>23</v>
      </c>
      <c r="C13" s="17"/>
      <c r="D13" s="208" t="e">
        <f>VLOOKUP(K2,拍摄总表!C:Q,13,0)</f>
        <v>#N/A</v>
      </c>
      <c r="E13" s="208"/>
      <c r="F13" s="209"/>
      <c r="G13" s="209"/>
      <c r="H13" s="209"/>
      <c r="J13" s="3"/>
      <c r="K13" s="3"/>
    </row>
    <row r="14" spans="1:40" s="2" customFormat="1" ht="34" customHeight="1">
      <c r="B14" s="16" t="s">
        <v>24</v>
      </c>
      <c r="C14" s="17"/>
      <c r="D14" s="208" t="e">
        <f>VLOOKUP(K2,拍摄总表!C:Q,14,0)</f>
        <v>#N/A</v>
      </c>
      <c r="E14" s="208"/>
      <c r="F14" s="209"/>
      <c r="G14" s="209"/>
      <c r="H14" s="209"/>
      <c r="J14" s="3"/>
      <c r="K14" s="3"/>
    </row>
    <row r="15" spans="1:40" s="2" customFormat="1" ht="34" customHeight="1">
      <c r="B15" s="16" t="s">
        <v>25</v>
      </c>
      <c r="C15" s="17"/>
      <c r="D15" s="210" t="e">
        <f>VLOOKUP(K2,拍摄总表!C:Q,15,0)</f>
        <v>#N/A</v>
      </c>
      <c r="E15" s="210"/>
      <c r="F15" s="210"/>
      <c r="G15" s="210"/>
      <c r="H15" s="211"/>
      <c r="J15" s="3"/>
      <c r="K15" s="3"/>
    </row>
    <row r="16" spans="1:40" s="2" customFormat="1" ht="18" customHeight="1">
      <c r="B16" s="18"/>
      <c r="C16" s="19"/>
      <c r="D16" s="20"/>
      <c r="E16" s="20"/>
      <c r="F16" s="20"/>
      <c r="G16" s="20"/>
      <c r="H16" s="20"/>
      <c r="J16" s="3"/>
      <c r="K16" s="3"/>
    </row>
    <row r="17" spans="2:11" s="2" customFormat="1" ht="34" customHeight="1">
      <c r="B17" s="3" t="s">
        <v>614</v>
      </c>
      <c r="C17" s="3"/>
      <c r="D17" s="21" t="e">
        <f>VLOOKUP(K2,拍摄总表!C:AB,19,0)</f>
        <v>#N/A</v>
      </c>
      <c r="E17" s="21"/>
      <c r="F17" s="3" t="s">
        <v>615</v>
      </c>
      <c r="G17" s="21" t="e">
        <f>VLOOKUP(K2,拍摄总表!C:AB,20,0)</f>
        <v>#N/A</v>
      </c>
      <c r="H17" s="22" t="s">
        <v>616</v>
      </c>
      <c r="J17" s="39" t="s">
        <v>617</v>
      </c>
      <c r="K17" s="25"/>
    </row>
    <row r="18" spans="2:11" s="2" customFormat="1" ht="34" customHeight="1">
      <c r="B18" s="3" t="s">
        <v>9</v>
      </c>
      <c r="C18" s="3"/>
      <c r="D18" s="212" t="e">
        <f>VLOOKUP(K2,拍摄总表!C:AB,21,0)</f>
        <v>#N/A</v>
      </c>
      <c r="E18" s="212"/>
      <c r="F18" s="212"/>
      <c r="G18" s="212"/>
      <c r="H18" s="212"/>
      <c r="J18" s="40"/>
      <c r="K18" s="41"/>
    </row>
    <row r="19" spans="2:11" s="2" customFormat="1" ht="18" customHeight="1">
      <c r="J19" s="40"/>
      <c r="K19" s="3"/>
    </row>
    <row r="20" spans="2:11" s="2" customFormat="1" ht="34" customHeight="1">
      <c r="B20" s="23" t="s">
        <v>618</v>
      </c>
      <c r="C20" s="24"/>
      <c r="D20" s="220" t="s">
        <v>657</v>
      </c>
      <c r="E20" s="220"/>
      <c r="F20" s="220"/>
      <c r="G20" s="220"/>
      <c r="H20" s="220"/>
      <c r="J20" s="39" t="s">
        <v>620</v>
      </c>
      <c r="K20" s="25"/>
    </row>
    <row r="21" spans="2:11" s="2" customFormat="1" ht="34" customHeight="1">
      <c r="B21" s="23" t="s">
        <v>658</v>
      </c>
      <c r="C21" s="24"/>
      <c r="D21" s="24" t="s">
        <v>659</v>
      </c>
      <c r="E21" s="24"/>
      <c r="F21" s="24"/>
      <c r="G21" s="24"/>
      <c r="H21" s="24"/>
      <c r="J21" s="40"/>
      <c r="K21" s="3"/>
    </row>
    <row r="22" spans="2:11" s="2" customFormat="1" ht="34" customHeight="1">
      <c r="B22" s="23" t="s">
        <v>660</v>
      </c>
      <c r="C22" s="24"/>
      <c r="D22" s="24" t="s">
        <v>661</v>
      </c>
      <c r="E22" s="24"/>
      <c r="F22" s="24"/>
      <c r="G22" s="24"/>
      <c r="H22" s="24"/>
      <c r="J22" s="39" t="s">
        <v>625</v>
      </c>
      <c r="K22" s="25"/>
    </row>
    <row r="23" spans="2:11" s="2" customFormat="1" ht="34" customHeight="1">
      <c r="B23" s="23" t="s">
        <v>662</v>
      </c>
      <c r="C23" s="24"/>
      <c r="D23" s="24" t="s">
        <v>663</v>
      </c>
      <c r="E23" s="24"/>
      <c r="F23" s="221" t="s">
        <v>664</v>
      </c>
      <c r="G23" s="221"/>
      <c r="H23" s="24" t="s">
        <v>665</v>
      </c>
      <c r="J23" s="42"/>
      <c r="K23" s="3"/>
    </row>
    <row r="24" spans="2:11" s="2" customFormat="1" ht="34" customHeight="1">
      <c r="B24" s="23" t="s">
        <v>626</v>
      </c>
      <c r="C24" s="24"/>
      <c r="D24" s="24" t="s">
        <v>627</v>
      </c>
      <c r="E24" s="24"/>
      <c r="F24" s="221" t="s">
        <v>628</v>
      </c>
      <c r="G24" s="221"/>
      <c r="H24" s="24" t="s">
        <v>666</v>
      </c>
      <c r="J24" s="39" t="s">
        <v>28</v>
      </c>
      <c r="K24" s="25"/>
    </row>
    <row r="25" spans="2:11" s="2" customFormat="1" ht="89.25" customHeight="1"/>
    <row r="26" spans="2:11" s="2" customFormat="1" ht="20">
      <c r="F26" s="13" t="s">
        <v>632</v>
      </c>
      <c r="H26" s="25"/>
    </row>
    <row r="27" spans="2:11" s="2" customFormat="1"/>
    <row r="28" spans="2:11" s="2" customFormat="1" ht="9" customHeight="1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2:11" s="2" customFormat="1" ht="25" customHeight="1"/>
    <row r="30" spans="2:11" s="3" customFormat="1" ht="28" customHeight="1">
      <c r="B30" s="27" t="s">
        <v>633</v>
      </c>
      <c r="D30" s="25"/>
      <c r="F30" s="215" t="s">
        <v>634</v>
      </c>
      <c r="G30" s="215"/>
      <c r="H30" s="25"/>
      <c r="J30" s="43" t="s">
        <v>635</v>
      </c>
      <c r="K30" s="25"/>
    </row>
    <row r="31" spans="2:11" s="3" customFormat="1" ht="28" customHeight="1">
      <c r="B31" s="29"/>
    </row>
    <row r="32" spans="2:11" s="3" customFormat="1" ht="28" customHeight="1">
      <c r="B32" s="30" t="s">
        <v>21</v>
      </c>
      <c r="D32" s="216" t="s">
        <v>636</v>
      </c>
      <c r="E32" s="216"/>
      <c r="F32" s="215" t="s">
        <v>637</v>
      </c>
      <c r="G32" s="215"/>
      <c r="H32" s="31" t="s">
        <v>638</v>
      </c>
      <c r="K32" s="25"/>
    </row>
    <row r="33" spans="2:15" s="4" customFormat="1" ht="28" customHeight="1">
      <c r="B33" s="30"/>
      <c r="C33" s="32"/>
      <c r="K33" s="3"/>
      <c r="O33" s="4" t="s">
        <v>639</v>
      </c>
    </row>
    <row r="34" spans="2:15" s="4" customFormat="1" ht="28" customHeight="1">
      <c r="B34" s="30" t="s">
        <v>23</v>
      </c>
      <c r="D34" s="217" t="s">
        <v>640</v>
      </c>
      <c r="E34" s="217"/>
      <c r="F34" s="217"/>
      <c r="G34" s="217"/>
      <c r="H34" s="217"/>
      <c r="K34" s="25"/>
    </row>
    <row r="35" spans="2:15" s="4" customFormat="1" ht="28" customHeight="1">
      <c r="B35" s="27"/>
      <c r="J35" s="44"/>
    </row>
    <row r="36" spans="2:15" s="4" customFormat="1" ht="28" customHeight="1">
      <c r="B36" s="30" t="s">
        <v>641</v>
      </c>
      <c r="D36" s="216"/>
      <c r="E36" s="216"/>
      <c r="F36" s="216"/>
      <c r="G36" s="216"/>
      <c r="H36" s="216"/>
      <c r="J36" s="44" t="s">
        <v>625</v>
      </c>
      <c r="K36" s="25"/>
    </row>
    <row r="37" spans="2:15" s="4" customFormat="1" ht="28" customHeight="1">
      <c r="J37" s="44"/>
    </row>
    <row r="38" spans="2:15" s="4" customFormat="1" ht="28" customHeight="1">
      <c r="D38" s="216"/>
      <c r="E38" s="216"/>
      <c r="F38" s="216"/>
      <c r="G38" s="216"/>
      <c r="H38" s="216"/>
      <c r="J38" s="44" t="s">
        <v>28</v>
      </c>
      <c r="K38" s="25"/>
    </row>
    <row r="39" spans="2:15" s="4" customFormat="1" ht="28" customHeight="1">
      <c r="B39" s="33" t="s">
        <v>642</v>
      </c>
      <c r="D39" s="33" t="s">
        <v>643</v>
      </c>
      <c r="E39" s="33"/>
    </row>
    <row r="40" spans="2:15" s="2" customFormat="1" ht="128" customHeight="1">
      <c r="F40" s="34" t="s">
        <v>632</v>
      </c>
      <c r="H40" s="25"/>
    </row>
    <row r="41" spans="2:15" s="4" customFormat="1" ht="28" customHeight="1"/>
    <row r="42" spans="2:15" s="4" customFormat="1" ht="28" customHeight="1"/>
    <row r="43" spans="2:15" s="4" customFormat="1" ht="28" customHeight="1"/>
    <row r="44" spans="2:15" s="4" customFormat="1" ht="28" customHeight="1"/>
    <row r="45" spans="2:15" s="4" customFormat="1" ht="28" customHeight="1"/>
    <row r="46" spans="2:15" s="4" customFormat="1" ht="28" customHeight="1"/>
    <row r="47" spans="2:15" s="4" customFormat="1" ht="28" customHeight="1"/>
    <row r="48" spans="2:15" s="4" customFormat="1" ht="28" customHeight="1"/>
    <row r="49" s="4" customFormat="1" ht="28" customHeight="1"/>
    <row r="50" s="4" customFormat="1" ht="28" customHeight="1"/>
    <row r="51" s="4" customFormat="1" ht="28" customHeight="1"/>
    <row r="52" s="4" customFormat="1" ht="28" customHeight="1"/>
    <row r="53" s="4" customFormat="1" ht="28" customHeight="1"/>
    <row r="54" s="4" customFormat="1" ht="28" customHeight="1"/>
    <row r="55" s="4" customFormat="1" ht="28" customHeight="1"/>
  </sheetData>
  <mergeCells count="22">
    <mergeCell ref="D36:H36"/>
    <mergeCell ref="D38:H38"/>
    <mergeCell ref="F24:G24"/>
    <mergeCell ref="F30:G30"/>
    <mergeCell ref="D32:E32"/>
    <mergeCell ref="F32:G32"/>
    <mergeCell ref="D34:H34"/>
    <mergeCell ref="D14:H14"/>
    <mergeCell ref="D15:H15"/>
    <mergeCell ref="D18:H18"/>
    <mergeCell ref="D20:H20"/>
    <mergeCell ref="F23:G23"/>
    <mergeCell ref="D9:H9"/>
    <mergeCell ref="D10:H10"/>
    <mergeCell ref="D11:H11"/>
    <mergeCell ref="D12:H12"/>
    <mergeCell ref="D13:H13"/>
    <mergeCell ref="B2:H2"/>
    <mergeCell ref="G4:H4"/>
    <mergeCell ref="G5:H5"/>
    <mergeCell ref="D7:H7"/>
    <mergeCell ref="D8:H8"/>
  </mergeCells>
  <phoneticPr fontId="46" type="noConversion"/>
  <pageMargins left="0.25" right="0.25" top="0.75" bottom="0.75" header="0.3" footer="0.3"/>
  <pageSetup paperSize="9" scale="47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workbookViewId="0">
      <selection activeCell="C8" sqref="C8"/>
    </sheetView>
  </sheetViews>
  <sheetFormatPr baseColWidth="10" defaultColWidth="11" defaultRowHeight="17" x14ac:dyDescent="0"/>
  <cols>
    <col min="1" max="1" width="19.140625" customWidth="1"/>
  </cols>
  <sheetData>
    <row r="1" spans="1:1">
      <c r="A1" s="1" t="s">
        <v>118</v>
      </c>
    </row>
    <row r="2" spans="1:1">
      <c r="A2" t="s">
        <v>126</v>
      </c>
    </row>
    <row r="3" spans="1:1">
      <c r="A3" t="s">
        <v>125</v>
      </c>
    </row>
    <row r="4" spans="1:1">
      <c r="A4" t="s">
        <v>348</v>
      </c>
    </row>
    <row r="5" spans="1:1">
      <c r="A5" t="s">
        <v>667</v>
      </c>
    </row>
    <row r="6" spans="1:1">
      <c r="A6" t="s">
        <v>175</v>
      </c>
    </row>
    <row r="7" spans="1:1">
      <c r="A7" t="s">
        <v>668</v>
      </c>
    </row>
    <row r="8" spans="1:1">
      <c r="A8" t="s">
        <v>669</v>
      </c>
    </row>
    <row r="9" spans="1:1">
      <c r="A9" t="s">
        <v>670</v>
      </c>
    </row>
    <row r="10" spans="1:1">
      <c r="A10" t="s">
        <v>176</v>
      </c>
    </row>
    <row r="11" spans="1:1">
      <c r="A11" t="s">
        <v>122</v>
      </c>
    </row>
    <row r="12" spans="1:1">
      <c r="A12" t="s">
        <v>671</v>
      </c>
    </row>
    <row r="13" spans="1:1">
      <c r="A13" t="s">
        <v>260</v>
      </c>
    </row>
    <row r="14" spans="1:1">
      <c r="A14" t="s">
        <v>672</v>
      </c>
    </row>
    <row r="15" spans="1:1">
      <c r="A15" t="s">
        <v>673</v>
      </c>
    </row>
    <row r="16" spans="1:1">
      <c r="A16" t="s">
        <v>167</v>
      </c>
    </row>
    <row r="17" spans="1:1">
      <c r="A17" t="s">
        <v>674</v>
      </c>
    </row>
    <row r="18" spans="1:1">
      <c r="A18" t="s">
        <v>142</v>
      </c>
    </row>
    <row r="19" spans="1:1">
      <c r="A19" t="s">
        <v>675</v>
      </c>
    </row>
    <row r="20" spans="1:1">
      <c r="A20" t="s">
        <v>676</v>
      </c>
    </row>
    <row r="21" spans="1:1">
      <c r="A21" t="s">
        <v>543</v>
      </c>
    </row>
    <row r="22" spans="1:1">
      <c r="A22" t="s">
        <v>677</v>
      </c>
    </row>
    <row r="23" spans="1:1">
      <c r="A23" t="s">
        <v>156</v>
      </c>
    </row>
    <row r="24" spans="1:1">
      <c r="A24" t="s">
        <v>678</v>
      </c>
    </row>
    <row r="25" spans="1:1">
      <c r="A25" t="s">
        <v>190</v>
      </c>
    </row>
    <row r="26" spans="1:1">
      <c r="A26" t="s">
        <v>177</v>
      </c>
    </row>
    <row r="27" spans="1:1">
      <c r="A27" t="s">
        <v>679</v>
      </c>
    </row>
    <row r="28" spans="1:1">
      <c r="A28" t="s">
        <v>680</v>
      </c>
    </row>
    <row r="29" spans="1:1">
      <c r="A29" t="s">
        <v>681</v>
      </c>
    </row>
    <row r="30" spans="1:1">
      <c r="A30" t="s">
        <v>682</v>
      </c>
    </row>
    <row r="31" spans="1:1">
      <c r="A31" t="s">
        <v>129</v>
      </c>
    </row>
    <row r="32" spans="1:1">
      <c r="A32" t="s">
        <v>683</v>
      </c>
    </row>
    <row r="33" spans="1:1">
      <c r="A33" t="s">
        <v>684</v>
      </c>
    </row>
    <row r="34" spans="1:1">
      <c r="A34" t="s">
        <v>685</v>
      </c>
    </row>
    <row r="35" spans="1:1">
      <c r="A35" t="s">
        <v>686</v>
      </c>
    </row>
    <row r="36" spans="1:1">
      <c r="A36" t="s">
        <v>687</v>
      </c>
    </row>
    <row r="37" spans="1:1">
      <c r="A37" t="s">
        <v>688</v>
      </c>
    </row>
    <row r="38" spans="1:1">
      <c r="A38" t="s">
        <v>138</v>
      </c>
    </row>
  </sheetData>
  <phoneticPr fontId="46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拍摄总表</vt:lpstr>
      <vt:lpstr>棚内</vt:lpstr>
      <vt:lpstr>哺乳照</vt:lpstr>
      <vt:lpstr>职业照</vt:lpstr>
      <vt:lpstr>外景</vt:lpstr>
      <vt:lpstr>所有套餐列表</vt:lpstr>
    </vt:vector>
  </TitlesOfParts>
  <Company>Tess&amp;Sean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 Wang</dc:creator>
  <cp:lastModifiedBy>Tess Wang</cp:lastModifiedBy>
  <cp:lastPrinted>2019-12-13T14:55:00Z</cp:lastPrinted>
  <dcterms:created xsi:type="dcterms:W3CDTF">2019-12-09T08:37:00Z</dcterms:created>
  <dcterms:modified xsi:type="dcterms:W3CDTF">2020-01-10T16:44:50Z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